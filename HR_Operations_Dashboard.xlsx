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c2097e1edb8ec94/Documents/Data Analyst Practice/Project 2 Advanced Spreadsheet Data Cleaning &amp; Modeling/"/>
    </mc:Choice>
  </mc:AlternateContent>
  <xr:revisionPtr revIDLastSave="459" documentId="8_{4F9CF0D5-1347-4D5B-A87D-22DAC181E716}" xr6:coauthVersionLast="47" xr6:coauthVersionMax="47" xr10:uidLastSave="{C25CEC8E-F2DB-48CE-AE68-C1CB77016134}"/>
  <bookViews>
    <workbookView xWindow="-108" yWindow="-108" windowWidth="23256" windowHeight="13176" activeTab="2" xr2:uid="{E18527C9-0CD1-437D-BF78-F373EE3F4433}"/>
  </bookViews>
  <sheets>
    <sheet name="Raw_Data" sheetId="1" r:id="rId1"/>
    <sheet name="Cleaned_Data" sheetId="2" r:id="rId2"/>
    <sheet name="Summary_Dashboard" sheetId="3" r:id="rId3"/>
  </sheets>
  <definedNames>
    <definedName name="Slicer_Remote_Work">#N/A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3" l="1"/>
  <c r="C4" i="3"/>
  <c r="A4" i="3"/>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C2" i="2"/>
  <c r="B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2" i="2"/>
</calcChain>
</file>

<file path=xl/sharedStrings.xml><?xml version="1.0" encoding="utf-8"?>
<sst xmlns="http://schemas.openxmlformats.org/spreadsheetml/2006/main" count="7224" uniqueCount="1181">
  <si>
    <t>Employee_ID</t>
  </si>
  <si>
    <t>First_Name</t>
  </si>
  <si>
    <t>Last_Name</t>
  </si>
  <si>
    <t>Age</t>
  </si>
  <si>
    <t>Department_Region</t>
  </si>
  <si>
    <t>Status</t>
  </si>
  <si>
    <t>Join_Date</t>
  </si>
  <si>
    <t>Salary</t>
  </si>
  <si>
    <t>Email</t>
  </si>
  <si>
    <t>Phone</t>
  </si>
  <si>
    <t>Performance_Score</t>
  </si>
  <si>
    <t>Remote_Work</t>
  </si>
  <si>
    <t>EMP1000</t>
  </si>
  <si>
    <t>Bob</t>
  </si>
  <si>
    <t>Davis</t>
  </si>
  <si>
    <t>DevOps-California</t>
  </si>
  <si>
    <t>Active</t>
  </si>
  <si>
    <t>bob.davis@example.com</t>
  </si>
  <si>
    <t>Average</t>
  </si>
  <si>
    <t>EMP1001</t>
  </si>
  <si>
    <t>Brown</t>
  </si>
  <si>
    <t>Finance-Texas</t>
  </si>
  <si>
    <t>bob.brown@example.com</t>
  </si>
  <si>
    <t>Excellent</t>
  </si>
  <si>
    <t>EMP1002</t>
  </si>
  <si>
    <t>Alice</t>
  </si>
  <si>
    <t>Jones</t>
  </si>
  <si>
    <t>Admin-Nevada</t>
  </si>
  <si>
    <t>Pending</t>
  </si>
  <si>
    <t>alice.jones@example.com</t>
  </si>
  <si>
    <t>Good</t>
  </si>
  <si>
    <t>EMP1003</t>
  </si>
  <si>
    <t>Eva</t>
  </si>
  <si>
    <t>Inactive</t>
  </si>
  <si>
    <t>eva.davis@example.com</t>
  </si>
  <si>
    <t>EMP1004</t>
  </si>
  <si>
    <t>Frank</t>
  </si>
  <si>
    <t>Williams</t>
  </si>
  <si>
    <t>Cloud Tech-Florida</t>
  </si>
  <si>
    <t>frank.williams@example.com</t>
  </si>
  <si>
    <t>Poor</t>
  </si>
  <si>
    <t>EMP1005</t>
  </si>
  <si>
    <t>Garcia</t>
  </si>
  <si>
    <t>Sales-Texas</t>
  </si>
  <si>
    <t>alice.garcia@example.com</t>
  </si>
  <si>
    <t>EMP1006</t>
  </si>
  <si>
    <t>frank.jones@example.com</t>
  </si>
  <si>
    <t>EMP1007</t>
  </si>
  <si>
    <t>bob.jones@example.com</t>
  </si>
  <si>
    <t>EMP1008</t>
  </si>
  <si>
    <t>frank.davis@example.com</t>
  </si>
  <si>
    <t>EMP1009</t>
  </si>
  <si>
    <t>Charlie</t>
  </si>
  <si>
    <t>Johnson</t>
  </si>
  <si>
    <t>DevOps-New York</t>
  </si>
  <si>
    <t>charlie.johnson@example.com</t>
  </si>
  <si>
    <t>EMP1010</t>
  </si>
  <si>
    <t>David</t>
  </si>
  <si>
    <t>Cloud Tech-New York</t>
  </si>
  <si>
    <t>david.williams@example.com</t>
  </si>
  <si>
    <t>EMP1011</t>
  </si>
  <si>
    <t>david.davis@example.com</t>
  </si>
  <si>
    <t>EMP1012</t>
  </si>
  <si>
    <t>Heidi</t>
  </si>
  <si>
    <t>HR-New York</t>
  </si>
  <si>
    <t>heidi.williams@example.com</t>
  </si>
  <si>
    <t>EMP1013</t>
  </si>
  <si>
    <t>Grace</t>
  </si>
  <si>
    <t>Finance-California</t>
  </si>
  <si>
    <t>grace.williams@example.com</t>
  </si>
  <si>
    <t>EMP1014</t>
  </si>
  <si>
    <t>EMP1015</t>
  </si>
  <si>
    <t>Sales-Florida</t>
  </si>
  <si>
    <t>grace.jones@example.com</t>
  </si>
  <si>
    <t>EMP1016</t>
  </si>
  <si>
    <t>DevOps-Illinois</t>
  </si>
  <si>
    <t>alice.brown@example.com</t>
  </si>
  <si>
    <t>EMP1017</t>
  </si>
  <si>
    <t>grace.garcia@example.com</t>
  </si>
  <si>
    <t>EMP1018</t>
  </si>
  <si>
    <t>Cloud Tech-Nevada</t>
  </si>
  <si>
    <t>charlie.garcia@example.com</t>
  </si>
  <si>
    <t>EMP1019</t>
  </si>
  <si>
    <t>Admin-Illinois</t>
  </si>
  <si>
    <t>charlie.williams@example.com</t>
  </si>
  <si>
    <t>EMP1020</t>
  </si>
  <si>
    <t>Miller</t>
  </si>
  <si>
    <t>bob.miller@example.com</t>
  </si>
  <si>
    <t>EMP1021</t>
  </si>
  <si>
    <t>Cloud Tech-Illinois</t>
  </si>
  <si>
    <t>EMP1022</t>
  </si>
  <si>
    <t>Sales-Illinois</t>
  </si>
  <si>
    <t>EMP1023</t>
  </si>
  <si>
    <t>Finance-Nevada</t>
  </si>
  <si>
    <t>david.garcia@example.com</t>
  </si>
  <si>
    <t>EMP1024</t>
  </si>
  <si>
    <t>Admin-Texas</t>
  </si>
  <si>
    <t>EMP1025</t>
  </si>
  <si>
    <t>david.miller@example.com</t>
  </si>
  <si>
    <t>EMP1026</t>
  </si>
  <si>
    <t>Sales-New York</t>
  </si>
  <si>
    <t>frank.miller@example.com</t>
  </si>
  <si>
    <t>EMP1027</t>
  </si>
  <si>
    <t>Finance-Florida</t>
  </si>
  <si>
    <t>heidi.johnson@example.com</t>
  </si>
  <si>
    <t>EMP1028</t>
  </si>
  <si>
    <t>EMP1029</t>
  </si>
  <si>
    <t>EMP1030</t>
  </si>
  <si>
    <t>Admin-California</t>
  </si>
  <si>
    <t>charlie.jones@example.com</t>
  </si>
  <si>
    <t>EMP1031</t>
  </si>
  <si>
    <t>Smith</t>
  </si>
  <si>
    <t>bob.smith@example.com</t>
  </si>
  <si>
    <t>EMP1032</t>
  </si>
  <si>
    <t>charlie.brown@example.com</t>
  </si>
  <si>
    <t>EMP1033</t>
  </si>
  <si>
    <t>grace.johnson@example.com</t>
  </si>
  <si>
    <t>EMP1034</t>
  </si>
  <si>
    <t>heidi.miller@example.com</t>
  </si>
  <si>
    <t>EMP1035</t>
  </si>
  <si>
    <t>EMP1036</t>
  </si>
  <si>
    <t>EMP1037</t>
  </si>
  <si>
    <t>grace.smith@example.com</t>
  </si>
  <si>
    <t>EMP1038</t>
  </si>
  <si>
    <t>frank.smith@example.com</t>
  </si>
  <si>
    <t>EMP1039</t>
  </si>
  <si>
    <t>HR-Texas</t>
  </si>
  <si>
    <t>eva.williams@example.com</t>
  </si>
  <si>
    <t>EMP1040</t>
  </si>
  <si>
    <t>bob.williams@example.com</t>
  </si>
  <si>
    <t>EMP1041</t>
  </si>
  <si>
    <t>HR-California</t>
  </si>
  <si>
    <t>EMP1042</t>
  </si>
  <si>
    <t>HR-Nevada</t>
  </si>
  <si>
    <t>alice.johnson@example.com</t>
  </si>
  <si>
    <t>EMP1043</t>
  </si>
  <si>
    <t>bob.garcia@example.com</t>
  </si>
  <si>
    <t>EMP1044</t>
  </si>
  <si>
    <t>eva.brown@example.com</t>
  </si>
  <si>
    <t>EMP1045</t>
  </si>
  <si>
    <t>EMP1046</t>
  </si>
  <si>
    <t>Cloud Tech-Texas</t>
  </si>
  <si>
    <t>EMP1047</t>
  </si>
  <si>
    <t>alice.davis@example.com</t>
  </si>
  <si>
    <t>EMP1048</t>
  </si>
  <si>
    <t>alice.miller@example.com</t>
  </si>
  <si>
    <t>EMP1049</t>
  </si>
  <si>
    <t>grace.miller@example.com</t>
  </si>
  <si>
    <t>EMP1050</t>
  </si>
  <si>
    <t>charlie.davis@example.com</t>
  </si>
  <si>
    <t>EMP1051</t>
  </si>
  <si>
    <t>EMP1052</t>
  </si>
  <si>
    <t>EMP1053</t>
  </si>
  <si>
    <t>EMP1054</t>
  </si>
  <si>
    <t>EMP1055</t>
  </si>
  <si>
    <t>Sales-California</t>
  </si>
  <si>
    <t>EMP1056</t>
  </si>
  <si>
    <t>frank.garcia@example.com</t>
  </si>
  <si>
    <t>EMP1057</t>
  </si>
  <si>
    <t>alice.smith@example.com</t>
  </si>
  <si>
    <t>EMP1058</t>
  </si>
  <si>
    <t>EMP1059</t>
  </si>
  <si>
    <t>EMP1060</t>
  </si>
  <si>
    <t>EMP1061</t>
  </si>
  <si>
    <t>EMP1062</t>
  </si>
  <si>
    <t>EMP1063</t>
  </si>
  <si>
    <t>HR-Illinois</t>
  </si>
  <si>
    <t>charlie.smith@example.com</t>
  </si>
  <si>
    <t>EMP1064</t>
  </si>
  <si>
    <t>Admin-New York</t>
  </si>
  <si>
    <t>EMP1065</t>
  </si>
  <si>
    <t>bob.johnson@example.com</t>
  </si>
  <si>
    <t>EMP1066</t>
  </si>
  <si>
    <t>grace.brown@example.com</t>
  </si>
  <si>
    <t>EMP1067</t>
  </si>
  <si>
    <t>EMP1068</t>
  </si>
  <si>
    <t>Admin-Florida</t>
  </si>
  <si>
    <t>EMP1069</t>
  </si>
  <si>
    <t>EMP1070</t>
  </si>
  <si>
    <t>EMP1071</t>
  </si>
  <si>
    <t>HR-Florida</t>
  </si>
  <si>
    <t>EMP1072</t>
  </si>
  <si>
    <t>EMP1073</t>
  </si>
  <si>
    <t>david.johnson@example.com</t>
  </si>
  <si>
    <t>EMP1074</t>
  </si>
  <si>
    <t>Sales-Nevada</t>
  </si>
  <si>
    <t>EMP1075</t>
  </si>
  <si>
    <t>EMP1076</t>
  </si>
  <si>
    <t>david.brown@example.com</t>
  </si>
  <si>
    <t>EMP1077</t>
  </si>
  <si>
    <t>Finance-New York</t>
  </si>
  <si>
    <t>EMP1078</t>
  </si>
  <si>
    <t>DevOps-Florida</t>
  </si>
  <si>
    <t>EMP1079</t>
  </si>
  <si>
    <t>EMP1080</t>
  </si>
  <si>
    <t>grace.davis@example.com</t>
  </si>
  <si>
    <t>EMP1081</t>
  </si>
  <si>
    <t>DevOps-Texas</t>
  </si>
  <si>
    <t>frank.brown@example.com</t>
  </si>
  <si>
    <t>EMP1082</t>
  </si>
  <si>
    <t>david.jones@example.com</t>
  </si>
  <si>
    <t>EMP1083</t>
  </si>
  <si>
    <t>EMP1084</t>
  </si>
  <si>
    <t>EMP1085</t>
  </si>
  <si>
    <t>EMP1086</t>
  </si>
  <si>
    <t>EMP1087</t>
  </si>
  <si>
    <t>EMP1088</t>
  </si>
  <si>
    <t>EMP1089</t>
  </si>
  <si>
    <t>EMP1090</t>
  </si>
  <si>
    <t>heidi.garcia@example.com</t>
  </si>
  <si>
    <t>EMP1091</t>
  </si>
  <si>
    <t>EMP1092</t>
  </si>
  <si>
    <t>EMP1093</t>
  </si>
  <si>
    <t>eva.miller@example.com</t>
  </si>
  <si>
    <t>EMP1094</t>
  </si>
  <si>
    <t>Finance-Illinois</t>
  </si>
  <si>
    <t>EMP1095</t>
  </si>
  <si>
    <t>Cloud Tech-California</t>
  </si>
  <si>
    <t>EMP1096</t>
  </si>
  <si>
    <t>frank.johnson@example.com</t>
  </si>
  <si>
    <t>EMP1097</t>
  </si>
  <si>
    <t>EMP1098</t>
  </si>
  <si>
    <t>EMP1099</t>
  </si>
  <si>
    <t>N/A</t>
  </si>
  <si>
    <t>eva.jones@example.com</t>
  </si>
  <si>
    <t>EMP1100</t>
  </si>
  <si>
    <t>EMP1101</t>
  </si>
  <si>
    <t>EMP1102</t>
  </si>
  <si>
    <t>EMP1103</t>
  </si>
  <si>
    <t>EMP1104</t>
  </si>
  <si>
    <t>EMP1105</t>
  </si>
  <si>
    <t>EMP1106</t>
  </si>
  <si>
    <t>EMP1107</t>
  </si>
  <si>
    <t>EMP1108</t>
  </si>
  <si>
    <t>EMP1109</t>
  </si>
  <si>
    <t>EMP1110</t>
  </si>
  <si>
    <t>eva.garcia@example.com</t>
  </si>
  <si>
    <t>EMP1111</t>
  </si>
  <si>
    <t>EMP1112</t>
  </si>
  <si>
    <t>EMP1113</t>
  </si>
  <si>
    <t>EMP1114</t>
  </si>
  <si>
    <t>EMP1115</t>
  </si>
  <si>
    <t>EMP1116</t>
  </si>
  <si>
    <t>EMP1117</t>
  </si>
  <si>
    <t>EMP1118</t>
  </si>
  <si>
    <t>EMP1119</t>
  </si>
  <si>
    <t>EMP1120</t>
  </si>
  <si>
    <t>EMP1121</t>
  </si>
  <si>
    <t>EMP1122</t>
  </si>
  <si>
    <t>EMP1123</t>
  </si>
  <si>
    <t>EMP1124</t>
  </si>
  <si>
    <t>heidi.jones@example.com</t>
  </si>
  <si>
    <t>EMP1125</t>
  </si>
  <si>
    <t>EMP1126</t>
  </si>
  <si>
    <t>eva.johnson@example.com</t>
  </si>
  <si>
    <t>EMP1127</t>
  </si>
  <si>
    <t>EMP1128</t>
  </si>
  <si>
    <t>EMP1129</t>
  </si>
  <si>
    <t>DevOps-Nevada</t>
  </si>
  <si>
    <t>EMP1130</t>
  </si>
  <si>
    <t>EMP1131</t>
  </si>
  <si>
    <t>EMP1132</t>
  </si>
  <si>
    <t>EMP1133</t>
  </si>
  <si>
    <t>EMP1134</t>
  </si>
  <si>
    <t>EMP1135</t>
  </si>
  <si>
    <t>EMP1136</t>
  </si>
  <si>
    <t>david.smith@example.com</t>
  </si>
  <si>
    <t>EMP1137</t>
  </si>
  <si>
    <t>EMP1138</t>
  </si>
  <si>
    <t>EMP1139</t>
  </si>
  <si>
    <t>EMP1140</t>
  </si>
  <si>
    <t>EMP1141</t>
  </si>
  <si>
    <t>EMP1142</t>
  </si>
  <si>
    <t>EMP1143</t>
  </si>
  <si>
    <t>EMP1144</t>
  </si>
  <si>
    <t>EMP1145</t>
  </si>
  <si>
    <t>EMP1146</t>
  </si>
  <si>
    <t>EMP1147</t>
  </si>
  <si>
    <t>EMP1148</t>
  </si>
  <si>
    <t>EMP1149</t>
  </si>
  <si>
    <t>EMP1150</t>
  </si>
  <si>
    <t>alice.williams@example.com</t>
  </si>
  <si>
    <t>EMP1151</t>
  </si>
  <si>
    <t>EMP1152</t>
  </si>
  <si>
    <t>heidi.smith@example.com</t>
  </si>
  <si>
    <t>EMP1153</t>
  </si>
  <si>
    <t>EMP1154</t>
  </si>
  <si>
    <t>EMP1155</t>
  </si>
  <si>
    <t>EMP1156</t>
  </si>
  <si>
    <t>EMP1157</t>
  </si>
  <si>
    <t>EMP1158</t>
  </si>
  <si>
    <t>EMP1159</t>
  </si>
  <si>
    <t>EMP1160</t>
  </si>
  <si>
    <t>EMP1161</t>
  </si>
  <si>
    <t>EMP1162</t>
  </si>
  <si>
    <t>EMP1163</t>
  </si>
  <si>
    <t>EMP1164</t>
  </si>
  <si>
    <t>EMP1165</t>
  </si>
  <si>
    <t>EMP1166</t>
  </si>
  <si>
    <t>EMP1167</t>
  </si>
  <si>
    <t>EMP1168</t>
  </si>
  <si>
    <t>heidi.davis@example.com</t>
  </si>
  <si>
    <t>EMP1169</t>
  </si>
  <si>
    <t>EMP1170</t>
  </si>
  <si>
    <t>EMP1171</t>
  </si>
  <si>
    <t>EMP1172</t>
  </si>
  <si>
    <t>EMP1173</t>
  </si>
  <si>
    <t>heidi.brown@example.com</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</si>
  <si>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</si>
  <si>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</si>
  <si>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</si>
  <si>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</si>
  <si>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</si>
  <si>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</si>
  <si>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</si>
  <si>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</si>
  <si>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</si>
  <si>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</si>
  <si>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</si>
  <si>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</si>
  <si>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</si>
  <si>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</si>
  <si>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</si>
  <si>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</si>
  <si>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</si>
  <si>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</si>
  <si>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</si>
  <si>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</si>
  <si>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</si>
  <si>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</si>
  <si>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</si>
  <si>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</si>
  <si>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</si>
  <si>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</si>
  <si>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</si>
  <si>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</si>
  <si>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</si>
  <si>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</si>
  <si>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</si>
  <si>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</si>
  <si>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</si>
  <si>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</si>
  <si>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</si>
  <si>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</si>
  <si>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</si>
  <si>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</si>
  <si>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</si>
  <si>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</si>
  <si>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</si>
  <si>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</si>
  <si>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</si>
  <si>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</si>
  <si>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</si>
  <si>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</si>
  <si>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</si>
  <si>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</si>
  <si>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</si>
  <si>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</si>
  <si>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</si>
  <si>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</si>
  <si>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</si>
  <si>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</si>
  <si>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</si>
  <si>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</si>
  <si>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</si>
  <si>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</si>
  <si>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</si>
  <si>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</si>
  <si>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</si>
  <si>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</si>
  <si>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</si>
  <si>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charlie.miller@example.com</t>
  </si>
  <si>
    <t>EMP1237</t>
  </si>
  <si>
    <t>EMP1238</t>
  </si>
  <si>
    <t>EMP1239</t>
  </si>
  <si>
    <t>EMP1240</t>
  </si>
  <si>
    <t>EMP1241</t>
  </si>
  <si>
    <t>EMP1242</t>
  </si>
  <si>
    <t>EMP1243</t>
  </si>
  <si>
    <t>EMP1244</t>
  </si>
  <si>
    <t>EMP1245</t>
  </si>
  <si>
    <t>EMP1246</t>
  </si>
  <si>
    <t>EMP1247</t>
  </si>
  <si>
    <t>EMP1248</t>
  </si>
  <si>
    <t>eva.smith@example.com</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</si>
  <si>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</si>
  <si>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</si>
  <si>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</si>
  <si>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</si>
  <si>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</si>
  <si>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</si>
  <si>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</si>
  <si>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</si>
  <si>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</si>
  <si>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</si>
  <si>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</si>
  <si>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</si>
  <si>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</si>
  <si>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</si>
  <si>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</si>
  <si>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</si>
  <si>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</si>
  <si>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</si>
  <si>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</si>
  <si>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</si>
  <si>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</si>
  <si>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</si>
  <si>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</si>
  <si>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</si>
  <si>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</si>
  <si>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</si>
  <si>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</si>
  <si>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</si>
  <si>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</si>
  <si>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</si>
  <si>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</si>
  <si>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</si>
  <si>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</si>
  <si>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</si>
  <si>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</si>
  <si>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</si>
  <si>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</si>
  <si>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</si>
  <si>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</si>
  <si>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</si>
  <si>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</si>
  <si>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</si>
  <si>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</si>
  <si>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</si>
  <si>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</si>
  <si>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</si>
  <si>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</si>
  <si>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</si>
  <si>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</si>
  <si>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</si>
  <si>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</si>
  <si>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</si>
  <si>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</si>
  <si>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</si>
  <si>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</si>
  <si>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</si>
  <si>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</si>
  <si>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</si>
  <si>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</si>
  <si>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</si>
  <si>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</si>
  <si>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</si>
  <si>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</si>
  <si>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</si>
  <si>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</si>
  <si>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</si>
  <si>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</si>
  <si>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</si>
  <si>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</si>
  <si>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</si>
  <si>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</si>
  <si>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</si>
  <si>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</si>
  <si>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</si>
  <si>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</si>
  <si>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</si>
  <si>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</si>
  <si>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</si>
  <si>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</si>
  <si>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</si>
  <si>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</si>
  <si>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</si>
  <si>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</si>
  <si>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</si>
  <si>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</si>
  <si>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</si>
  <si>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</si>
  <si>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</si>
  <si>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</si>
  <si>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</si>
  <si>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</si>
  <si>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</si>
  <si>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</si>
  <si>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</si>
  <si>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</si>
  <si>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</si>
  <si>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</si>
  <si>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</si>
  <si>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</si>
  <si>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</si>
  <si>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</si>
  <si>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</si>
  <si>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</si>
  <si>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</si>
  <si>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</si>
  <si>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</si>
  <si>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</si>
  <si>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</si>
  <si>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</si>
  <si>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</si>
  <si>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</si>
  <si>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</si>
  <si>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</si>
  <si>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</si>
  <si>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</si>
  <si>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</si>
  <si>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</si>
  <si>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</si>
  <si>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</si>
  <si>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</si>
  <si>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</si>
  <si>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</si>
  <si>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</si>
  <si>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</si>
  <si>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</si>
  <si>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</si>
  <si>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</si>
  <si>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</si>
  <si>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</si>
  <si>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</si>
  <si>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</si>
  <si>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</si>
  <si>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</si>
  <si>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</si>
  <si>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</si>
  <si>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</si>
  <si>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</si>
  <si>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</si>
  <si>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</si>
  <si>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</si>
  <si>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</si>
  <si>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</si>
  <si>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</si>
  <si>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</si>
  <si>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</si>
  <si>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</si>
  <si>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</si>
  <si>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</si>
  <si>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</si>
  <si>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</si>
  <si>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</si>
  <si>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</si>
  <si>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</si>
  <si>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</si>
  <si>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</si>
  <si>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</si>
  <si>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</si>
  <si>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</si>
  <si>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</si>
  <si>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</si>
  <si>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</si>
  <si>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</si>
  <si>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</si>
  <si>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</si>
  <si>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</si>
  <si>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</si>
  <si>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</si>
  <si>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</si>
  <si>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</si>
  <si>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</si>
  <si>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</si>
  <si>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</si>
  <si>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</si>
  <si>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</si>
  <si>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</si>
  <si>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</si>
  <si>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</si>
  <si>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</si>
  <si>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</si>
  <si>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</si>
  <si>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</si>
  <si>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</si>
  <si>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</si>
  <si>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</si>
  <si>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</si>
  <si>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</si>
  <si>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</si>
  <si>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</si>
  <si>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</si>
  <si>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</si>
  <si>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</si>
  <si>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</si>
  <si>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</si>
  <si>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</si>
  <si>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</si>
  <si>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</si>
  <si>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</si>
  <si>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</si>
  <si>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</si>
  <si>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</si>
  <si>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</si>
  <si>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</si>
  <si>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</si>
  <si>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</si>
  <si>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</si>
  <si>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</si>
  <si>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</si>
  <si>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</si>
  <si>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</si>
  <si>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</si>
  <si>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</si>
  <si>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</si>
  <si>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</si>
  <si>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</si>
  <si>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</si>
  <si>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</si>
  <si>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</si>
  <si>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</si>
  <si>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</si>
  <si>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</si>
  <si>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</si>
  <si>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</si>
  <si>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</si>
  <si>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</si>
  <si>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</si>
  <si>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</si>
  <si>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</si>
  <si>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</si>
  <si>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</si>
  <si>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</si>
  <si>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</si>
  <si>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</si>
  <si>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</si>
  <si>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</si>
  <si>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</si>
  <si>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</si>
  <si>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</si>
  <si>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</si>
  <si>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</si>
  <si>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</si>
  <si>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</si>
  <si>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</si>
  <si>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</si>
  <si>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</si>
  <si>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</si>
  <si>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</si>
  <si>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</si>
  <si>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</si>
  <si>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</si>
  <si>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</si>
  <si>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</si>
  <si>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</si>
  <si>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</si>
  <si>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</si>
  <si>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</si>
  <si>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</si>
  <si>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</si>
  <si>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</si>
  <si>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</si>
  <si>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</si>
  <si>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</si>
  <si>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</si>
  <si>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</si>
  <si>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</si>
  <si>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</si>
  <si>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</si>
  <si>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</si>
  <si>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</si>
  <si>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</si>
  <si>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</si>
  <si>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</si>
  <si>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</si>
  <si>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</si>
  <si>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</si>
  <si>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</si>
  <si>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</si>
  <si>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</si>
  <si>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</si>
  <si>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</si>
  <si>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</si>
  <si>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</si>
  <si>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</si>
  <si>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</si>
  <si>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</si>
  <si>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</si>
  <si>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</si>
  <si>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</si>
  <si>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</si>
  <si>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</si>
  <si>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</si>
  <si>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</si>
  <si>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</si>
  <si>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</si>
  <si>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</si>
  <si>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</si>
  <si>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</si>
  <si>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</si>
  <si>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</si>
  <si>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</si>
  <si>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</si>
  <si>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</si>
  <si>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</si>
  <si>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</si>
  <si>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</si>
  <si>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</si>
  <si>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</si>
  <si>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</si>
  <si>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</si>
  <si>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</si>
  <si>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</si>
  <si>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</si>
  <si>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</si>
  <si>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</si>
  <si>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</si>
  <si>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</si>
  <si>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</si>
  <si>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</si>
  <si>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</si>
  <si>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</si>
  <si>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</si>
  <si>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</si>
  <si>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</si>
  <si>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</si>
  <si>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</si>
  <si>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</si>
  <si>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</si>
  <si>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</si>
  <si>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</si>
  <si>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</si>
  <si>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</si>
  <si>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</si>
  <si>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</si>
  <si>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</si>
  <si>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</si>
  <si>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</si>
  <si>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</si>
  <si>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</si>
  <si>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</si>
  <si>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</si>
  <si>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</si>
  <si>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</si>
  <si>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</si>
  <si>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</si>
  <si>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</si>
  <si>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</si>
  <si>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</si>
  <si>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</si>
  <si>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</si>
  <si>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</si>
  <si>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</si>
  <si>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</si>
  <si>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</si>
  <si>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</si>
  <si>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</si>
  <si>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</si>
  <si>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</si>
  <si>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</si>
  <si>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</si>
  <si>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</si>
  <si>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</si>
  <si>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</si>
  <si>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</si>
  <si>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</si>
  <si>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</si>
  <si>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</si>
  <si>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</si>
  <si>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</si>
  <si>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</si>
  <si>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</si>
  <si>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</si>
  <si>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</si>
  <si>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</si>
  <si>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</si>
  <si>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</si>
  <si>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</si>
  <si>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</si>
  <si>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</si>
  <si>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</si>
  <si>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</si>
  <si>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</si>
  <si>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</si>
  <si>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</si>
  <si>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</si>
  <si>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</si>
  <si>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</si>
  <si>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</si>
  <si>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</si>
  <si>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</si>
  <si>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</si>
  <si>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</si>
  <si>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</si>
  <si>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</si>
  <si>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</si>
  <si>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</si>
  <si>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</si>
  <si>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</si>
  <si>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</si>
  <si>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</si>
  <si>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</si>
  <si>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</si>
  <si>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</si>
  <si>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</si>
  <si>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</si>
  <si>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</si>
  <si>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</si>
  <si>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</si>
  <si>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</si>
  <si>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</si>
  <si>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</si>
  <si>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</si>
  <si>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</si>
  <si>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</si>
  <si>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</si>
  <si>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</si>
  <si>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</si>
  <si>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</si>
  <si>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</si>
  <si>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</si>
  <si>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</si>
  <si>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</si>
  <si>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</si>
  <si>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</si>
  <si>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</si>
  <si>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</si>
  <si>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</si>
  <si>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</si>
  <si>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</si>
  <si>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</si>
  <si>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</si>
  <si>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</si>
  <si>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</si>
  <si>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</si>
  <si>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</si>
  <si>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</si>
  <si>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</si>
  <si>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</si>
  <si>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</si>
  <si>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</si>
  <si>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</si>
  <si>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</si>
  <si>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</si>
  <si>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</si>
  <si>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</si>
  <si>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</si>
  <si>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</si>
  <si>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</si>
  <si>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</si>
  <si>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</si>
  <si>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</si>
  <si>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</si>
  <si>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</si>
  <si>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</si>
  <si>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</si>
  <si>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</si>
  <si>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</si>
  <si>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</si>
  <si>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</si>
  <si>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</si>
  <si>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</si>
  <si>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</si>
  <si>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</si>
  <si>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</si>
  <si>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</si>
  <si>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</si>
  <si>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</si>
  <si>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</si>
  <si>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</si>
  <si>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</si>
  <si>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</si>
  <si>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</si>
  <si>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</si>
  <si>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</si>
  <si>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</si>
  <si>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</si>
  <si>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</si>
  <si>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</si>
  <si>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</si>
  <si>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</si>
  <si>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</si>
  <si>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</si>
  <si>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</si>
  <si>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</si>
  <si>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</si>
  <si>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</si>
  <si>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</si>
  <si>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</si>
  <si>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</si>
  <si>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</si>
  <si>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</si>
  <si>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</si>
  <si>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</si>
  <si>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</si>
  <si>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</si>
  <si>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</si>
  <si>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</si>
  <si>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</si>
  <si>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</si>
  <si>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</si>
  <si>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</si>
  <si>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</si>
  <si>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</si>
  <si>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</si>
  <si>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</si>
  <si>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</si>
  <si>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</si>
  <si>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</si>
  <si>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</si>
  <si>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</si>
  <si>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</si>
  <si>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</si>
  <si>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</si>
  <si>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</si>
  <si>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</si>
  <si>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</si>
  <si>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</si>
  <si>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</si>
  <si>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</si>
  <si>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</si>
  <si>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</si>
  <si>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</si>
  <si>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</si>
  <si>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</si>
  <si>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</si>
  <si>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</si>
  <si>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</si>
  <si>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</si>
  <si>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</si>
  <si>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</si>
  <si>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</si>
  <si>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</si>
  <si>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</si>
  <si>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</si>
  <si>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</si>
  <si>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</si>
  <si>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</si>
  <si>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</si>
  <si>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</si>
  <si>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</si>
  <si>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</si>
  <si>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</si>
  <si>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</si>
  <si>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</si>
  <si>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</si>
  <si>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</si>
  <si>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</si>
  <si>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</si>
  <si>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</si>
  <si>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</si>
  <si>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</si>
  <si>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</si>
  <si>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</si>
  <si>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</si>
  <si>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</si>
  <si>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</si>
  <si>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</si>
  <si>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</si>
  <si>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</si>
  <si>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</si>
  <si>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</si>
  <si>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</si>
  <si>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</si>
  <si>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</si>
  <si>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</si>
  <si>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</si>
  <si>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</si>
  <si>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</si>
  <si>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</si>
  <si>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</si>
  <si>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</si>
  <si>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</si>
  <si>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</si>
  <si>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</si>
  <si>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</si>
  <si>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</si>
  <si>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</si>
  <si>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</si>
  <si>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</si>
  <si>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</si>
  <si>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</si>
  <si>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</si>
  <si>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</si>
  <si>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</si>
  <si>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</si>
  <si>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</si>
  <si>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</si>
  <si>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</si>
  <si>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</si>
  <si>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</si>
  <si>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</si>
  <si>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</si>
  <si>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</si>
  <si>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</si>
  <si>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</si>
  <si>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</si>
  <si>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</si>
  <si>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</si>
  <si>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</si>
  <si>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</si>
  <si>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</si>
  <si>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</si>
  <si>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</si>
  <si>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</si>
  <si>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</si>
  <si>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</si>
  <si>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</si>
  <si>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</si>
  <si>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</si>
  <si>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</si>
  <si>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</si>
  <si>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</si>
  <si>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</si>
  <si>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</si>
  <si>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</si>
  <si>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</si>
  <si>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</si>
  <si>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</si>
  <si>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</si>
  <si>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</si>
  <si>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</si>
  <si>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</si>
  <si>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</si>
  <si>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</si>
  <si>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</si>
  <si>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</si>
  <si>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</si>
  <si>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</si>
  <si>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</si>
  <si>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</si>
  <si>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</si>
  <si>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</si>
  <si>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</si>
  <si>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</si>
  <si>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</si>
  <si>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</si>
  <si>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</si>
  <si>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</si>
  <si>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</si>
  <si>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</si>
  <si>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</si>
  <si>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</si>
  <si>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</si>
  <si>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</si>
  <si>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</si>
  <si>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</si>
  <si>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</si>
  <si>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</si>
  <si>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</si>
  <si>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</si>
  <si>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</si>
  <si>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</si>
  <si>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</si>
  <si>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</si>
  <si>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</si>
  <si>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</si>
  <si>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</si>
  <si>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</si>
  <si>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</si>
  <si>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</si>
  <si>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</si>
  <si>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</si>
  <si>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</si>
  <si>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</si>
  <si>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</si>
  <si>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</si>
  <si>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</si>
  <si>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</si>
  <si>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</si>
  <si>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</si>
  <si>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</si>
  <si>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</si>
  <si>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</si>
  <si>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</si>
  <si>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</si>
  <si>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</si>
  <si>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</si>
  <si>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</si>
  <si>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</si>
  <si>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</si>
  <si>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</si>
  <si>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</si>
  <si>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</si>
  <si>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</si>
  <si>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</si>
  <si>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</si>
  <si>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</si>
  <si>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</si>
  <si>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</si>
  <si>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</si>
  <si>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</si>
  <si>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</si>
  <si>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</si>
  <si>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</si>
  <si>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</si>
  <si>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</si>
  <si>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</si>
  <si>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</si>
  <si>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</si>
  <si>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</si>
  <si>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</si>
  <si>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</si>
  <si>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</si>
  <si>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</si>
  <si>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</si>
  <si>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</si>
  <si>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</si>
  <si>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</si>
  <si>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</si>
  <si>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</si>
  <si>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</si>
  <si>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</si>
  <si>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</si>
  <si>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</si>
  <si>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</si>
  <si>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</si>
  <si>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</si>
  <si>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</si>
  <si>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</si>
  <si>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</si>
  <si>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</si>
  <si>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</si>
  <si>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</si>
  <si>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</si>
  <si>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</si>
  <si>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</si>
  <si>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</si>
  <si>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</si>
  <si>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</si>
  <si>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</si>
  <si>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</si>
  <si>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</si>
  <si>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</si>
  <si>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</si>
  <si>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</si>
  <si>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</si>
  <si>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</si>
  <si>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</si>
  <si>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</si>
  <si>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</si>
  <si>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</si>
  <si>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</si>
  <si>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</si>
  <si>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</si>
  <si>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</si>
  <si>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</si>
  <si>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</si>
  <si>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</si>
  <si>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</si>
  <si>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</si>
  <si>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</si>
  <si>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</si>
  <si>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</si>
  <si>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</si>
  <si>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</si>
  <si>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</si>
  <si>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</si>
  <si>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</si>
  <si>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</si>
  <si>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</si>
  <si>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</si>
  <si>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</si>
  <si>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</si>
  <si>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</si>
  <si>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</si>
  <si>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</si>
  <si>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</si>
  <si>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</si>
  <si>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</si>
  <si>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</si>
  <si>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</si>
  <si>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</si>
  <si>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</si>
  <si>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Region</t>
  </si>
  <si>
    <t>Department</t>
  </si>
  <si>
    <t>HR Operations Executive Dashboard</t>
  </si>
  <si>
    <t>Total Payroll</t>
  </si>
  <si>
    <t>Average Salary</t>
  </si>
  <si>
    <t>Total Headcount</t>
  </si>
  <si>
    <t>Admin</t>
  </si>
  <si>
    <t>Cloud Tech</t>
  </si>
  <si>
    <t>DevOps</t>
  </si>
  <si>
    <t>Finance</t>
  </si>
  <si>
    <t>HR</t>
  </si>
  <si>
    <t>Sales</t>
  </si>
  <si>
    <t>Grand Total</t>
  </si>
  <si>
    <t>Department Breakdown</t>
  </si>
  <si>
    <t>California</t>
  </si>
  <si>
    <t>Florida</t>
  </si>
  <si>
    <t>Illinois</t>
  </si>
  <si>
    <t>Nevada</t>
  </si>
  <si>
    <t>New York</t>
  </si>
  <si>
    <t>Texas</t>
  </si>
  <si>
    <t>Payroll</t>
  </si>
  <si>
    <t>Employees</t>
  </si>
  <si>
    <t>Performance Breakdown</t>
  </si>
  <si>
    <t>Performance Score</t>
  </si>
  <si>
    <t>Region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</si>
</sst>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Segoe UI"/>
      <family val="2"/>
    </font>
    <font>
      <sz val="11"/>
      <color theme="1"/>
      <name val="Segoe UI"/>
      <family val="2"/>
    </font>
    <font>
      <sz val="11"/>
      <name val="Segoe UI"/>
      <family val="2"/>
    </font>
    <font>
      <b/>
      <sz val="16"/>
      <color theme="1"/>
      <name val="Segoe UI"/>
      <family val="2"/>
    </font>
    <font>
      <b/>
      <sz val="18"/>
      <color theme="1"/>
      <name val="Segoe UI"/>
      <family val="2"/>
    </font>
    <font>
      <sz val="10"/>
      <color theme="2" tint="-0.749992370372631"/>
      <name val="Segoe UI"/>
      <family val="2"/>
    </font>
    <font>
      <b/>
      <sz val="12"/>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19" fillId="0" borderId="0" xfId="0" applyFont="1"/>
    <xf numFmtId="14" fontId="19" fillId="0" borderId="0" xfId="0" applyNumberFormat="1" applyFont="1"/>
    <xf numFmtId="164" fontId="19" fillId="0" borderId="0" xfId="0" applyNumberFormat="1" applyFont="1"/>
    <xf numFmtId="0" fontId="20" fillId="0" borderId="0" xfId="0" applyFont="1" applyAlignment="1">
      <alignment horizontal="left"/>
    </xf>
    <xf numFmtId="0" fontId="19" fillId="0" borderId="0" xfId="0" applyFont="1" applyAlignment="1">
      <alignment horizontal="center"/>
    </xf>
    <xf numFmtId="0" fontId="19" fillId="0" borderId="0" xfId="0" applyFont="1" applyAlignment="1">
      <alignment horizontal="left"/>
    </xf>
    <xf numFmtId="0" fontId="18" fillId="0" borderId="0" xfId="0" applyFont="1"/>
    <xf numFmtId="0" fontId="22" fillId="0" borderId="0" xfId="0" applyFont="1"/>
    <xf numFmtId="164" fontId="22" fillId="33" borderId="0" xfId="0" applyNumberFormat="1" applyFont="1" applyFill="1"/>
    <xf numFmtId="0" fontId="22" fillId="33" borderId="0" xfId="0" applyFont="1" applyFill="1" applyAlignment="1">
      <alignment horizontal="center"/>
    </xf>
    <xf numFmtId="0" fontId="23" fillId="33" borderId="0" xfId="0" applyFont="1" applyFill="1" applyAlignment="1">
      <alignment horizontal="center"/>
    </xf>
    <xf numFmtId="0" fontId="23" fillId="0" borderId="0" xfId="0" applyFont="1"/>
    <xf numFmtId="0" fontId="23" fillId="33" borderId="0" xfId="0" applyFont="1" applyFill="1"/>
    <xf numFmtId="0" fontId="21" fillId="0" borderId="0" xfId="0" applyFont="1" applyAlignment="1">
      <alignment horizontal="centerContinuous"/>
    </xf>
    <xf numFmtId="0" fontId="19" fillId="0" borderId="0" xfId="0" applyFont="1" applyAlignment="1">
      <alignment horizontal="centerContinuous"/>
    </xf>
    <xf numFmtId="164" fontId="22" fillId="0" borderId="0" xfId="0" applyNumberFormat="1" applyFont="1"/>
    <xf numFmtId="0" fontId="22" fillId="0" borderId="0" xfId="0" applyFont="1" applyAlignment="1">
      <alignment horizontal="center"/>
    </xf>
    <xf numFmtId="0" fontId="19" fillId="0" borderId="0" xfId="0" pivotButton="1" applyFont="1"/>
    <xf numFmtId="0" fontId="24" fillId="0" borderId="0" xfId="0" applyFont="1"/>
    <xf numFmtId="0" fontId="19" fillId="0" borderId="0" xfId="0" applyFont="1" applyFill="1"/>
    <xf numFmtId="0" fontId="24" fillId="0" borderId="0" xfId="0" applyFont="1" applyFill="1" applyBorder="1"/>
    <xf numFmtId="0" fontId="19" fillId="0" borderId="0" xfId="0" applyFont="1" applyFill="1" applyBorder="1"/>
    <xf numFmtId="0" fontId="19" fillId="0" borderId="0" xfId="0" applyFont="1" applyBorder="1"/>
    <xf numFmtId="0" fontId="23" fillId="0" borderId="0" xfId="0" applyFont="1" applyBorder="1"/>
    <xf numFmtId="0" fontId="22" fillId="0" borderId="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b val="0"/>
        <i val="0"/>
        <strike val="0"/>
        <condense val="0"/>
        <extend val="0"/>
        <outline val="0"/>
        <shadow val="0"/>
        <u val="none"/>
        <vertAlign val="baseline"/>
        <sz val="11"/>
        <color auto="1"/>
        <name val="Segoe UI"/>
        <family val="2"/>
        <scheme val="none"/>
      </font>
      <alignment horizontal="left" vertical="bottom" textRotation="0" wrapText="0" indent="0" justifyLastLine="0" shrinkToFit="0" readingOrder="0"/>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numFmt numFmtId="164" formatCode="&quot;$&quot;#,##0.00"/>
    </dxf>
    <dxf>
      <font>
        <strike val="0"/>
        <outline val="0"/>
        <shadow val="0"/>
        <u val="none"/>
        <vertAlign val="baseline"/>
        <sz val="11"/>
        <name val="Segoe UI"/>
        <family val="2"/>
        <scheme val="none"/>
      </font>
      <numFmt numFmtId="19" formatCode="m/d/yyyy"/>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dxf>
    <dxf>
      <font>
        <strike val="0"/>
        <outline val="0"/>
        <shadow val="0"/>
        <u val="none"/>
        <vertAlign val="baseline"/>
        <sz val="11"/>
        <name val="Segoe UI"/>
        <family val="2"/>
        <scheme val="none"/>
      </font>
      <alignment horizontal="center" vertical="bottom" textRotation="0" wrapText="0" indent="0" justifyLastLine="0" shrinkToFit="0" readingOrder="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16</xdr:row>
      <xdr:rowOff>236221</xdr:rowOff>
    </xdr:from>
    <xdr:to>
      <xdr:col>7</xdr:col>
      <xdr:colOff>0</xdr:colOff>
      <xdr:row>20</xdr:row>
      <xdr:rowOff>0</xdr:rowOff>
    </xdr:to>
    <mc:AlternateContent xmlns:mc="http://schemas.openxmlformats.org/markup-compatibility/2006" xmlns:a14="http://schemas.microsoft.com/office/drawing/2010/main">
      <mc:Choice Requires="a14">
        <xdr:graphicFrame macro="">
          <xdr:nvGraphicFramePr>
            <xdr:cNvPr id="2" name="Remote_Work">
              <a:extLst>
                <a:ext uri="{FF2B5EF4-FFF2-40B4-BE49-F238E27FC236}">
                  <a16:creationId xmlns:a16="http://schemas.microsoft.com/office/drawing/2014/main" id="{CE245882-C965-C8C5-8EA5-A54B46905E4A}"/>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mlns="">
        <xdr:sp macro="" textlink="">
          <xdr:nvSpPr>
            <xdr:cNvPr id="0" name=""/>
            <xdr:cNvSpPr>
              <a:spLocks noTextEdit="1"/>
            </xdr:cNvSpPr>
          </xdr:nvSpPr>
          <xdr:spPr>
            <a:xfrm>
              <a:off x="5036820" y="3855721"/>
              <a:ext cx="326898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Zambrano" refreshedDate="46307.284168402781" createdVersion="8" refreshedVersion="8" minRefreshableVersion="3" recordCount="1020" xr:uid="{3CDE253F-0B74-4D59-BD75-805CA78C0DB5}">
  <cacheSource type="worksheet">
    <worksheetSource name="HR_Data"/>
  </cacheSource>
  <cacheFields count="13">
    <cacheField name="Employee_ID" numFmtId="0">
      <sharedItems/>
    </cacheField>
    <cacheField name="First_Name" numFmtId="0">
      <sharedItems/>
    </cacheField>
    <cacheField name="Last_Name" numFmtId="0">
      <sharedItems/>
    </cacheField>
    <cacheField name="Age" numFmtId="0">
      <sharedItems containsMixedTypes="1" containsNumber="1" containsInteger="1" minValue="25" maxValue="40"/>
    </cacheField>
    <cacheField name="Department" numFmtId="0">
      <sharedItems count="6">
        <s v="DevOps"/>
        <s v="Finance"/>
        <s v="Admin"/>
        <s v="Cloud Tech"/>
        <s v="Sales"/>
        <s v="HR"/>
      </sharedItems>
    </cacheField>
    <cacheField name="Region" numFmtId="0">
      <sharedItems count="6">
        <s v="California"/>
        <s v="Texas"/>
        <s v="Nevada"/>
        <s v="Florida"/>
        <s v="New York"/>
        <s v="Illinois"/>
      </sharedItems>
    </cacheField>
    <cacheField name="Status" numFmtId="0">
      <sharedItems/>
    </cacheField>
    <cacheField name="Join_Date" numFmtId="14">
      <sharedItems/>
    </cacheField>
    <cacheField name="Salary" numFmtId="164">
      <sharedItems containsMixedTypes="1" containsNumber="1" minValue="50047.32" maxValue="119971.65"/>
    </cacheField>
    <cacheField name="Email" numFmtId="0">
      <sharedItems/>
    </cacheField>
    <cacheField name="Phone" numFmtId="0">
      <sharedItems/>
    </cacheField>
    <cacheField name="Performance_Score" numFmtId="0">
      <sharedItems count="4">
        <s v="Average"/>
        <s v="Excellent"/>
        <s v="Good"/>
        <s v="Poor"/>
      </sharedItems>
    </cacheField>
    <cacheField name="Remote_Work" numFmtId="0">
      <sharedItems count="2">
        <b v="1"/>
        <b v="0"/>
      </sharedItems>
    </cacheField>
  </cacheFields>
  <extLst>
    <ext xmlns:x14="http://schemas.microsoft.com/office/spreadsheetml/2009/9/main" uri="{725AE2AE-9491-48be-B2B4-4EB974FC3084}">
      <x14:pivotCacheDefinition pivotCacheId="878305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s v="Davis"/>
    <n v="25"/>
    <x v="0"/>
    <x v="0"/>
    <s v="Active"/>
    <s v="2021-04-02"/>
    <n v="59767.65"/>
    <s v="bob.davis@example.com"/>
    <s v="1651623197"/>
    <x v="0"/>
    <x v="0"/>
  </r>
  <r>
    <s v="EMP1001"/>
    <s v="Bob"/>
    <s v="Brown"/>
    <s v=""/>
    <x v="1"/>
    <x v="1"/>
    <s v="Active"/>
    <s v="2020-07-10"/>
    <n v="65304.66"/>
    <s v="bob.brown@example.com"/>
    <s v="1898471390"/>
    <x v="1"/>
    <x v="0"/>
  </r>
  <r>
    <s v="EMP1002"/>
    <s v="Alice"/>
    <s v="Jones"/>
    <s v=""/>
    <x v="2"/>
    <x v="2"/>
    <s v="Pending"/>
    <s v="2023-12-07"/>
    <n v="88145.9"/>
    <s v="alice.jones@example.com"/>
    <s v="5596363211"/>
    <x v="2"/>
    <x v="0"/>
  </r>
  <r>
    <s v="EMP1003"/>
    <s v="Eva"/>
    <s v="Davis"/>
    <n v="25"/>
    <x v="2"/>
    <x v="2"/>
    <s v="Inactive"/>
    <s v="2021-11-27"/>
    <n v="69450.990000000005"/>
    <s v="eva.davis@example.com"/>
    <s v="3476490784"/>
    <x v="2"/>
    <x v="0"/>
  </r>
  <r>
    <s v="EMP1004"/>
    <s v="Frank"/>
    <s v="Williams"/>
    <n v="25"/>
    <x v="3"/>
    <x v="3"/>
    <s v="Active"/>
    <s v="2022-01-05"/>
    <n v="109324.61"/>
    <s v="frank.williams@example.com"/>
    <s v="1586734256"/>
    <x v="3"/>
    <x v="1"/>
  </r>
  <r>
    <s v="EMP1005"/>
    <s v="Alice"/>
    <s v="Garcia"/>
    <n v="40"/>
    <x v="4"/>
    <x v="1"/>
    <s v="Inactive"/>
    <s v="2020-06-10"/>
    <n v="88642.84"/>
    <s v="alice.garcia@example.com"/>
    <s v="5409003485"/>
    <x v="2"/>
    <x v="1"/>
  </r>
  <r>
    <s v="EMP1006"/>
    <s v="Frank"/>
    <s v="Jones"/>
    <s v=""/>
    <x v="2"/>
    <x v="2"/>
    <s v="Active"/>
    <s v="2020-04-03"/>
    <n v="96288.43"/>
    <s v="frank.jones@example.com"/>
    <s v="4518376063"/>
    <x v="2"/>
    <x v="1"/>
  </r>
  <r>
    <s v="EMP1007"/>
    <s v="Bob"/>
    <s v="Jones"/>
    <n v="30"/>
    <x v="3"/>
    <x v="3"/>
    <s v="Inactive"/>
    <s v="2022-07-17"/>
    <n v="94497.91"/>
    <s v="bob.jones@example.com"/>
    <s v="4134327559"/>
    <x v="0"/>
    <x v="0"/>
  </r>
  <r>
    <s v="EMP1008"/>
    <s v="Frank"/>
    <s v="Davis"/>
    <n v="35"/>
    <x v="2"/>
    <x v="2"/>
    <s v="Inactive"/>
    <s v="2023-12-08"/>
    <n v="115565.82"/>
    <s v="frank.davis@example.com"/>
    <s v="4177656123"/>
    <x v="1"/>
    <x v="0"/>
  </r>
  <r>
    <s v="EMP1009"/>
    <s v="Charlie"/>
    <s v="Johnson"/>
    <s v=""/>
    <x v="0"/>
    <x v="4"/>
    <s v="Active"/>
    <s v="2022-08-04"/>
    <n v="76561.88"/>
    <s v="charlie.johnson@example.com"/>
    <s v="8156985699"/>
    <x v="1"/>
    <x v="0"/>
  </r>
  <r>
    <s v="EMP1010"/>
    <s v="David"/>
    <s v="Williams"/>
    <n v="35"/>
    <x v="3"/>
    <x v="4"/>
    <s v="Active"/>
    <s v="2024-07-06"/>
    <n v="72081.710000000006"/>
    <s v="david.williams@example.com"/>
    <s v="2720634590"/>
    <x v="0"/>
    <x v="1"/>
  </r>
  <r>
    <s v="EMP1011"/>
    <s v="David"/>
    <s v="Davis"/>
    <s v=""/>
    <x v="0"/>
    <x v="0"/>
    <s v="Active"/>
    <s v="2023-09-04"/>
    <n v="84946.19"/>
    <s v="david.davis@example.com"/>
    <s v="1238296576"/>
    <x v="3"/>
    <x v="0"/>
  </r>
  <r>
    <s v="EMP1012"/>
    <s v="Heidi"/>
    <s v="Williams"/>
    <n v="30"/>
    <x v="5"/>
    <x v="4"/>
    <s v="Active"/>
    <s v="2024-03-05"/>
    <n v="89295.77"/>
    <s v="heidi.williams@example.com"/>
    <s v="2429543164"/>
    <x v="1"/>
    <x v="1"/>
  </r>
  <r>
    <s v="EMP1013"/>
    <s v="Grace"/>
    <s v="Williams"/>
    <s v=""/>
    <x v="1"/>
    <x v="0"/>
    <s v="Active"/>
    <s v="2020-10-10"/>
    <n v="85666.84"/>
    <s v="grace.williams@example.com"/>
    <s v="2669300892"/>
    <x v="2"/>
    <x v="1"/>
  </r>
  <r>
    <s v="EMP1014"/>
    <s v="Alice"/>
    <s v="Garcia"/>
    <n v="25"/>
    <x v="2"/>
    <x v="2"/>
    <s v="Active"/>
    <s v="2024-06-10"/>
    <n v="97633.68"/>
    <s v="alice.garcia@example.com"/>
    <s v="1734206968"/>
    <x v="1"/>
    <x v="0"/>
  </r>
  <r>
    <s v="EMP1015"/>
    <s v="Grace"/>
    <s v="Jones"/>
    <n v="40"/>
    <x v="4"/>
    <x v="3"/>
    <s v="Pending"/>
    <s v="2021-05-29"/>
    <n v="117975.49"/>
    <s v="grace.jones@example.com"/>
    <s v="4215291085"/>
    <x v="2"/>
    <x v="0"/>
  </r>
  <r>
    <s v="EMP1016"/>
    <s v="Alice"/>
    <s v="Brown"/>
    <n v="25"/>
    <x v="0"/>
    <x v="5"/>
    <s v="Inactive"/>
    <s v="2024-04-23"/>
    <n v="94867.33"/>
    <s v="alice.brown@example.com"/>
    <s v="7713334475"/>
    <x v="3"/>
    <x v="1"/>
  </r>
  <r>
    <s v="EMP1017"/>
    <s v="Grace"/>
    <s v="Garcia"/>
    <n v="30"/>
    <x v="1"/>
    <x v="1"/>
    <s v="Pending"/>
    <s v="2024-11-28"/>
    <n v="100377.65"/>
    <s v="grace.garcia@example.com"/>
    <s v="2639343625"/>
    <x v="0"/>
    <x v="0"/>
  </r>
  <r>
    <s v="EMP1018"/>
    <s v="Charlie"/>
    <s v="Garcia"/>
    <s v=""/>
    <x v="3"/>
    <x v="2"/>
    <s v="Inactive"/>
    <s v="2024-09-19"/>
    <n v="94726.46"/>
    <s v="charlie.garcia@example.com"/>
    <s v="2044397358"/>
    <x v="1"/>
    <x v="1"/>
  </r>
  <r>
    <s v="EMP1019"/>
    <s v="Charlie"/>
    <s v="Williams"/>
    <n v="35"/>
    <x v="2"/>
    <x v="5"/>
    <s v="Pending"/>
    <s v="2020-01-02"/>
    <n v="91926.12"/>
    <s v="charlie.williams@example.com"/>
    <s v="7107256365"/>
    <x v="0"/>
    <x v="0"/>
  </r>
  <r>
    <s v="EMP1020"/>
    <s v="Bob"/>
    <s v="Miller"/>
    <n v="35"/>
    <x v="5"/>
    <x v="4"/>
    <s v="Active"/>
    <s v="2021-05-08"/>
    <n v="111460.67"/>
    <s v="bob.miller@example.com"/>
    <s v="9411800536"/>
    <x v="1"/>
    <x v="0"/>
  </r>
  <r>
    <s v="EMP1021"/>
    <s v="Bob"/>
    <s v="Jones"/>
    <n v="40"/>
    <x v="3"/>
    <x v="5"/>
    <s v="Active"/>
    <s v="2020-09-19"/>
    <n v="96182.56"/>
    <s v="bob.jones@example.com"/>
    <s v="5990048963"/>
    <x v="2"/>
    <x v="1"/>
  </r>
  <r>
    <s v="EMP1022"/>
    <s v="Charlie"/>
    <s v="Johnson"/>
    <n v="35"/>
    <x v="4"/>
    <x v="5"/>
    <s v="Inactive"/>
    <s v="2021-03-09"/>
    <n v="115023.94"/>
    <s v="charlie.johnson@example.com"/>
    <s v="6528092427"/>
    <x v="0"/>
    <x v="0"/>
  </r>
  <r>
    <s v="EMP1023"/>
    <s v="David"/>
    <s v="Garcia"/>
    <n v="35"/>
    <x v="1"/>
    <x v="2"/>
    <s v="Pending"/>
    <s v="2022-02-03"/>
    <n v="80667.009999999995"/>
    <s v="david.garcia@example.com"/>
    <s v="7572158623"/>
    <x v="1"/>
    <x v="1"/>
  </r>
  <r>
    <s v="EMP1024"/>
    <s v="Bob"/>
    <s v="Brown"/>
    <n v="30"/>
    <x v="2"/>
    <x v="1"/>
    <s v="Inactive"/>
    <s v="2020-02-13"/>
    <n v="91181.61"/>
    <s v="bob.brown@example.com"/>
    <s v="1502745643"/>
    <x v="2"/>
    <x v="0"/>
  </r>
  <r>
    <s v="EMP1025"/>
    <s v="David"/>
    <s v="Miller"/>
    <n v="25"/>
    <x v="3"/>
    <x v="2"/>
    <s v="Pending"/>
    <s v="2020-04-30"/>
    <n v="66025.919999999998"/>
    <s v="david.miller@example.com"/>
    <s v="9485625727"/>
    <x v="0"/>
    <x v="1"/>
  </r>
  <r>
    <s v="EMP1026"/>
    <s v="Frank"/>
    <s v="Miller"/>
    <n v="25"/>
    <x v="4"/>
    <x v="4"/>
    <s v="Inactive"/>
    <s v="2023-10-02"/>
    <n v="83979.01"/>
    <s v="frank.miller@example.com"/>
    <s v="7032032073"/>
    <x v="0"/>
    <x v="1"/>
  </r>
  <r>
    <s v="EMP1027"/>
    <s v="Heidi"/>
    <s v="Johnson"/>
    <n v="30"/>
    <x v="1"/>
    <x v="3"/>
    <s v="Active"/>
    <s v="2020-07-12"/>
    <n v="56785.16"/>
    <s v="heidi.johnson@example.com"/>
    <s v="2761707586"/>
    <x v="1"/>
    <x v="0"/>
  </r>
  <r>
    <s v="EMP1028"/>
    <s v="Grace"/>
    <s v="Garcia"/>
    <n v="40"/>
    <x v="1"/>
    <x v="2"/>
    <s v="Active"/>
    <s v="2023-10-11"/>
    <n v="95741.88"/>
    <s v="grace.garcia@example.com"/>
    <s v="7712151341"/>
    <x v="1"/>
    <x v="1"/>
  </r>
  <r>
    <s v="EMP1029"/>
    <s v="Alice"/>
    <s v="Brown"/>
    <n v="40"/>
    <x v="0"/>
    <x v="0"/>
    <s v="Active"/>
    <s v="2021-05-24"/>
    <n v="63411.31"/>
    <s v="alice.brown@example.com"/>
    <s v="2849939088"/>
    <x v="1"/>
    <x v="0"/>
  </r>
  <r>
    <s v="EMP1030"/>
    <s v="Charlie"/>
    <s v="Jones"/>
    <n v="40"/>
    <x v="2"/>
    <x v="0"/>
    <s v="Inactive"/>
    <s v="2021-05-26"/>
    <n v="111214.02"/>
    <s v="charlie.jones@example.com"/>
    <s v="2613715040"/>
    <x v="2"/>
    <x v="0"/>
  </r>
  <r>
    <s v="EMP1031"/>
    <s v="Bob"/>
    <s v="Smith"/>
    <n v="25"/>
    <x v="0"/>
    <x v="5"/>
    <s v="Active"/>
    <s v="2020-07-10"/>
    <n v="114845.69"/>
    <s v="bob.smith@example.com"/>
    <s v="6591520176"/>
    <x v="1"/>
    <x v="0"/>
  </r>
  <r>
    <s v="EMP1032"/>
    <s v="Charlie"/>
    <s v="Brown"/>
    <n v="40"/>
    <x v="1"/>
    <x v="3"/>
    <s v="Active"/>
    <s v="2024-11-05"/>
    <n v="78072.820000000007"/>
    <s v="charlie.brown@example.com"/>
    <s v="7490509758"/>
    <x v="0"/>
    <x v="1"/>
  </r>
  <r>
    <s v="EMP1033"/>
    <s v="Grace"/>
    <s v="Johnson"/>
    <n v="25"/>
    <x v="1"/>
    <x v="0"/>
    <s v="Inactive"/>
    <s v="2021-08-07"/>
    <n v="79610.52"/>
    <s v="grace.johnson@example.com"/>
    <s v="2304501895"/>
    <x v="0"/>
    <x v="1"/>
  </r>
  <r>
    <s v="EMP1034"/>
    <s v="Heidi"/>
    <s v="Miller"/>
    <n v="30"/>
    <x v="2"/>
    <x v="0"/>
    <s v="Active"/>
    <s v="2020-04-29"/>
    <n v="90542.62"/>
    <s v="heidi.miller@example.com"/>
    <s v="1642361031"/>
    <x v="1"/>
    <x v="0"/>
  </r>
  <r>
    <s v="EMP1035"/>
    <s v="Frank"/>
    <s v="Jones"/>
    <n v="25"/>
    <x v="3"/>
    <x v="5"/>
    <s v="Inactive"/>
    <s v="2022-10-26"/>
    <n v="114357.1"/>
    <s v="frank.jones@example.com"/>
    <s v="6642147648"/>
    <x v="1"/>
    <x v="0"/>
  </r>
  <r>
    <s v="EMP1036"/>
    <s v="Alice"/>
    <s v="Brown"/>
    <s v=""/>
    <x v="3"/>
    <x v="4"/>
    <s v="Active"/>
    <s v="2023-05-03"/>
    <n v="54757.26"/>
    <s v="alice.brown@example.com"/>
    <s v="2515837766"/>
    <x v="3"/>
    <x v="1"/>
  </r>
  <r>
    <s v="EMP1037"/>
    <s v="Grace"/>
    <s v="Smith"/>
    <n v="25"/>
    <x v="4"/>
    <x v="4"/>
    <s v="Pending"/>
    <s v="2023-05-02"/>
    <n v="52781.919999999998"/>
    <s v="grace.smith@example.com"/>
    <s v="4996165925"/>
    <x v="0"/>
    <x v="0"/>
  </r>
  <r>
    <s v="EMP1038"/>
    <s v="Frank"/>
    <s v="Smith"/>
    <n v="35"/>
    <x v="2"/>
    <x v="2"/>
    <s v="Pending"/>
    <s v="2021-10-05"/>
    <n v="66708.02"/>
    <s v="frank.smith@example.com"/>
    <s v="6108573277"/>
    <x v="2"/>
    <x v="0"/>
  </r>
  <r>
    <s v="EMP1039"/>
    <s v="Eva"/>
    <s v="Williams"/>
    <n v="40"/>
    <x v="5"/>
    <x v="1"/>
    <s v="Active"/>
    <s v="2022-07-27"/>
    <n v="93481.15"/>
    <s v="eva.williams@example.com"/>
    <s v="8147617421"/>
    <x v="3"/>
    <x v="1"/>
  </r>
  <r>
    <s v="EMP1040"/>
    <s v="Bob"/>
    <s v="Williams"/>
    <n v="25"/>
    <x v="4"/>
    <x v="4"/>
    <s v="Pending"/>
    <s v="2021-06-27"/>
    <n v="59271.96"/>
    <s v="bob.williams@example.com"/>
    <s v="4386490809"/>
    <x v="1"/>
    <x v="0"/>
  </r>
  <r>
    <s v="EMP1041"/>
    <s v="Bob"/>
    <s v="Davis"/>
    <n v="30"/>
    <x v="5"/>
    <x v="0"/>
    <s v="Active"/>
    <s v="2022-06-16"/>
    <n v="108362.15"/>
    <s v="bob.davis@example.com"/>
    <s v="8186617944"/>
    <x v="1"/>
    <x v="1"/>
  </r>
  <r>
    <s v="EMP1042"/>
    <s v="Alice"/>
    <s v="Johnson"/>
    <s v=""/>
    <x v="5"/>
    <x v="2"/>
    <s v="Active"/>
    <s v="2024-12-03"/>
    <n v="59400.38"/>
    <s v="alice.johnson@example.com"/>
    <s v="4918017225"/>
    <x v="0"/>
    <x v="0"/>
  </r>
  <r>
    <s v="EMP1043"/>
    <s v="Bob"/>
    <s v="Garcia"/>
    <s v=""/>
    <x v="2"/>
    <x v="0"/>
    <s v="Inactive"/>
    <s v="2023-05-23"/>
    <n v="64744.08"/>
    <s v="bob.garcia@example.com"/>
    <s v="164597793"/>
    <x v="1"/>
    <x v="1"/>
  </r>
  <r>
    <s v="EMP1044"/>
    <s v="Eva"/>
    <s v="Brown"/>
    <s v=""/>
    <x v="1"/>
    <x v="0"/>
    <s v="Active"/>
    <s v="2020-07-08"/>
    <n v="94399.91"/>
    <s v="eva.brown@example.com"/>
    <s v="5232194167"/>
    <x v="2"/>
    <x v="0"/>
  </r>
  <r>
    <s v="EMP1045"/>
    <s v="Alice"/>
    <s v="Brown"/>
    <n v="25"/>
    <x v="5"/>
    <x v="4"/>
    <s v="Pending"/>
    <s v="2021-06-20"/>
    <n v="61310.74"/>
    <s v="alice.brown@example.com"/>
    <s v="61027768"/>
    <x v="0"/>
    <x v="0"/>
  </r>
  <r>
    <s v="EMP1046"/>
    <s v="Grace"/>
    <s v="Garcia"/>
    <s v=""/>
    <x v="3"/>
    <x v="1"/>
    <s v="Active"/>
    <s v="2024-12-13"/>
    <n v="98371.37"/>
    <s v="grace.garcia@example.com"/>
    <s v="7499564121"/>
    <x v="1"/>
    <x v="1"/>
  </r>
  <r>
    <s v="EMP1047"/>
    <s v="Alice"/>
    <s v="Davis"/>
    <n v="35"/>
    <x v="4"/>
    <x v="5"/>
    <s v="Active"/>
    <s v="2022-05-30"/>
    <n v="58921.19"/>
    <s v="alice.davis@example.com"/>
    <s v="310303722"/>
    <x v="0"/>
    <x v="0"/>
  </r>
  <r>
    <s v="EMP1048"/>
    <s v="Alice"/>
    <s v="Miller"/>
    <n v="35"/>
    <x v="2"/>
    <x v="2"/>
    <s v="Active"/>
    <s v="2023-09-27"/>
    <n v="57195.55"/>
    <s v="alice.miller@example.com"/>
    <s v="6831472759"/>
    <x v="1"/>
    <x v="1"/>
  </r>
  <r>
    <s v="EMP1049"/>
    <s v="Grace"/>
    <s v="Miller"/>
    <s v=""/>
    <x v="0"/>
    <x v="4"/>
    <s v="Active"/>
    <s v="2024-11-05"/>
    <n v="61375.12"/>
    <s v="grace.miller@example.com"/>
    <s v="1227770792"/>
    <x v="1"/>
    <x v="0"/>
  </r>
  <r>
    <s v="EMP1050"/>
    <s v="Charlie"/>
    <s v="Davis"/>
    <n v="40"/>
    <x v="3"/>
    <x v="4"/>
    <s v="Pending"/>
    <s v="2021-11-11"/>
    <n v="104767.05"/>
    <s v="charlie.davis@example.com"/>
    <s v="3496050165"/>
    <x v="1"/>
    <x v="1"/>
  </r>
  <r>
    <s v="EMP1051"/>
    <s v="David"/>
    <s v="Miller"/>
    <n v="35"/>
    <x v="2"/>
    <x v="2"/>
    <s v="Active"/>
    <s v="2022-02-22"/>
    <n v="111051.67"/>
    <s v="david.miller@example.com"/>
    <s v="7998407677"/>
    <x v="2"/>
    <x v="1"/>
  </r>
  <r>
    <s v="EMP1052"/>
    <s v="David"/>
    <s v="Williams"/>
    <n v="30"/>
    <x v="1"/>
    <x v="0"/>
    <s v="Inactive"/>
    <s v="2024-08-07"/>
    <n v="105674.18"/>
    <s v="david.williams@example.com"/>
    <s v="9973080694"/>
    <x v="2"/>
    <x v="1"/>
  </r>
  <r>
    <s v="EMP1053"/>
    <s v="Alice"/>
    <s v="Brown"/>
    <n v="30"/>
    <x v="1"/>
    <x v="0"/>
    <s v="Inactive"/>
    <s v="2024-11-05"/>
    <n v="54859.45"/>
    <s v="alice.brown@example.com"/>
    <s v="8146717956"/>
    <x v="0"/>
    <x v="1"/>
  </r>
  <r>
    <s v="EMP1054"/>
    <s v="Frank"/>
    <s v="Davis"/>
    <s v=""/>
    <x v="1"/>
    <x v="2"/>
    <s v="Pending"/>
    <s v="2021-11-09"/>
    <n v="115746.6"/>
    <s v="frank.davis@example.com"/>
    <s v="6024375737"/>
    <x v="1"/>
    <x v="0"/>
  </r>
  <r>
    <s v="EMP1055"/>
    <s v="Eva"/>
    <s v="Brown"/>
    <n v="30"/>
    <x v="4"/>
    <x v="0"/>
    <s v="Active"/>
    <s v="2020-08-10"/>
    <n v="91759.99"/>
    <s v="eva.brown@example.com"/>
    <s v="3959724664"/>
    <x v="1"/>
    <x v="0"/>
  </r>
  <r>
    <s v="EMP1056"/>
    <s v="Frank"/>
    <s v="Garcia"/>
    <n v="40"/>
    <x v="4"/>
    <x v="5"/>
    <s v="Active"/>
    <s v="2022-02-27"/>
    <n v="112965.33"/>
    <s v="frank.garcia@example.com"/>
    <s v="7293417222"/>
    <x v="2"/>
    <x v="1"/>
  </r>
  <r>
    <s v="EMP1057"/>
    <s v="Alice"/>
    <s v="Smith"/>
    <n v="40"/>
    <x v="3"/>
    <x v="5"/>
    <s v="Pending"/>
    <s v="2023-11-07"/>
    <n v="100360.1"/>
    <s v="alice.smith@example.com"/>
    <s v="2971674337"/>
    <x v="1"/>
    <x v="1"/>
  </r>
  <r>
    <s v="EMP1058"/>
    <s v="David"/>
    <s v="Williams"/>
    <n v="35"/>
    <x v="1"/>
    <x v="1"/>
    <s v="Pending"/>
    <s v="2021-11-07"/>
    <n v="93620.88"/>
    <s v="david.williams@example.com"/>
    <s v="54522800"/>
    <x v="2"/>
    <x v="1"/>
  </r>
  <r>
    <s v="EMP1059"/>
    <s v="Bob"/>
    <s v="Jones"/>
    <n v="35"/>
    <x v="4"/>
    <x v="0"/>
    <s v="Pending"/>
    <s v="2022-04-16"/>
    <n v="72832.800000000003"/>
    <s v="bob.jones@example.com"/>
    <s v="5619318373"/>
    <x v="1"/>
    <x v="0"/>
  </r>
  <r>
    <s v="EMP1060"/>
    <s v="Charlie"/>
    <s v="Williams"/>
    <n v="30"/>
    <x v="1"/>
    <x v="2"/>
    <s v="Inactive"/>
    <s v="2023-10-19"/>
    <n v="102369.42"/>
    <s v="charlie.williams@example.com"/>
    <s v="5508428909"/>
    <x v="0"/>
    <x v="0"/>
  </r>
  <r>
    <s v="EMP1061"/>
    <s v="Eva"/>
    <s v="Davis"/>
    <n v="40"/>
    <x v="4"/>
    <x v="1"/>
    <s v="Inactive"/>
    <s v="2021-08-10"/>
    <n v="64712.79"/>
    <s v="eva.davis@example.com"/>
    <s v="7711991807"/>
    <x v="1"/>
    <x v="0"/>
  </r>
  <r>
    <s v="EMP1062"/>
    <s v="Frank"/>
    <s v="Jones"/>
    <n v="40"/>
    <x v="1"/>
    <x v="3"/>
    <s v="Pending"/>
    <s v="2021-03-13"/>
    <n v="85782.18"/>
    <s v="frank.jones@example.com"/>
    <s v="1213524786"/>
    <x v="1"/>
    <x v="0"/>
  </r>
  <r>
    <s v="EMP1063"/>
    <s v="Charlie"/>
    <s v="Smith"/>
    <n v="25"/>
    <x v="5"/>
    <x v="5"/>
    <s v="Pending"/>
    <s v="2023-07-20"/>
    <n v="93348.26"/>
    <s v="charlie.smith@example.com"/>
    <s v="1255213759"/>
    <x v="3"/>
    <x v="1"/>
  </r>
  <r>
    <s v="EMP1064"/>
    <s v="David"/>
    <s v="Davis"/>
    <n v="35"/>
    <x v="2"/>
    <x v="4"/>
    <s v="Active"/>
    <s v="2020-02-20"/>
    <n v="53234.96"/>
    <s v="david.davis@example.com"/>
    <s v="3754821455"/>
    <x v="2"/>
    <x v="1"/>
  </r>
  <r>
    <s v="EMP1065"/>
    <s v="Bob"/>
    <s v="Johnson"/>
    <n v="40"/>
    <x v="1"/>
    <x v="2"/>
    <s v="Pending"/>
    <s v="2021-02-02"/>
    <n v="100284.21"/>
    <s v="bob.johnson@example.com"/>
    <s v="5328632665"/>
    <x v="1"/>
    <x v="1"/>
  </r>
  <r>
    <s v="EMP1066"/>
    <s v="Grace"/>
    <s v="Brown"/>
    <n v="30"/>
    <x v="2"/>
    <x v="2"/>
    <s v="Pending"/>
    <s v="2020-01-12"/>
    <n v="112486.19"/>
    <s v="grace.brown@example.com"/>
    <s v="7850720810"/>
    <x v="1"/>
    <x v="0"/>
  </r>
  <r>
    <s v="EMP1067"/>
    <s v="Bob"/>
    <s v="Smith"/>
    <n v="40"/>
    <x v="2"/>
    <x v="4"/>
    <s v="Pending"/>
    <s v="2022-11-26"/>
    <n v="82518.490000000005"/>
    <s v="bob.smith@example.com"/>
    <s v="5562606028"/>
    <x v="3"/>
    <x v="0"/>
  </r>
  <r>
    <s v="EMP1068"/>
    <s v="Bob"/>
    <s v="Brown"/>
    <n v="40"/>
    <x v="2"/>
    <x v="3"/>
    <s v="Pending"/>
    <s v="2022-12-23"/>
    <n v="119152.47"/>
    <s v="bob.brown@example.com"/>
    <s v="846684549"/>
    <x v="3"/>
    <x v="0"/>
  </r>
  <r>
    <s v="EMP1069"/>
    <s v="Heidi"/>
    <s v="Miller"/>
    <s v=""/>
    <x v="0"/>
    <x v="5"/>
    <s v="Inactive"/>
    <s v="2024-08-28"/>
    <n v="113479.83"/>
    <s v="heidi.miller@example.com"/>
    <s v="4892673898"/>
    <x v="2"/>
    <x v="1"/>
  </r>
  <r>
    <s v="EMP1070"/>
    <s v="Charlie"/>
    <s v="Johnson"/>
    <n v="40"/>
    <x v="1"/>
    <x v="0"/>
    <s v="Active"/>
    <s v="2024-09-16"/>
    <n v="94636.3"/>
    <s v="charlie.johnson@example.com"/>
    <s v="7563410855"/>
    <x v="3"/>
    <x v="1"/>
  </r>
  <r>
    <s v="EMP1071"/>
    <s v="Heidi"/>
    <s v="Johnson"/>
    <n v="30"/>
    <x v="5"/>
    <x v="3"/>
    <s v="Active"/>
    <s v="2024-01-01"/>
    <n v="70000.97"/>
    <s v="heidi.johnson@example.com"/>
    <s v="2884318847"/>
    <x v="0"/>
    <x v="0"/>
  </r>
  <r>
    <s v="EMP1072"/>
    <s v="Frank"/>
    <s v="Smith"/>
    <s v=""/>
    <x v="3"/>
    <x v="4"/>
    <s v="Active"/>
    <s v="2021-04-18"/>
    <n v="76812.47"/>
    <s v="frank.smith@example.com"/>
    <s v="5200894345"/>
    <x v="3"/>
    <x v="1"/>
  </r>
  <r>
    <s v="EMP1073"/>
    <s v="David"/>
    <s v="Johnson"/>
    <n v="25"/>
    <x v="1"/>
    <x v="3"/>
    <s v="Inactive"/>
    <s v="2023-01-16"/>
    <n v="82614.7"/>
    <s v="david.johnson@example.com"/>
    <s v="8105485100"/>
    <x v="0"/>
    <x v="0"/>
  </r>
  <r>
    <s v="EMP1074"/>
    <s v="Grace"/>
    <s v="Jones"/>
    <n v="40"/>
    <x v="4"/>
    <x v="2"/>
    <s v="Active"/>
    <s v="2024-10-20"/>
    <n v="111645.97"/>
    <s v="grace.jones@example.com"/>
    <s v="7490753997"/>
    <x v="2"/>
    <x v="0"/>
  </r>
  <r>
    <s v="EMP1075"/>
    <s v="Heidi"/>
    <s v="Johnson"/>
    <n v="25"/>
    <x v="5"/>
    <x v="0"/>
    <s v="Inactive"/>
    <s v="2024-10-13"/>
    <n v="112414.91"/>
    <s v="heidi.johnson@example.com"/>
    <s v="9354492682"/>
    <x v="2"/>
    <x v="1"/>
  </r>
  <r>
    <s v="EMP1076"/>
    <s v="David"/>
    <s v="Brown"/>
    <n v="40"/>
    <x v="2"/>
    <x v="0"/>
    <s v="Inactive"/>
    <s v="2022-09-21"/>
    <n v="52031.74"/>
    <s v="david.brown@example.com"/>
    <s v="1589357125"/>
    <x v="2"/>
    <x v="0"/>
  </r>
  <r>
    <s v="EMP1077"/>
    <s v="Grace"/>
    <s v="Brown"/>
    <n v="30"/>
    <x v="1"/>
    <x v="4"/>
    <s v="Pending"/>
    <s v="2022-12-29"/>
    <n v="51887.65"/>
    <s v="grace.brown@example.com"/>
    <s v="6110627370"/>
    <x v="2"/>
    <x v="1"/>
  </r>
  <r>
    <s v="EMP1078"/>
    <s v="Alice"/>
    <s v="Davis"/>
    <n v="25"/>
    <x v="0"/>
    <x v="3"/>
    <s v="Active"/>
    <s v="2024-11-10"/>
    <n v="82318.89"/>
    <s v="alice.davis@example.com"/>
    <s v="5869886496"/>
    <x v="2"/>
    <x v="0"/>
  </r>
  <r>
    <s v="EMP1079"/>
    <s v="Grace"/>
    <s v="Brown"/>
    <n v="35"/>
    <x v="2"/>
    <x v="3"/>
    <s v="Inactive"/>
    <s v="2021-11-22"/>
    <n v="103286.08"/>
    <s v="grace.brown@example.com"/>
    <s v="6776228276"/>
    <x v="0"/>
    <x v="1"/>
  </r>
  <r>
    <s v="EMP1080"/>
    <s v="Grace"/>
    <s v="Davis"/>
    <n v="35"/>
    <x v="3"/>
    <x v="3"/>
    <s v="Active"/>
    <s v="2024-03-14"/>
    <n v="87759.33"/>
    <s v="grace.davis@example.com"/>
    <s v="2881377027"/>
    <x v="0"/>
    <x v="1"/>
  </r>
  <r>
    <s v="EMP1081"/>
    <s v="Frank"/>
    <s v="Brown"/>
    <n v="30"/>
    <x v="0"/>
    <x v="1"/>
    <s v="Pending"/>
    <s v="2020-03-23"/>
    <n v="102796.32"/>
    <s v="frank.brown@example.com"/>
    <s v="5196115939"/>
    <x v="2"/>
    <x v="1"/>
  </r>
  <r>
    <s v="EMP1082"/>
    <s v="David"/>
    <s v="Jones"/>
    <n v="25"/>
    <x v="4"/>
    <x v="4"/>
    <s v="Active"/>
    <s v="2020-09-15"/>
    <n v="83149.27"/>
    <s v="david.jones@example.com"/>
    <s v="8215454469"/>
    <x v="3"/>
    <x v="0"/>
  </r>
  <r>
    <s v="EMP1083"/>
    <s v="David"/>
    <s v="Garcia"/>
    <n v="40"/>
    <x v="0"/>
    <x v="0"/>
    <s v="Inactive"/>
    <s v="2020-12-09"/>
    <n v="92412.49"/>
    <s v="david.garcia@example.com"/>
    <s v="2296044326"/>
    <x v="1"/>
    <x v="0"/>
  </r>
  <r>
    <s v="EMP1084"/>
    <s v="Bob"/>
    <s v="Davis"/>
    <n v="30"/>
    <x v="5"/>
    <x v="1"/>
    <s v="Pending"/>
    <s v="2020-02-22"/>
    <n v="115022.1"/>
    <s v="bob.davis@example.com"/>
    <s v="185106793"/>
    <x v="2"/>
    <x v="1"/>
  </r>
  <r>
    <s v="EMP1085"/>
    <s v="Grace"/>
    <s v="Williams"/>
    <n v="40"/>
    <x v="0"/>
    <x v="4"/>
    <s v="Active"/>
    <s v="2023-04-27"/>
    <n v="98343.01"/>
    <s v="grace.williams@example.com"/>
    <s v="9756792286"/>
    <x v="3"/>
    <x v="1"/>
  </r>
  <r>
    <s v="EMP1086"/>
    <s v="Bob"/>
    <s v="Miller"/>
    <n v="35"/>
    <x v="0"/>
    <x v="5"/>
    <s v="Active"/>
    <s v="2024-06-18"/>
    <n v="118869.1"/>
    <s v="bob.miller@example.com"/>
    <s v="7725199662"/>
    <x v="1"/>
    <x v="0"/>
  </r>
  <r>
    <s v="EMP1087"/>
    <s v="Frank"/>
    <s v="Smith"/>
    <s v=""/>
    <x v="1"/>
    <x v="2"/>
    <s v="Inactive"/>
    <s v="2020-05-21"/>
    <n v="85417.26"/>
    <s v="frank.smith@example.com"/>
    <s v="6580741208"/>
    <x v="2"/>
    <x v="0"/>
  </r>
  <r>
    <s v="EMP1088"/>
    <s v="Grace"/>
    <s v="Brown"/>
    <n v="40"/>
    <x v="3"/>
    <x v="3"/>
    <s v="Inactive"/>
    <s v="2023-07-25"/>
    <n v="112410.25"/>
    <s v="grace.brown@example.com"/>
    <s v="4818139889"/>
    <x v="2"/>
    <x v="0"/>
  </r>
  <r>
    <s v="EMP1089"/>
    <s v="Charlie"/>
    <s v="Johnson"/>
    <n v="40"/>
    <x v="2"/>
    <x v="2"/>
    <s v="Pending"/>
    <s v="2023-08-25"/>
    <n v="68905.77"/>
    <s v="charlie.johnson@example.com"/>
    <s v="9837801819"/>
    <x v="0"/>
    <x v="1"/>
  </r>
  <r>
    <s v="EMP1090"/>
    <s v="Heidi"/>
    <s v="Garcia"/>
    <n v="40"/>
    <x v="1"/>
    <x v="2"/>
    <s v="Pending"/>
    <s v="2021-07-03"/>
    <n v="72561.320000000007"/>
    <s v="heidi.garcia@example.com"/>
    <s v="4339718955"/>
    <x v="1"/>
    <x v="0"/>
  </r>
  <r>
    <s v="EMP1091"/>
    <s v="Bob"/>
    <s v="Brown"/>
    <n v="35"/>
    <x v="1"/>
    <x v="4"/>
    <s v="Inactive"/>
    <s v="2023-03-13"/>
    <n v="92723.22"/>
    <s v="bob.brown@example.com"/>
    <s v="9070562607"/>
    <x v="1"/>
    <x v="0"/>
  </r>
  <r>
    <s v="EMP1092"/>
    <s v="Alice"/>
    <s v="Johnson"/>
    <n v="40"/>
    <x v="5"/>
    <x v="4"/>
    <s v="Inactive"/>
    <s v="2021-03-10"/>
    <n v="74837.75"/>
    <s v="alice.johnson@example.com"/>
    <s v="5641118241"/>
    <x v="3"/>
    <x v="1"/>
  </r>
  <r>
    <s v="EMP1093"/>
    <s v="Eva"/>
    <s v="Miller"/>
    <s v=""/>
    <x v="0"/>
    <x v="0"/>
    <s v="Pending"/>
    <s v="2020-01-21"/>
    <n v="86163.91"/>
    <s v="eva.miller@example.com"/>
    <s v="2412462094"/>
    <x v="0"/>
    <x v="0"/>
  </r>
  <r>
    <s v="EMP1094"/>
    <s v="David"/>
    <s v="Miller"/>
    <n v="40"/>
    <x v="1"/>
    <x v="5"/>
    <s v="Active"/>
    <s v="2023-11-15"/>
    <n v="83326.52"/>
    <s v="david.miller@example.com"/>
    <s v="2004615264"/>
    <x v="0"/>
    <x v="0"/>
  </r>
  <r>
    <s v="EMP1095"/>
    <s v="Heidi"/>
    <s v="Miller"/>
    <n v="25"/>
    <x v="3"/>
    <x v="0"/>
    <s v="Active"/>
    <s v="2022-04-08"/>
    <n v="98425.1"/>
    <s v="heidi.miller@example.com"/>
    <s v="4610339936"/>
    <x v="0"/>
    <x v="0"/>
  </r>
  <r>
    <s v="EMP1096"/>
    <s v="Frank"/>
    <s v="Johnson"/>
    <n v="40"/>
    <x v="4"/>
    <x v="5"/>
    <s v="Inactive"/>
    <s v="2022-05-21"/>
    <n v="119764.2"/>
    <s v="frank.johnson@example.com"/>
    <s v="8861405785"/>
    <x v="0"/>
    <x v="1"/>
  </r>
  <r>
    <s v="EMP1097"/>
    <s v="Frank"/>
    <s v="Brown"/>
    <n v="40"/>
    <x v="5"/>
    <x v="0"/>
    <s v="Inactive"/>
    <s v="2021-04-17"/>
    <n v="58445.91"/>
    <s v="frank.brown@example.com"/>
    <s v="1706304890"/>
    <x v="1"/>
    <x v="1"/>
  </r>
  <r>
    <s v="EMP1098"/>
    <s v="Bob"/>
    <s v="Miller"/>
    <s v=""/>
    <x v="0"/>
    <x v="4"/>
    <s v="Active"/>
    <s v="2021-03-19"/>
    <n v="101702.33"/>
    <s v="bob.miller@example.com"/>
    <s v="3824967182"/>
    <x v="1"/>
    <x v="1"/>
  </r>
  <r>
    <s v="EMP1099"/>
    <s v="Eva"/>
    <s v="Jones"/>
    <n v="25"/>
    <x v="2"/>
    <x v="0"/>
    <s v="Active"/>
    <s v="2022-01-09"/>
    <s v=""/>
    <s v="eva.jones@example.com"/>
    <s v="2582386869"/>
    <x v="2"/>
    <x v="1"/>
  </r>
  <r>
    <s v="EMP1100"/>
    <s v="Charlie"/>
    <s v="Davis"/>
    <n v="35"/>
    <x v="3"/>
    <x v="1"/>
    <s v="Pending"/>
    <s v="2021-08-21"/>
    <n v="98819.22"/>
    <s v="charlie.davis@example.com"/>
    <s v="794200748"/>
    <x v="2"/>
    <x v="1"/>
  </r>
  <r>
    <s v="EMP1101"/>
    <s v="Heidi"/>
    <s v="Johnson"/>
    <n v="25"/>
    <x v="3"/>
    <x v="5"/>
    <s v="Inactive"/>
    <s v="2022-08-19"/>
    <n v="83509.990000000005"/>
    <s v="heidi.johnson@example.com"/>
    <s v="4653984027"/>
    <x v="0"/>
    <x v="1"/>
  </r>
  <r>
    <s v="EMP1102"/>
    <s v="Alice"/>
    <s v="Johnson"/>
    <n v="35"/>
    <x v="1"/>
    <x v="1"/>
    <s v="Active"/>
    <s v="2022-03-31"/>
    <n v="84422.26"/>
    <s v="alice.johnson@example.com"/>
    <s v="9141612845"/>
    <x v="0"/>
    <x v="1"/>
  </r>
  <r>
    <s v="EMP1103"/>
    <s v="Alice"/>
    <s v="Brown"/>
    <n v="30"/>
    <x v="2"/>
    <x v="5"/>
    <s v="Inactive"/>
    <s v="2020-06-23"/>
    <n v="119574.27"/>
    <s v="alice.brown@example.com"/>
    <s v="3985547434"/>
    <x v="0"/>
    <x v="0"/>
  </r>
  <r>
    <s v="EMP1104"/>
    <s v="Grace"/>
    <s v="Johnson"/>
    <s v=""/>
    <x v="4"/>
    <x v="5"/>
    <s v="Active"/>
    <s v="2024-05-07"/>
    <n v="86580.08"/>
    <s v="grace.johnson@example.com"/>
    <s v="5379502096"/>
    <x v="2"/>
    <x v="0"/>
  </r>
  <r>
    <s v="EMP1105"/>
    <s v="Heidi"/>
    <s v="Johnson"/>
    <n v="35"/>
    <x v="4"/>
    <x v="3"/>
    <s v="Inactive"/>
    <s v="2023-03-10"/>
    <n v="93471.91"/>
    <s v="heidi.johnson@example.com"/>
    <s v="26876810"/>
    <x v="3"/>
    <x v="1"/>
  </r>
  <r>
    <s v="EMP1106"/>
    <s v="Bob"/>
    <s v="Miller"/>
    <n v="30"/>
    <x v="0"/>
    <x v="4"/>
    <s v="Inactive"/>
    <s v="2023-09-14"/>
    <n v="55683.12"/>
    <s v="bob.miller@example.com"/>
    <s v="8071569561"/>
    <x v="3"/>
    <x v="0"/>
  </r>
  <r>
    <s v="EMP1107"/>
    <s v="Bob"/>
    <s v="Brown"/>
    <n v="30"/>
    <x v="3"/>
    <x v="3"/>
    <s v="Inactive"/>
    <s v="2023-11-12"/>
    <n v="91566.78"/>
    <s v="bob.brown@example.com"/>
    <s v="175370303"/>
    <x v="2"/>
    <x v="0"/>
  </r>
  <r>
    <s v="EMP1108"/>
    <s v="David"/>
    <s v="Miller"/>
    <n v="35"/>
    <x v="0"/>
    <x v="0"/>
    <s v="Pending"/>
    <s v="2024-10-26"/>
    <n v="81782.19"/>
    <s v="david.miller@example.com"/>
    <s v="5319433749"/>
    <x v="2"/>
    <x v="1"/>
  </r>
  <r>
    <s v="EMP1109"/>
    <s v="Eva"/>
    <s v="Davis"/>
    <s v=""/>
    <x v="0"/>
    <x v="4"/>
    <s v="Inactive"/>
    <s v="2020-08-23"/>
    <n v="88119.37"/>
    <s v="eva.davis@example.com"/>
    <s v="4793036148"/>
    <x v="2"/>
    <x v="0"/>
  </r>
  <r>
    <s v="EMP1110"/>
    <s v="Eva"/>
    <s v="Garcia"/>
    <n v="30"/>
    <x v="3"/>
    <x v="1"/>
    <s v="Active"/>
    <s v="2024-06-11"/>
    <n v="71532.83"/>
    <s v="eva.garcia@example.com"/>
    <s v="8728399920"/>
    <x v="2"/>
    <x v="0"/>
  </r>
  <r>
    <s v="EMP1111"/>
    <s v="Eva"/>
    <s v="Davis"/>
    <n v="40"/>
    <x v="3"/>
    <x v="3"/>
    <s v="Pending"/>
    <s v="2021-09-14"/>
    <n v="98981.36"/>
    <s v="eva.davis@example.com"/>
    <s v="9212493842"/>
    <x v="2"/>
    <x v="0"/>
  </r>
  <r>
    <s v="EMP1112"/>
    <s v="Heidi"/>
    <s v="Garcia"/>
    <n v="40"/>
    <x v="3"/>
    <x v="5"/>
    <s v="Active"/>
    <s v="2024-12-26"/>
    <n v="80242.009999999995"/>
    <s v="heidi.garcia@example.com"/>
    <s v="894870604"/>
    <x v="2"/>
    <x v="0"/>
  </r>
  <r>
    <s v="EMP1113"/>
    <s v="Eva"/>
    <s v="Miller"/>
    <n v="25"/>
    <x v="3"/>
    <x v="4"/>
    <s v="Pending"/>
    <s v="2024-09-08"/>
    <n v="110236.18"/>
    <s v="eva.miller@example.com"/>
    <s v="6641877579"/>
    <x v="0"/>
    <x v="0"/>
  </r>
  <r>
    <s v="EMP1114"/>
    <s v="Alice"/>
    <s v="Davis"/>
    <n v="35"/>
    <x v="4"/>
    <x v="1"/>
    <s v="Active"/>
    <s v="2022-08-21"/>
    <n v="86327.47"/>
    <s v="alice.davis@example.com"/>
    <s v="3046875062"/>
    <x v="0"/>
    <x v="1"/>
  </r>
  <r>
    <s v="EMP1115"/>
    <s v="Eva"/>
    <s v="Brown"/>
    <n v="30"/>
    <x v="4"/>
    <x v="3"/>
    <s v="Pending"/>
    <s v="2024-07-25"/>
    <n v="84420.81"/>
    <s v="eva.brown@example.com"/>
    <s v="5190361331"/>
    <x v="0"/>
    <x v="1"/>
  </r>
  <r>
    <s v="EMP1116"/>
    <s v="Frank"/>
    <s v="Smith"/>
    <n v="40"/>
    <x v="5"/>
    <x v="0"/>
    <s v="Pending"/>
    <s v="2020-08-02"/>
    <n v="110041.32"/>
    <s v="frank.smith@example.com"/>
    <s v="5411076094"/>
    <x v="0"/>
    <x v="1"/>
  </r>
  <r>
    <s v="EMP1117"/>
    <s v="Heidi"/>
    <s v="Miller"/>
    <n v="35"/>
    <x v="0"/>
    <x v="3"/>
    <s v="Pending"/>
    <s v="2020-03-16"/>
    <n v="81837.81"/>
    <s v="heidi.miller@example.com"/>
    <s v="4317350582"/>
    <x v="2"/>
    <x v="0"/>
  </r>
  <r>
    <s v="EMP1118"/>
    <s v="Frank"/>
    <s v="Garcia"/>
    <n v="25"/>
    <x v="1"/>
    <x v="5"/>
    <s v="Active"/>
    <s v="2023-09-08"/>
    <n v="110855.72"/>
    <s v="frank.garcia@example.com"/>
    <s v="1997179109"/>
    <x v="3"/>
    <x v="1"/>
  </r>
  <r>
    <s v="EMP1119"/>
    <s v="Alice"/>
    <s v="Jones"/>
    <n v="30"/>
    <x v="4"/>
    <x v="0"/>
    <s v="Pending"/>
    <s v="2024-03-29"/>
    <n v="84894.52"/>
    <s v="alice.jones@example.com"/>
    <s v="651207048"/>
    <x v="1"/>
    <x v="0"/>
  </r>
  <r>
    <s v="EMP1120"/>
    <s v="Alice"/>
    <s v="Garcia"/>
    <n v="30"/>
    <x v="5"/>
    <x v="5"/>
    <s v="Active"/>
    <s v="2021-08-12"/>
    <n v="80668.13"/>
    <s v="alice.garcia@example.com"/>
    <s v="6110804660"/>
    <x v="2"/>
    <x v="0"/>
  </r>
  <r>
    <s v="EMP1121"/>
    <s v="Bob"/>
    <s v="Jones"/>
    <n v="25"/>
    <x v="0"/>
    <x v="5"/>
    <s v="Active"/>
    <s v="2023-12-24"/>
    <n v="61086.47"/>
    <s v="bob.jones@example.com"/>
    <s v="9639907675"/>
    <x v="1"/>
    <x v="0"/>
  </r>
  <r>
    <s v="EMP1122"/>
    <s v="Grace"/>
    <s v="Johnson"/>
    <n v="25"/>
    <x v="2"/>
    <x v="1"/>
    <s v="Inactive"/>
    <s v="2020-08-28"/>
    <n v="95339.68"/>
    <s v="grace.johnson@example.com"/>
    <s v="9915078592"/>
    <x v="3"/>
    <x v="0"/>
  </r>
  <r>
    <s v="EMP1123"/>
    <s v="Eva"/>
    <s v="Davis"/>
    <s v=""/>
    <x v="0"/>
    <x v="0"/>
    <s v="Inactive"/>
    <s v="2024-09-05"/>
    <n v="83774.97"/>
    <s v="eva.davis@example.com"/>
    <s v="1109193927"/>
    <x v="0"/>
    <x v="1"/>
  </r>
  <r>
    <s v="EMP1124"/>
    <s v="Heidi"/>
    <s v="Jones"/>
    <s v=""/>
    <x v="2"/>
    <x v="3"/>
    <s v="Active"/>
    <s v="2023-05-12"/>
    <n v="85576.86"/>
    <s v="heidi.jones@example.com"/>
    <s v="4567972319"/>
    <x v="3"/>
    <x v="1"/>
  </r>
  <r>
    <s v="EMP1125"/>
    <s v="Bob"/>
    <s v="Garcia"/>
    <n v="35"/>
    <x v="1"/>
    <x v="0"/>
    <s v="Pending"/>
    <s v="2021-07-01"/>
    <n v="107438.46"/>
    <s v="bob.garcia@example.com"/>
    <s v="249685497"/>
    <x v="2"/>
    <x v="0"/>
  </r>
  <r>
    <s v="EMP1126"/>
    <s v="Eva"/>
    <s v="Johnson"/>
    <s v=""/>
    <x v="4"/>
    <x v="2"/>
    <s v="Inactive"/>
    <s v="2024-11-07"/>
    <n v="60401.68"/>
    <s v="eva.johnson@example.com"/>
    <s v="2274954507"/>
    <x v="0"/>
    <x v="1"/>
  </r>
  <r>
    <s v="EMP1127"/>
    <s v="Frank"/>
    <s v="Smith"/>
    <n v="35"/>
    <x v="4"/>
    <x v="5"/>
    <s v="Inactive"/>
    <s v="2022-07-21"/>
    <n v="115299.66"/>
    <s v="frank.smith@example.com"/>
    <s v="9203880652"/>
    <x v="2"/>
    <x v="0"/>
  </r>
  <r>
    <s v="EMP1128"/>
    <s v="David"/>
    <s v="Brown"/>
    <s v=""/>
    <x v="1"/>
    <x v="4"/>
    <s v="Inactive"/>
    <s v="2020-03-30"/>
    <n v="72272.34"/>
    <s v="david.brown@example.com"/>
    <s v="3315377958"/>
    <x v="0"/>
    <x v="1"/>
  </r>
  <r>
    <s v="EMP1129"/>
    <s v="Grace"/>
    <s v="Brown"/>
    <n v="40"/>
    <x v="0"/>
    <x v="2"/>
    <s v="Active"/>
    <s v="2022-10-11"/>
    <n v="117537.71"/>
    <s v="grace.brown@example.com"/>
    <s v="9594652169"/>
    <x v="1"/>
    <x v="1"/>
  </r>
  <r>
    <s v="EMP1130"/>
    <s v="Frank"/>
    <s v="Brown"/>
    <n v="25"/>
    <x v="1"/>
    <x v="1"/>
    <s v="Pending"/>
    <s v="2022-07-24"/>
    <n v="51074.33"/>
    <s v="frank.brown@example.com"/>
    <s v="7303379336"/>
    <x v="1"/>
    <x v="0"/>
  </r>
  <r>
    <s v="EMP1131"/>
    <s v="Charlie"/>
    <s v="Jones"/>
    <n v="25"/>
    <x v="1"/>
    <x v="0"/>
    <s v="Inactive"/>
    <s v="2023-06-30"/>
    <n v="98489.32"/>
    <s v="charlie.jones@example.com"/>
    <s v="5636205014"/>
    <x v="1"/>
    <x v="1"/>
  </r>
  <r>
    <s v="EMP1132"/>
    <s v="Frank"/>
    <s v="Smith"/>
    <s v=""/>
    <x v="1"/>
    <x v="0"/>
    <s v="Pending"/>
    <s v="2024-01-11"/>
    <n v="112120.71"/>
    <s v="frank.smith@example.com"/>
    <s v="812473949"/>
    <x v="3"/>
    <x v="0"/>
  </r>
  <r>
    <s v="EMP1133"/>
    <s v="Alice"/>
    <s v="Jones"/>
    <s v=""/>
    <x v="3"/>
    <x v="4"/>
    <s v="Pending"/>
    <s v="2023-11-02"/>
    <n v="114465.04"/>
    <s v="alice.jones@example.com"/>
    <s v="334234257"/>
    <x v="2"/>
    <x v="1"/>
  </r>
  <r>
    <s v="EMP1134"/>
    <s v="Bob"/>
    <s v="Davis"/>
    <n v="40"/>
    <x v="3"/>
    <x v="2"/>
    <s v="Pending"/>
    <s v="2024-11-22"/>
    <n v="57035.51"/>
    <s v="bob.davis@example.com"/>
    <s v="3230241025"/>
    <x v="3"/>
    <x v="0"/>
  </r>
  <r>
    <s v="EMP1135"/>
    <s v="Eva"/>
    <s v="Jones"/>
    <n v="25"/>
    <x v="3"/>
    <x v="0"/>
    <s v="Active"/>
    <s v="2021-08-23"/>
    <n v="75092.429999999993"/>
    <s v="eva.jones@example.com"/>
    <s v="1534735527"/>
    <x v="1"/>
    <x v="0"/>
  </r>
  <r>
    <s v="EMP1136"/>
    <s v="David"/>
    <s v="Smith"/>
    <s v=""/>
    <x v="1"/>
    <x v="5"/>
    <s v="Pending"/>
    <s v="2024-06-11"/>
    <n v="62603.98"/>
    <s v="david.smith@example.com"/>
    <s v="9611223385"/>
    <x v="2"/>
    <x v="1"/>
  </r>
  <r>
    <s v="EMP1137"/>
    <s v="Grace"/>
    <s v="Smith"/>
    <s v=""/>
    <x v="0"/>
    <x v="4"/>
    <s v="Inactive"/>
    <s v="2023-04-09"/>
    <n v="60018.239999999998"/>
    <s v="grace.smith@example.com"/>
    <s v="5596309937"/>
    <x v="1"/>
    <x v="1"/>
  </r>
  <r>
    <s v="EMP1138"/>
    <s v="Eva"/>
    <s v="Davis"/>
    <n v="40"/>
    <x v="5"/>
    <x v="2"/>
    <s v="Active"/>
    <s v="2024-07-05"/>
    <n v="82567.73"/>
    <s v="eva.davis@example.com"/>
    <s v="4253042896"/>
    <x v="3"/>
    <x v="0"/>
  </r>
  <r>
    <s v="EMP1139"/>
    <s v="Charlie"/>
    <s v="Smith"/>
    <n v="25"/>
    <x v="1"/>
    <x v="0"/>
    <s v="Pending"/>
    <s v="2021-09-04"/>
    <n v="94725.71"/>
    <s v="charlie.smith@example.com"/>
    <s v="3179128684"/>
    <x v="3"/>
    <x v="1"/>
  </r>
  <r>
    <s v="EMP1140"/>
    <s v="Eva"/>
    <s v="Garcia"/>
    <n v="40"/>
    <x v="5"/>
    <x v="4"/>
    <s v="Inactive"/>
    <s v="2024-10-13"/>
    <n v="83824.56"/>
    <s v="eva.garcia@example.com"/>
    <s v="7872558776"/>
    <x v="3"/>
    <x v="1"/>
  </r>
  <r>
    <s v="EMP1141"/>
    <s v="Frank"/>
    <s v="Smith"/>
    <s v=""/>
    <x v="5"/>
    <x v="2"/>
    <s v="Inactive"/>
    <s v="2020-02-14"/>
    <n v="118456.11"/>
    <s v="frank.smith@example.com"/>
    <s v="4969033372"/>
    <x v="1"/>
    <x v="0"/>
  </r>
  <r>
    <s v="EMP1142"/>
    <s v="Eva"/>
    <s v="Brown"/>
    <n v="25"/>
    <x v="4"/>
    <x v="2"/>
    <s v="Pending"/>
    <s v="2020-04-10"/>
    <n v="113743.19"/>
    <s v="eva.brown@example.com"/>
    <s v="6346692547"/>
    <x v="2"/>
    <x v="0"/>
  </r>
  <r>
    <s v="EMP1143"/>
    <s v="Eva"/>
    <s v="Garcia"/>
    <n v="30"/>
    <x v="4"/>
    <x v="0"/>
    <s v="Active"/>
    <s v="2023-07-27"/>
    <n v="63309.24"/>
    <s v="eva.garcia@example.com"/>
    <s v="1214785389"/>
    <x v="2"/>
    <x v="1"/>
  </r>
  <r>
    <s v="EMP1144"/>
    <s v="Charlie"/>
    <s v="Garcia"/>
    <n v="25"/>
    <x v="0"/>
    <x v="2"/>
    <s v="Active"/>
    <s v="2021-09-24"/>
    <n v="105202.73"/>
    <s v="charlie.garcia@example.com"/>
    <s v="7895677664"/>
    <x v="1"/>
    <x v="0"/>
  </r>
  <r>
    <s v="EMP1145"/>
    <s v="Frank"/>
    <s v="Davis"/>
    <n v="30"/>
    <x v="3"/>
    <x v="0"/>
    <s v="Inactive"/>
    <s v="2024-03-10"/>
    <n v="79085.22"/>
    <s v="frank.davis@example.com"/>
    <s v="7546027340"/>
    <x v="2"/>
    <x v="0"/>
  </r>
  <r>
    <s v="EMP1146"/>
    <s v="Frank"/>
    <s v="Williams"/>
    <s v=""/>
    <x v="4"/>
    <x v="0"/>
    <s v="Active"/>
    <s v="2021-06-10"/>
    <n v="113983.43"/>
    <s v="frank.williams@example.com"/>
    <s v="5148881430"/>
    <x v="1"/>
    <x v="0"/>
  </r>
  <r>
    <s v="EMP1147"/>
    <s v="Eva"/>
    <s v="Williams"/>
    <n v="35"/>
    <x v="3"/>
    <x v="3"/>
    <s v="Active"/>
    <s v="2020-10-15"/>
    <n v="102790.6"/>
    <s v="eva.williams@example.com"/>
    <s v="1150835353"/>
    <x v="2"/>
    <x v="1"/>
  </r>
  <r>
    <s v="EMP1148"/>
    <s v="Grace"/>
    <s v="Smith"/>
    <s v=""/>
    <x v="5"/>
    <x v="1"/>
    <s v="Inactive"/>
    <s v="2020-01-29"/>
    <n v="68512.100000000006"/>
    <s v="grace.smith@example.com"/>
    <s v="4439284043"/>
    <x v="0"/>
    <x v="1"/>
  </r>
  <r>
    <s v="EMP1149"/>
    <s v="Frank"/>
    <s v="Garcia"/>
    <n v="35"/>
    <x v="4"/>
    <x v="3"/>
    <s v="Pending"/>
    <s v="2022-01-30"/>
    <n v="57584.23"/>
    <s v="frank.garcia@example.com"/>
    <s v="5669078262"/>
    <x v="0"/>
    <x v="0"/>
  </r>
  <r>
    <s v="EMP1150"/>
    <s v="Alice"/>
    <s v="Williams"/>
    <s v=""/>
    <x v="4"/>
    <x v="0"/>
    <s v="Pending"/>
    <s v="2021-03-29"/>
    <n v="95335.67"/>
    <s v="alice.williams@example.com"/>
    <s v="3373898774"/>
    <x v="3"/>
    <x v="1"/>
  </r>
  <r>
    <s v="EMP1151"/>
    <s v="Heidi"/>
    <s v="Williams"/>
    <n v="35"/>
    <x v="0"/>
    <x v="3"/>
    <s v="Active"/>
    <s v="2020-10-13"/>
    <n v="53174.28"/>
    <s v="heidi.williams@example.com"/>
    <s v="1536637779"/>
    <x v="0"/>
    <x v="0"/>
  </r>
  <r>
    <s v="EMP1152"/>
    <s v="Heidi"/>
    <s v="Smith"/>
    <n v="25"/>
    <x v="3"/>
    <x v="4"/>
    <s v="Pending"/>
    <s v="2020-10-04"/>
    <n v="77205.210000000006"/>
    <s v="heidi.smith@example.com"/>
    <s v="5292407552"/>
    <x v="0"/>
    <x v="1"/>
  </r>
  <r>
    <s v="EMP1153"/>
    <s v="Grace"/>
    <s v="Williams"/>
    <s v=""/>
    <x v="0"/>
    <x v="2"/>
    <s v="Active"/>
    <s v="2024-12-18"/>
    <n v="79041.919999999998"/>
    <s v="grace.williams@example.com"/>
    <s v="6668459089"/>
    <x v="0"/>
    <x v="0"/>
  </r>
  <r>
    <s v="EMP1154"/>
    <s v="Heidi"/>
    <s v="Jones"/>
    <s v=""/>
    <x v="1"/>
    <x v="0"/>
    <s v="Active"/>
    <s v="2023-11-14"/>
    <n v="75937.100000000006"/>
    <s v="heidi.jones@example.com"/>
    <s v="2259999662"/>
    <x v="1"/>
    <x v="0"/>
  </r>
  <r>
    <s v="EMP1155"/>
    <s v="David"/>
    <s v="Johnson"/>
    <n v="35"/>
    <x v="3"/>
    <x v="2"/>
    <s v="Inactive"/>
    <s v="2023-01-20"/>
    <n v="113118.73"/>
    <s v="david.johnson@example.com"/>
    <s v="6186371596"/>
    <x v="0"/>
    <x v="1"/>
  </r>
  <r>
    <s v="EMP1156"/>
    <s v="Alice"/>
    <s v="Davis"/>
    <n v="40"/>
    <x v="5"/>
    <x v="4"/>
    <s v="Active"/>
    <s v="2024-10-02"/>
    <n v="107693.38"/>
    <s v="alice.davis@example.com"/>
    <s v="4121820969"/>
    <x v="0"/>
    <x v="0"/>
  </r>
  <r>
    <s v="EMP1157"/>
    <s v="David"/>
    <s v="Johnson"/>
    <s v=""/>
    <x v="3"/>
    <x v="1"/>
    <s v="Inactive"/>
    <s v="2021-05-13"/>
    <n v="119217.46"/>
    <s v="david.johnson@example.com"/>
    <s v="2316433480"/>
    <x v="3"/>
    <x v="1"/>
  </r>
  <r>
    <s v="EMP1158"/>
    <s v="David"/>
    <s v="Smith"/>
    <n v="25"/>
    <x v="4"/>
    <x v="4"/>
    <s v="Pending"/>
    <s v="2021-03-18"/>
    <n v="106913.71"/>
    <s v="david.smith@example.com"/>
    <s v="7058025661"/>
    <x v="0"/>
    <x v="1"/>
  </r>
  <r>
    <s v="EMP1159"/>
    <s v="Charlie"/>
    <s v="Brown"/>
    <s v=""/>
    <x v="3"/>
    <x v="0"/>
    <s v="Active"/>
    <s v="2020-09-23"/>
    <n v="87815.08"/>
    <s v="charlie.brown@example.com"/>
    <s v="1286716322"/>
    <x v="0"/>
    <x v="0"/>
  </r>
  <r>
    <s v="EMP1160"/>
    <s v="Bob"/>
    <s v="Davis"/>
    <n v="25"/>
    <x v="2"/>
    <x v="1"/>
    <s v="Inactive"/>
    <s v="2024-06-05"/>
    <n v="105190.21"/>
    <s v="bob.davis@example.com"/>
    <s v="4672994937"/>
    <x v="2"/>
    <x v="0"/>
  </r>
  <r>
    <s v="EMP1161"/>
    <s v="Alice"/>
    <s v="Smith"/>
    <n v="30"/>
    <x v="5"/>
    <x v="1"/>
    <s v="Active"/>
    <s v="2024-02-28"/>
    <n v="79467.240000000005"/>
    <s v="alice.smith@example.com"/>
    <s v="7430271692"/>
    <x v="3"/>
    <x v="1"/>
  </r>
  <r>
    <s v="EMP1162"/>
    <s v="Bob"/>
    <s v="Garcia"/>
    <n v="40"/>
    <x v="1"/>
    <x v="0"/>
    <s v="Pending"/>
    <s v="2023-04-30"/>
    <n v="57633.78"/>
    <s v="bob.garcia@example.com"/>
    <s v="8597779013"/>
    <x v="3"/>
    <x v="0"/>
  </r>
  <r>
    <s v="EMP1163"/>
    <s v="Alice"/>
    <s v="Brown"/>
    <s v=""/>
    <x v="5"/>
    <x v="3"/>
    <s v="Pending"/>
    <s v="2020-03-04"/>
    <n v="54257.78"/>
    <s v="alice.brown@example.com"/>
    <s v="7546926328"/>
    <x v="3"/>
    <x v="0"/>
  </r>
  <r>
    <s v="EMP1164"/>
    <s v="Grace"/>
    <s v="Johnson"/>
    <n v="40"/>
    <x v="0"/>
    <x v="1"/>
    <s v="Inactive"/>
    <s v="2023-12-29"/>
    <n v="113679.06"/>
    <s v="grace.johnson@example.com"/>
    <s v="6762916031"/>
    <x v="3"/>
    <x v="0"/>
  </r>
  <r>
    <s v="EMP1165"/>
    <s v="Bob"/>
    <s v="Smith"/>
    <n v="35"/>
    <x v="4"/>
    <x v="4"/>
    <s v="Active"/>
    <s v="2020-09-15"/>
    <n v="69251.12"/>
    <s v="bob.smith@example.com"/>
    <s v="4841376814"/>
    <x v="3"/>
    <x v="0"/>
  </r>
  <r>
    <s v="EMP1166"/>
    <s v="Frank"/>
    <s v="Garcia"/>
    <n v="40"/>
    <x v="4"/>
    <x v="5"/>
    <s v="Inactive"/>
    <s v="2022-07-18"/>
    <n v="85388.58"/>
    <s v="frank.garcia@example.com"/>
    <s v="1185672437"/>
    <x v="3"/>
    <x v="0"/>
  </r>
  <r>
    <s v="EMP1167"/>
    <s v="Bob"/>
    <s v="Davis"/>
    <s v=""/>
    <x v="0"/>
    <x v="4"/>
    <s v="Inactive"/>
    <s v="2022-07-13"/>
    <n v="112166.37"/>
    <s v="bob.davis@example.com"/>
    <s v="701765635"/>
    <x v="1"/>
    <x v="1"/>
  </r>
  <r>
    <s v="EMP1168"/>
    <s v="Heidi"/>
    <s v="Davis"/>
    <n v="40"/>
    <x v="1"/>
    <x v="2"/>
    <s v="Active"/>
    <s v="2021-10-02"/>
    <n v="79873.48"/>
    <s v="heidi.davis@example.com"/>
    <s v="41257770"/>
    <x v="0"/>
    <x v="1"/>
  </r>
  <r>
    <s v="EMP1169"/>
    <s v="Frank"/>
    <s v="Miller"/>
    <n v="30"/>
    <x v="0"/>
    <x v="3"/>
    <s v="Active"/>
    <s v="2020-07-05"/>
    <n v="108224.03"/>
    <s v="frank.miller@example.com"/>
    <s v="1837274219"/>
    <x v="3"/>
    <x v="0"/>
  </r>
  <r>
    <s v="EMP1170"/>
    <s v="Bob"/>
    <s v="Garcia"/>
    <n v="35"/>
    <x v="2"/>
    <x v="5"/>
    <s v="Active"/>
    <s v="2023-04-16"/>
    <n v="116963.72"/>
    <s v="bob.garcia@example.com"/>
    <s v="9124186209"/>
    <x v="0"/>
    <x v="0"/>
  </r>
  <r>
    <s v="EMP1171"/>
    <s v="Bob"/>
    <s v="Jones"/>
    <n v="40"/>
    <x v="5"/>
    <x v="2"/>
    <s v="Inactive"/>
    <s v="2024-11-12"/>
    <n v="114109.06"/>
    <s v="bob.jones@example.com"/>
    <s v="4275230836"/>
    <x v="0"/>
    <x v="0"/>
  </r>
  <r>
    <s v="EMP1172"/>
    <s v="Eva"/>
    <s v="Williams"/>
    <s v=""/>
    <x v="5"/>
    <x v="0"/>
    <s v="Active"/>
    <s v="2023-03-29"/>
    <n v="85518.88"/>
    <s v="eva.williams@example.com"/>
    <s v="816470899"/>
    <x v="1"/>
    <x v="1"/>
  </r>
  <r>
    <s v="EMP1173"/>
    <s v="Heidi"/>
    <s v="Brown"/>
    <n v="30"/>
    <x v="3"/>
    <x v="0"/>
    <s v="Pending"/>
    <s v="2022-01-22"/>
    <n v="58041.97"/>
    <s v="heidi.brown@example.com"/>
    <s v="6335331059"/>
    <x v="3"/>
    <x v="0"/>
  </r>
  <r>
    <s v="EMP1174"/>
    <s v="David"/>
    <s v="Garcia"/>
    <n v="40"/>
    <x v="4"/>
    <x v="5"/>
    <s v="Pending"/>
    <s v="2023-10-14"/>
    <n v="94988.94"/>
    <s v="david.garcia@example.com"/>
    <s v="531312205"/>
    <x v="2"/>
    <x v="1"/>
  </r>
  <r>
    <s v="EMP1175"/>
    <s v="Eva"/>
    <s v="Miller"/>
    <n v="25"/>
    <x v="2"/>
    <x v="0"/>
    <s v="Pending"/>
    <s v="2024-04-10"/>
    <n v="71628.929999999993"/>
    <s v="eva.miller@example.com"/>
    <s v="8155839385"/>
    <x v="1"/>
    <x v="1"/>
  </r>
  <r>
    <s v="EMP1176"/>
    <s v="Alice"/>
    <s v="Williams"/>
    <n v="30"/>
    <x v="2"/>
    <x v="5"/>
    <s v="Pending"/>
    <s v="2022-03-31"/>
    <n v="54870.98"/>
    <s v="alice.williams@example.com"/>
    <s v="6133155205"/>
    <x v="2"/>
    <x v="1"/>
  </r>
  <r>
    <s v="EMP1177"/>
    <s v="Alice"/>
    <s v="Williams"/>
    <n v="25"/>
    <x v="0"/>
    <x v="5"/>
    <s v="Active"/>
    <s v="2022-02-09"/>
    <n v="79388.27"/>
    <s v="alice.williams@example.com"/>
    <s v="5063731494"/>
    <x v="0"/>
    <x v="0"/>
  </r>
  <r>
    <s v="EMP1178"/>
    <s v="Frank"/>
    <s v="Smith"/>
    <n v="35"/>
    <x v="0"/>
    <x v="0"/>
    <s v="Pending"/>
    <s v="2023-05-06"/>
    <n v="55946.99"/>
    <s v="frank.smith@example.com"/>
    <s v="136497188"/>
    <x v="0"/>
    <x v="1"/>
  </r>
  <r>
    <s v="EMP1179"/>
    <s v="Charlie"/>
    <s v="Williams"/>
    <s v=""/>
    <x v="3"/>
    <x v="2"/>
    <s v="Active"/>
    <s v="2021-07-11"/>
    <n v="81017.91"/>
    <s v="charlie.williams@example.com"/>
    <s v="2419562524"/>
    <x v="1"/>
    <x v="0"/>
  </r>
  <r>
    <s v="EMP1180"/>
    <s v="Heidi"/>
    <s v="Jones"/>
    <n v="40"/>
    <x v="5"/>
    <x v="4"/>
    <s v="Pending"/>
    <s v="2020-08-21"/>
    <n v="74162.100000000006"/>
    <s v="heidi.jones@example.com"/>
    <s v="7150997682"/>
    <x v="1"/>
    <x v="1"/>
  </r>
  <r>
    <s v="EMP1181"/>
    <s v="Heidi"/>
    <s v="Davis"/>
    <s v=""/>
    <x v="0"/>
    <x v="0"/>
    <s v="Active"/>
    <s v="2021-03-27"/>
    <n v="77668.44"/>
    <s v="heidi.davis@example.com"/>
    <s v="8903091435"/>
    <x v="2"/>
    <x v="0"/>
  </r>
  <r>
    <s v="EMP1182"/>
    <s v="Alice"/>
    <s v="Miller"/>
    <n v="30"/>
    <x v="5"/>
    <x v="4"/>
    <s v="Active"/>
    <s v="2024-04-14"/>
    <n v="67886.37"/>
    <s v="alice.miller@example.com"/>
    <s v="3910257431"/>
    <x v="3"/>
    <x v="1"/>
  </r>
  <r>
    <s v="EMP1183"/>
    <s v="Alice"/>
    <s v="Williams"/>
    <n v="40"/>
    <x v="0"/>
    <x v="3"/>
    <s v="Active"/>
    <s v="2020-09-21"/>
    <n v="76614.52"/>
    <s v="alice.williams@example.com"/>
    <s v="6303975244"/>
    <x v="2"/>
    <x v="0"/>
  </r>
  <r>
    <s v="EMP1184"/>
    <s v="Frank"/>
    <s v="Smith"/>
    <n v="25"/>
    <x v="1"/>
    <x v="2"/>
    <s v="Active"/>
    <s v="2022-06-12"/>
    <n v="51311.91"/>
    <s v="frank.smith@example.com"/>
    <s v="864035532"/>
    <x v="1"/>
    <x v="1"/>
  </r>
  <r>
    <s v="EMP1185"/>
    <s v="Frank"/>
    <s v="Jones"/>
    <s v=""/>
    <x v="1"/>
    <x v="5"/>
    <s v="Inactive"/>
    <s v="2023-12-24"/>
    <n v="94809.919999999998"/>
    <s v="frank.jones@example.com"/>
    <s v="8033968526"/>
    <x v="2"/>
    <x v="0"/>
  </r>
  <r>
    <s v="EMP1186"/>
    <s v="Grace"/>
    <s v="Johnson"/>
    <n v="25"/>
    <x v="5"/>
    <x v="4"/>
    <s v="Pending"/>
    <s v="2022-07-31"/>
    <n v="108241.81"/>
    <s v="grace.johnson@example.com"/>
    <s v="171302320"/>
    <x v="1"/>
    <x v="0"/>
  </r>
  <r>
    <s v="EMP1187"/>
    <s v="Bob"/>
    <s v="Davis"/>
    <n v="40"/>
    <x v="3"/>
    <x v="4"/>
    <s v="Inactive"/>
    <s v="2023-04-21"/>
    <n v="78031.490000000005"/>
    <s v="bob.davis@example.com"/>
    <s v="2983381673"/>
    <x v="2"/>
    <x v="0"/>
  </r>
  <r>
    <s v="EMP1188"/>
    <s v="Eva"/>
    <s v="Davis"/>
    <n v="35"/>
    <x v="2"/>
    <x v="0"/>
    <s v="Active"/>
    <s v="2020-06-05"/>
    <n v="85733.83"/>
    <s v="eva.davis@example.com"/>
    <s v="2336293448"/>
    <x v="1"/>
    <x v="0"/>
  </r>
  <r>
    <s v="EMP1189"/>
    <s v="David"/>
    <s v="Miller"/>
    <n v="35"/>
    <x v="5"/>
    <x v="2"/>
    <s v="Pending"/>
    <s v="2024-07-27"/>
    <n v="60338.29"/>
    <s v="david.miller@example.com"/>
    <s v="7347156626"/>
    <x v="1"/>
    <x v="1"/>
  </r>
  <r>
    <s v="EMP1190"/>
    <s v="Eva"/>
    <s v="Davis"/>
    <n v="30"/>
    <x v="2"/>
    <x v="5"/>
    <s v="Active"/>
    <s v="2024-04-05"/>
    <n v="103140.67"/>
    <s v="eva.davis@example.com"/>
    <s v="7689627065"/>
    <x v="1"/>
    <x v="1"/>
  </r>
  <r>
    <s v="EMP1191"/>
    <s v="Heidi"/>
    <s v="Williams"/>
    <n v="40"/>
    <x v="4"/>
    <x v="5"/>
    <s v="Inactive"/>
    <s v="2023-10-26"/>
    <n v="114690.8"/>
    <s v="heidi.williams@example.com"/>
    <s v="1498282466"/>
    <x v="3"/>
    <x v="0"/>
  </r>
  <r>
    <s v="EMP1192"/>
    <s v="Frank"/>
    <s v="Smith"/>
    <n v="35"/>
    <x v="2"/>
    <x v="3"/>
    <s v="Active"/>
    <s v="2022-08-18"/>
    <n v="80954.559999999998"/>
    <s v="frank.smith@example.com"/>
    <s v="4746897151"/>
    <x v="2"/>
    <x v="1"/>
  </r>
  <r>
    <s v="EMP1193"/>
    <s v="Eva"/>
    <s v="Davis"/>
    <s v=""/>
    <x v="3"/>
    <x v="0"/>
    <s v="Pending"/>
    <s v="2020-05-31"/>
    <n v="71728.55"/>
    <s v="eva.davis@example.com"/>
    <s v="7323008575"/>
    <x v="2"/>
    <x v="0"/>
  </r>
  <r>
    <s v="EMP1194"/>
    <s v="Alice"/>
    <s v="Davis"/>
    <n v="35"/>
    <x v="5"/>
    <x v="1"/>
    <s v="Pending"/>
    <s v="2024-11-04"/>
    <n v="118415.8"/>
    <s v="alice.davis@example.com"/>
    <s v="6656749159"/>
    <x v="2"/>
    <x v="0"/>
  </r>
  <r>
    <s v="EMP1195"/>
    <s v="Grace"/>
    <s v="Johnson"/>
    <n v="40"/>
    <x v="4"/>
    <x v="5"/>
    <s v="Pending"/>
    <s v="2020-03-25"/>
    <n v="81481.36"/>
    <s v="grace.johnson@example.com"/>
    <s v="1692364586"/>
    <x v="1"/>
    <x v="1"/>
  </r>
  <r>
    <s v="EMP1196"/>
    <s v="David"/>
    <s v="Johnson"/>
    <n v="35"/>
    <x v="4"/>
    <x v="3"/>
    <s v="Pending"/>
    <s v="2020-11-04"/>
    <n v="117040.57"/>
    <s v="david.johnson@example.com"/>
    <s v="5066337049"/>
    <x v="2"/>
    <x v="0"/>
  </r>
  <r>
    <s v="EMP1197"/>
    <s v="Frank"/>
    <s v="Brown"/>
    <n v="25"/>
    <x v="4"/>
    <x v="2"/>
    <s v="Active"/>
    <s v="2020-03-21"/>
    <n v="67342.06"/>
    <s v="frank.brown@example.com"/>
    <s v="2497243991"/>
    <x v="2"/>
    <x v="0"/>
  </r>
  <r>
    <s v="EMP1198"/>
    <s v="Heidi"/>
    <s v="Jones"/>
    <s v=""/>
    <x v="4"/>
    <x v="5"/>
    <s v="Active"/>
    <s v="2022-01-15"/>
    <n v="76099.64"/>
    <s v="heidi.jones@example.com"/>
    <s v="116691835"/>
    <x v="1"/>
    <x v="1"/>
  </r>
  <r>
    <s v="EMP1199"/>
    <s v="Grace"/>
    <s v="Williams"/>
    <n v="35"/>
    <x v="0"/>
    <x v="5"/>
    <s v="Active"/>
    <s v="2024-06-04"/>
    <n v="94162.06"/>
    <s v="grace.williams@example.com"/>
    <s v="2644886945"/>
    <x v="0"/>
    <x v="0"/>
  </r>
  <r>
    <s v="EMP1200"/>
    <s v="Frank"/>
    <s v="Davis"/>
    <n v="25"/>
    <x v="4"/>
    <x v="2"/>
    <s v="Inactive"/>
    <s v="2021-08-04"/>
    <n v="67639.7"/>
    <s v="frank.davis@example.com"/>
    <s v="1195243639"/>
    <x v="1"/>
    <x v="0"/>
  </r>
  <r>
    <s v="EMP1201"/>
    <s v="Charlie"/>
    <s v="Garcia"/>
    <n v="35"/>
    <x v="3"/>
    <x v="5"/>
    <s v="Pending"/>
    <s v="2020-10-16"/>
    <n v="114172.25"/>
    <s v="charlie.garcia@example.com"/>
    <s v="2701168645"/>
    <x v="2"/>
    <x v="0"/>
  </r>
  <r>
    <s v="EMP1202"/>
    <s v="Grace"/>
    <s v="Davis"/>
    <n v="30"/>
    <x v="4"/>
    <x v="2"/>
    <s v="Active"/>
    <s v="2021-09-26"/>
    <n v="89124.54"/>
    <s v="grace.davis@example.com"/>
    <s v="2252237280"/>
    <x v="1"/>
    <x v="0"/>
  </r>
  <r>
    <s v="EMP1203"/>
    <s v="Frank"/>
    <s v="Smith"/>
    <n v="30"/>
    <x v="0"/>
    <x v="2"/>
    <s v="Pending"/>
    <s v="2023-11-04"/>
    <n v="113871.36"/>
    <s v="frank.smith@example.com"/>
    <s v="7932302345"/>
    <x v="0"/>
    <x v="1"/>
  </r>
  <r>
    <s v="EMP1204"/>
    <s v="Grace"/>
    <s v="Brown"/>
    <s v=""/>
    <x v="5"/>
    <x v="1"/>
    <s v="Inactive"/>
    <s v="2021-09-24"/>
    <n v="62618.400000000001"/>
    <s v="grace.brown@example.com"/>
    <s v="7912141613"/>
    <x v="1"/>
    <x v="1"/>
  </r>
  <r>
    <s v="EMP1205"/>
    <s v="Heidi"/>
    <s v="Jones"/>
    <n v="30"/>
    <x v="2"/>
    <x v="4"/>
    <s v="Active"/>
    <s v="2020-06-07"/>
    <n v="70705.45"/>
    <s v="heidi.jones@example.com"/>
    <s v="1509377099"/>
    <x v="2"/>
    <x v="1"/>
  </r>
  <r>
    <s v="EMP1206"/>
    <s v="Alice"/>
    <s v="Garcia"/>
    <n v="35"/>
    <x v="4"/>
    <x v="4"/>
    <s v="Pending"/>
    <s v="2022-02-10"/>
    <n v="60797.69"/>
    <s v="alice.garcia@example.com"/>
    <s v="4090138068"/>
    <x v="0"/>
    <x v="0"/>
  </r>
  <r>
    <s v="EMP1207"/>
    <s v="Charlie"/>
    <s v="Brown"/>
    <n v="40"/>
    <x v="3"/>
    <x v="3"/>
    <s v="Inactive"/>
    <s v="2023-10-17"/>
    <n v="100371"/>
    <s v="charlie.brown@example.com"/>
    <s v="8477596554"/>
    <x v="3"/>
    <x v="0"/>
  </r>
  <r>
    <s v="EMP1208"/>
    <s v="Eva"/>
    <s v="Miller"/>
    <n v="40"/>
    <x v="2"/>
    <x v="5"/>
    <s v="Active"/>
    <s v="2021-09-25"/>
    <n v="117591.76"/>
    <s v="eva.miller@example.com"/>
    <s v="5356690550"/>
    <x v="2"/>
    <x v="1"/>
  </r>
  <r>
    <s v="EMP1209"/>
    <s v="David"/>
    <s v="Jones"/>
    <n v="35"/>
    <x v="0"/>
    <x v="5"/>
    <s v="Inactive"/>
    <s v="2022-08-03"/>
    <n v="103860.7"/>
    <s v="david.jones@example.com"/>
    <s v="762091842"/>
    <x v="0"/>
    <x v="0"/>
  </r>
  <r>
    <s v="EMP1210"/>
    <s v="Grace"/>
    <s v="Davis"/>
    <n v="30"/>
    <x v="2"/>
    <x v="5"/>
    <s v="Active"/>
    <s v="2024-11-22"/>
    <n v="67500.22"/>
    <s v="grace.davis@example.com"/>
    <s v="5797863049"/>
    <x v="0"/>
    <x v="0"/>
  </r>
  <r>
    <s v="EMP1211"/>
    <s v="Frank"/>
    <s v="Davis"/>
    <s v=""/>
    <x v="3"/>
    <x v="2"/>
    <s v="Pending"/>
    <s v="2024-10-09"/>
    <n v="58727.44"/>
    <s v="frank.davis@example.com"/>
    <s v="5057397690"/>
    <x v="3"/>
    <x v="0"/>
  </r>
  <r>
    <s v="EMP1212"/>
    <s v="Charlie"/>
    <s v="Jones"/>
    <n v="35"/>
    <x v="1"/>
    <x v="5"/>
    <s v="Active"/>
    <s v="2024-08-28"/>
    <n v="80623.08"/>
    <s v="charlie.jones@example.com"/>
    <s v="5671649327"/>
    <x v="1"/>
    <x v="0"/>
  </r>
  <r>
    <s v="EMP1213"/>
    <s v="David"/>
    <s v="Davis"/>
    <n v="40"/>
    <x v="5"/>
    <x v="1"/>
    <s v="Inactive"/>
    <s v="2020-04-19"/>
    <n v="77751.78"/>
    <s v="david.davis@example.com"/>
    <s v="9802714871"/>
    <x v="1"/>
    <x v="1"/>
  </r>
  <r>
    <s v="EMP1214"/>
    <s v="Grace"/>
    <s v="Williams"/>
    <n v="25"/>
    <x v="5"/>
    <x v="4"/>
    <s v="Active"/>
    <s v="2021-10-14"/>
    <n v="115157.81"/>
    <s v="grace.williams@example.com"/>
    <s v="7178333210"/>
    <x v="2"/>
    <x v="1"/>
  </r>
  <r>
    <s v="EMP1215"/>
    <s v="Frank"/>
    <s v="Jones"/>
    <n v="30"/>
    <x v="2"/>
    <x v="1"/>
    <s v="Inactive"/>
    <s v="2024-08-26"/>
    <n v="83071.850000000006"/>
    <s v="frank.jones@example.com"/>
    <s v="6025643470"/>
    <x v="3"/>
    <x v="1"/>
  </r>
  <r>
    <s v="EMP1216"/>
    <s v="Heidi"/>
    <s v="Brown"/>
    <n v="40"/>
    <x v="4"/>
    <x v="1"/>
    <s v="Active"/>
    <s v="2020-02-08"/>
    <n v="67914.67"/>
    <s v="heidi.brown@example.com"/>
    <s v="2871539914"/>
    <x v="1"/>
    <x v="0"/>
  </r>
  <r>
    <s v="EMP1217"/>
    <s v="Grace"/>
    <s v="Jones"/>
    <n v="25"/>
    <x v="5"/>
    <x v="4"/>
    <s v="Inactive"/>
    <s v="2020-09-06"/>
    <n v="53342.46"/>
    <s v="grace.jones@example.com"/>
    <s v="6686334140"/>
    <x v="3"/>
    <x v="1"/>
  </r>
  <r>
    <s v="EMP1218"/>
    <s v="Heidi"/>
    <s v="Garcia"/>
    <n v="25"/>
    <x v="3"/>
    <x v="3"/>
    <s v="Pending"/>
    <s v="2023-01-02"/>
    <n v="51150.47"/>
    <s v="heidi.garcia@example.com"/>
    <s v="1159319524"/>
    <x v="1"/>
    <x v="1"/>
  </r>
  <r>
    <s v="EMP1219"/>
    <s v="David"/>
    <s v="Davis"/>
    <n v="30"/>
    <x v="5"/>
    <x v="3"/>
    <s v="Active"/>
    <s v="2023-06-13"/>
    <n v="74697.119999999995"/>
    <s v="david.davis@example.com"/>
    <s v="6904098365"/>
    <x v="0"/>
    <x v="0"/>
  </r>
  <r>
    <s v="EMP1220"/>
    <s v="Charlie"/>
    <s v="Williams"/>
    <n v="25"/>
    <x v="4"/>
    <x v="0"/>
    <s v="Active"/>
    <s v="2022-12-13"/>
    <n v="88085.74"/>
    <s v="charlie.williams@example.com"/>
    <s v="5528993159"/>
    <x v="1"/>
    <x v="0"/>
  </r>
  <r>
    <s v="EMP1221"/>
    <s v="Alice"/>
    <s v="Williams"/>
    <n v="40"/>
    <x v="1"/>
    <x v="1"/>
    <s v="Pending"/>
    <s v="2022-03-03"/>
    <n v="118672.76"/>
    <s v="alice.williams@example.com"/>
    <s v="8752437728"/>
    <x v="3"/>
    <x v="1"/>
  </r>
  <r>
    <s v="EMP1222"/>
    <s v="Alice"/>
    <s v="Miller"/>
    <n v="35"/>
    <x v="3"/>
    <x v="0"/>
    <s v="Active"/>
    <s v="2024-02-10"/>
    <n v="95997.31"/>
    <s v="alice.miller@example.com"/>
    <s v="4209548148"/>
    <x v="0"/>
    <x v="1"/>
  </r>
  <r>
    <s v="EMP1223"/>
    <s v="Frank"/>
    <s v="Brown"/>
    <n v="30"/>
    <x v="3"/>
    <x v="0"/>
    <s v="Pending"/>
    <s v="2021-11-24"/>
    <n v="106945.62"/>
    <s v="frank.brown@example.com"/>
    <s v="7374605232"/>
    <x v="0"/>
    <x v="1"/>
  </r>
  <r>
    <s v="EMP1224"/>
    <s v="Heidi"/>
    <s v="Johnson"/>
    <n v="40"/>
    <x v="0"/>
    <x v="4"/>
    <s v="Active"/>
    <s v="2020-05-09"/>
    <n v="100123.15"/>
    <s v="heidi.johnson@example.com"/>
    <s v="276420864"/>
    <x v="0"/>
    <x v="1"/>
  </r>
  <r>
    <s v="EMP1225"/>
    <s v="Alice"/>
    <s v="Johnson"/>
    <n v="35"/>
    <x v="2"/>
    <x v="1"/>
    <s v="Active"/>
    <s v="2024-12-19"/>
    <n v="52933.42"/>
    <s v="alice.johnson@example.com"/>
    <s v="6756618442"/>
    <x v="3"/>
    <x v="0"/>
  </r>
  <r>
    <s v="EMP1226"/>
    <s v="Grace"/>
    <s v="Jones"/>
    <s v=""/>
    <x v="1"/>
    <x v="0"/>
    <s v="Active"/>
    <s v="2024-03-22"/>
    <n v="95283.03"/>
    <s v="grace.jones@example.com"/>
    <s v="8612590471"/>
    <x v="2"/>
    <x v="1"/>
  </r>
  <r>
    <s v="EMP1227"/>
    <s v="Alice"/>
    <s v="Miller"/>
    <n v="35"/>
    <x v="5"/>
    <x v="1"/>
    <s v="Inactive"/>
    <s v="2022-06-13"/>
    <n v="112264.06"/>
    <s v="alice.miller@example.com"/>
    <s v="9277423329"/>
    <x v="2"/>
    <x v="1"/>
  </r>
  <r>
    <s v="EMP1228"/>
    <s v="Grace"/>
    <s v="Smith"/>
    <n v="35"/>
    <x v="2"/>
    <x v="3"/>
    <s v="Pending"/>
    <s v="2022-10-15"/>
    <n v="75714.28"/>
    <s v="grace.smith@example.com"/>
    <s v="5912662014"/>
    <x v="2"/>
    <x v="0"/>
  </r>
  <r>
    <s v="EMP1229"/>
    <s v="Eva"/>
    <s v="Jones"/>
    <n v="25"/>
    <x v="0"/>
    <x v="3"/>
    <s v="Active"/>
    <s v="2022-05-31"/>
    <n v="92171.73"/>
    <s v="eva.jones@example.com"/>
    <s v="7201859625"/>
    <x v="3"/>
    <x v="1"/>
  </r>
  <r>
    <s v="EMP1230"/>
    <s v="Eva"/>
    <s v="Miller"/>
    <n v="35"/>
    <x v="3"/>
    <x v="1"/>
    <s v="Inactive"/>
    <s v="2023-09-15"/>
    <n v="70694.8"/>
    <s v="eva.miller@example.com"/>
    <s v="3013674925"/>
    <x v="0"/>
    <x v="0"/>
  </r>
  <r>
    <s v="EMP1231"/>
    <s v="Grace"/>
    <s v="Brown"/>
    <n v="30"/>
    <x v="0"/>
    <x v="3"/>
    <s v="Inactive"/>
    <s v="2022-07-04"/>
    <n v="52964.86"/>
    <s v="grace.brown@example.com"/>
    <s v="1764750110"/>
    <x v="2"/>
    <x v="0"/>
  </r>
  <r>
    <s v="EMP1232"/>
    <s v="Frank"/>
    <s v="Brown"/>
    <s v=""/>
    <x v="1"/>
    <x v="0"/>
    <s v="Pending"/>
    <s v="2024-06-08"/>
    <n v="116353.31"/>
    <s v="frank.brown@example.com"/>
    <s v="1783099973"/>
    <x v="3"/>
    <x v="0"/>
  </r>
  <r>
    <s v="EMP1233"/>
    <s v="Grace"/>
    <s v="Brown"/>
    <n v="35"/>
    <x v="4"/>
    <x v="2"/>
    <s v="Pending"/>
    <s v="2020-11-23"/>
    <n v="116695.26"/>
    <s v="grace.brown@example.com"/>
    <s v="1926764920"/>
    <x v="2"/>
    <x v="1"/>
  </r>
  <r>
    <s v="EMP1234"/>
    <s v="Heidi"/>
    <s v="Brown"/>
    <n v="25"/>
    <x v="2"/>
    <x v="1"/>
    <s v="Active"/>
    <s v="2024-05-13"/>
    <n v="95161.4"/>
    <s v="heidi.brown@example.com"/>
    <s v="5182606887"/>
    <x v="1"/>
    <x v="1"/>
  </r>
  <r>
    <s v="EMP1235"/>
    <s v="Alice"/>
    <s v="Brown"/>
    <s v=""/>
    <x v="2"/>
    <x v="2"/>
    <s v="Inactive"/>
    <s v="2022-01-29"/>
    <n v="76040.94"/>
    <s v="alice.brown@example.com"/>
    <s v="7189813128"/>
    <x v="2"/>
    <x v="0"/>
  </r>
  <r>
    <s v="EMP1236"/>
    <s v="Charlie"/>
    <s v="Miller"/>
    <s v=""/>
    <x v="5"/>
    <x v="3"/>
    <s v="Inactive"/>
    <s v="2023-08-23"/>
    <n v="69508.28"/>
    <s v="charlie.miller@example.com"/>
    <s v="2087510292"/>
    <x v="2"/>
    <x v="1"/>
  </r>
  <r>
    <s v="EMP1237"/>
    <s v="Alice"/>
    <s v="Miller"/>
    <n v="30"/>
    <x v="1"/>
    <x v="5"/>
    <s v="Inactive"/>
    <s v="2023-02-24"/>
    <n v="58243.27"/>
    <s v="alice.miller@example.com"/>
    <s v="2184011844"/>
    <x v="0"/>
    <x v="1"/>
  </r>
  <r>
    <s v="EMP1238"/>
    <s v="Heidi"/>
    <s v="Williams"/>
    <n v="30"/>
    <x v="4"/>
    <x v="0"/>
    <s v="Pending"/>
    <s v="2022-10-02"/>
    <n v="64012.480000000003"/>
    <s v="heidi.williams@example.com"/>
    <s v="8260340847"/>
    <x v="3"/>
    <x v="0"/>
  </r>
  <r>
    <s v="EMP1239"/>
    <s v="Bob"/>
    <s v="Garcia"/>
    <n v="40"/>
    <x v="2"/>
    <x v="2"/>
    <s v="Inactive"/>
    <s v="2020-06-28"/>
    <n v="106735.93"/>
    <s v="bob.garcia@example.com"/>
    <s v="7297585987"/>
    <x v="0"/>
    <x v="0"/>
  </r>
  <r>
    <s v="EMP1240"/>
    <s v="Frank"/>
    <s v="Johnson"/>
    <n v="35"/>
    <x v="0"/>
    <x v="1"/>
    <s v="Pending"/>
    <s v="2023-01-15"/>
    <n v="70325.36"/>
    <s v="frank.johnson@example.com"/>
    <s v="3103032431"/>
    <x v="0"/>
    <x v="1"/>
  </r>
  <r>
    <s v="EMP1241"/>
    <s v="Charlie"/>
    <s v="Davis"/>
    <n v="30"/>
    <x v="5"/>
    <x v="5"/>
    <s v="Active"/>
    <s v="2020-09-05"/>
    <n v="118959.28"/>
    <s v="charlie.davis@example.com"/>
    <s v="9839542960"/>
    <x v="0"/>
    <x v="0"/>
  </r>
  <r>
    <s v="EMP1242"/>
    <s v="David"/>
    <s v="Brown"/>
    <n v="40"/>
    <x v="3"/>
    <x v="0"/>
    <s v="Pending"/>
    <s v="2023-03-18"/>
    <n v="75823.78"/>
    <s v="david.brown@example.com"/>
    <s v="8446267145"/>
    <x v="0"/>
    <x v="1"/>
  </r>
  <r>
    <s v="EMP1243"/>
    <s v="Charlie"/>
    <s v="Smith"/>
    <s v=""/>
    <x v="3"/>
    <x v="1"/>
    <s v="Inactive"/>
    <s v="2022-03-26"/>
    <n v="119971.65"/>
    <s v="charlie.smith@example.com"/>
    <s v="2831435988"/>
    <x v="0"/>
    <x v="1"/>
  </r>
  <r>
    <s v="EMP1244"/>
    <s v="Grace"/>
    <s v="Davis"/>
    <n v="40"/>
    <x v="4"/>
    <x v="1"/>
    <s v="Active"/>
    <s v="2021-10-11"/>
    <n v="94963.7"/>
    <s v="grace.davis@example.com"/>
    <s v="2625660930"/>
    <x v="2"/>
    <x v="1"/>
  </r>
  <r>
    <s v="EMP1245"/>
    <s v="Frank"/>
    <s v="Miller"/>
    <n v="30"/>
    <x v="4"/>
    <x v="2"/>
    <s v="Pending"/>
    <s v="2021-01-07"/>
    <n v="103744.71"/>
    <s v="frank.miller@example.com"/>
    <s v="4181861514"/>
    <x v="0"/>
    <x v="1"/>
  </r>
  <r>
    <s v="EMP1246"/>
    <s v="Alice"/>
    <s v="Smith"/>
    <n v="25"/>
    <x v="4"/>
    <x v="4"/>
    <s v="Inactive"/>
    <s v="2020-12-03"/>
    <n v="61337.69"/>
    <s v="alice.smith@example.com"/>
    <s v="5423401635"/>
    <x v="0"/>
    <x v="0"/>
  </r>
  <r>
    <s v="EMP1247"/>
    <s v="David"/>
    <s v="Smith"/>
    <n v="35"/>
    <x v="4"/>
    <x v="0"/>
    <s v="Active"/>
    <s v="2021-05-28"/>
    <n v="63741.13"/>
    <s v="david.smith@example.com"/>
    <s v="1128497184"/>
    <x v="3"/>
    <x v="0"/>
  </r>
  <r>
    <s v="EMP1248"/>
    <s v="Eva"/>
    <s v="Smith"/>
    <n v="30"/>
    <x v="0"/>
    <x v="0"/>
    <s v="Pending"/>
    <s v="2022-12-28"/>
    <n v="56539.99"/>
    <s v="eva.smith@example.com"/>
    <s v="9484910255"/>
    <x v="1"/>
    <x v="0"/>
  </r>
  <r>
    <s v="EMP1249"/>
    <s v="Charlie"/>
    <s v="Williams"/>
    <n v="30"/>
    <x v="0"/>
    <x v="5"/>
    <s v="Pending"/>
    <s v="2023-05-24"/>
    <n v="73633.37"/>
    <s v="charlie.williams@example.com"/>
    <s v="2588967923"/>
    <x v="2"/>
    <x v="0"/>
  </r>
  <r>
    <s v="EMP1250"/>
    <s v="Alice"/>
    <s v="Miller"/>
    <n v="25"/>
    <x v="3"/>
    <x v="1"/>
    <s v="Pending"/>
    <s v="2024-04-28"/>
    <n v="90373.99"/>
    <s v="alice.miller@example.com"/>
    <s v="822269404"/>
    <x v="2"/>
    <x v="1"/>
  </r>
  <r>
    <s v="EMP1251"/>
    <s v="Grace"/>
    <s v="Smith"/>
    <s v=""/>
    <x v="0"/>
    <x v="1"/>
    <s v="Inactive"/>
    <s v="2024-12-25"/>
    <n v="93901.48"/>
    <s v="grace.smith@example.com"/>
    <s v="3967275783"/>
    <x v="2"/>
    <x v="1"/>
  </r>
  <r>
    <s v="EMP1252"/>
    <s v="Eva"/>
    <s v="Brown"/>
    <n v="40"/>
    <x v="2"/>
    <x v="2"/>
    <s v="Inactive"/>
    <s v="2021-09-01"/>
    <n v="81748.09"/>
    <s v="eva.brown@example.com"/>
    <s v="4683414650"/>
    <x v="0"/>
    <x v="0"/>
  </r>
  <r>
    <s v="EMP1253"/>
    <s v="Charlie"/>
    <s v="Jones"/>
    <n v="40"/>
    <x v="1"/>
    <x v="3"/>
    <s v="Inactive"/>
    <s v="2021-02-21"/>
    <n v="73813.48"/>
    <s v="charlie.jones@example.com"/>
    <s v="1131290147"/>
    <x v="0"/>
    <x v="1"/>
  </r>
  <r>
    <s v="EMP1254"/>
    <s v="Frank"/>
    <s v="Smith"/>
    <n v="35"/>
    <x v="1"/>
    <x v="4"/>
    <s v="Inactive"/>
    <s v="2022-11-20"/>
    <n v="89315.59"/>
    <s v="frank.smith@example.com"/>
    <s v="7068277880"/>
    <x v="0"/>
    <x v="1"/>
  </r>
  <r>
    <s v="EMP1255"/>
    <s v="Heidi"/>
    <s v="Williams"/>
    <n v="25"/>
    <x v="5"/>
    <x v="3"/>
    <s v="Active"/>
    <s v="2020-10-15"/>
    <n v="56776.82"/>
    <s v="heidi.williams@example.com"/>
    <s v="6093068537"/>
    <x v="3"/>
    <x v="1"/>
  </r>
  <r>
    <s v="EMP1256"/>
    <s v="Grace"/>
    <s v="Davis"/>
    <s v=""/>
    <x v="1"/>
    <x v="4"/>
    <s v="Active"/>
    <s v="2024-07-24"/>
    <n v="72920.509999999995"/>
    <s v="grace.davis@example.com"/>
    <s v="9097283214"/>
    <x v="1"/>
    <x v="0"/>
  </r>
  <r>
    <s v="EMP1257"/>
    <s v="Frank"/>
    <s v="Miller"/>
    <n v="30"/>
    <x v="2"/>
    <x v="3"/>
    <s v="Pending"/>
    <s v="2022-08-14"/>
    <n v="84913.18"/>
    <s v="frank.miller@example.com"/>
    <s v="2850676250"/>
    <x v="0"/>
    <x v="0"/>
  </r>
  <r>
    <s v="EMP1258"/>
    <s v="Alice"/>
    <s v="Garcia"/>
    <n v="25"/>
    <x v="1"/>
    <x v="5"/>
    <s v="Inactive"/>
    <s v="2021-05-08"/>
    <n v="65060.11"/>
    <s v="alice.garcia@example.com"/>
    <s v="5381447442"/>
    <x v="1"/>
    <x v="0"/>
  </r>
  <r>
    <s v="EMP1259"/>
    <s v="Alice"/>
    <s v="Williams"/>
    <n v="35"/>
    <x v="1"/>
    <x v="5"/>
    <s v="Pending"/>
    <s v="2023-10-09"/>
    <n v="82941.08"/>
    <s v="alice.williams@example.com"/>
    <s v="963480796"/>
    <x v="3"/>
    <x v="1"/>
  </r>
  <r>
    <s v="EMP1260"/>
    <s v="Bob"/>
    <s v="Smith"/>
    <n v="40"/>
    <x v="2"/>
    <x v="0"/>
    <s v="Pending"/>
    <s v="2022-01-19"/>
    <n v="103469.97"/>
    <s v="bob.smith@example.com"/>
    <s v="509754509"/>
    <x v="2"/>
    <x v="0"/>
  </r>
  <r>
    <s v="EMP1261"/>
    <s v="Grace"/>
    <s v="Miller"/>
    <n v="25"/>
    <x v="4"/>
    <x v="5"/>
    <s v="Active"/>
    <s v="2022-01-12"/>
    <n v="88725.6"/>
    <s v="grace.miller@example.com"/>
    <s v="5265016730"/>
    <x v="0"/>
    <x v="0"/>
  </r>
  <r>
    <s v="EMP1262"/>
    <s v="Heidi"/>
    <s v="Jones"/>
    <s v=""/>
    <x v="5"/>
    <x v="5"/>
    <s v="Pending"/>
    <s v="2023-06-05"/>
    <n v="58316.77"/>
    <s v="heidi.jones@example.com"/>
    <s v="8826170242"/>
    <x v="1"/>
    <x v="0"/>
  </r>
  <r>
    <s v="EMP1263"/>
    <s v="Grace"/>
    <s v="Smith"/>
    <n v="35"/>
    <x v="5"/>
    <x v="5"/>
    <s v="Inactive"/>
    <s v="2024-03-26"/>
    <n v="60098.720000000001"/>
    <s v="grace.smith@example.com"/>
    <s v="7654562840"/>
    <x v="1"/>
    <x v="0"/>
  </r>
  <r>
    <s v="EMP1264"/>
    <s v="Grace"/>
    <s v="Williams"/>
    <s v=""/>
    <x v="3"/>
    <x v="1"/>
    <s v="Active"/>
    <s v="2020-10-07"/>
    <n v="99951.43"/>
    <s v="grace.williams@example.com"/>
    <s v="7722560530"/>
    <x v="0"/>
    <x v="0"/>
  </r>
  <r>
    <s v="EMP1265"/>
    <s v="Heidi"/>
    <s v="Johnson"/>
    <n v="30"/>
    <x v="4"/>
    <x v="5"/>
    <s v="Active"/>
    <s v="2021-11-02"/>
    <n v="115195.81"/>
    <s v="heidi.johnson@example.com"/>
    <s v="3402665022"/>
    <x v="2"/>
    <x v="0"/>
  </r>
  <r>
    <s v="EMP1266"/>
    <s v="Grace"/>
    <s v="Brown"/>
    <s v=""/>
    <x v="0"/>
    <x v="0"/>
    <s v="Pending"/>
    <s v="2021-11-19"/>
    <n v="85512.05"/>
    <s v="grace.brown@example.com"/>
    <s v="7416787255"/>
    <x v="2"/>
    <x v="1"/>
  </r>
  <r>
    <s v="EMP1267"/>
    <s v="Heidi"/>
    <s v="Garcia"/>
    <s v=""/>
    <x v="5"/>
    <x v="3"/>
    <s v="Active"/>
    <s v="2022-01-24"/>
    <n v="73186.77"/>
    <s v="heidi.garcia@example.com"/>
    <s v="8621102257"/>
    <x v="2"/>
    <x v="1"/>
  </r>
  <r>
    <s v="EMP1268"/>
    <s v="Grace"/>
    <s v="Davis"/>
    <s v=""/>
    <x v="5"/>
    <x v="2"/>
    <s v="Pending"/>
    <s v="2023-07-12"/>
    <n v="51865.3"/>
    <s v="grace.davis@example.com"/>
    <s v="305690673"/>
    <x v="3"/>
    <x v="0"/>
  </r>
  <r>
    <s v="EMP1269"/>
    <s v="David"/>
    <s v="Williams"/>
    <n v="25"/>
    <x v="4"/>
    <x v="3"/>
    <s v="Active"/>
    <s v="2022-12-09"/>
    <n v="94031.77"/>
    <s v="david.williams@example.com"/>
    <s v="4716392822"/>
    <x v="1"/>
    <x v="0"/>
  </r>
  <r>
    <s v="EMP1270"/>
    <s v="Grace"/>
    <s v="Miller"/>
    <n v="30"/>
    <x v="0"/>
    <x v="4"/>
    <s v="Active"/>
    <s v="2023-03-18"/>
    <n v="116374.36"/>
    <s v="grace.miller@example.com"/>
    <s v="4143637188"/>
    <x v="1"/>
    <x v="1"/>
  </r>
  <r>
    <s v="EMP1271"/>
    <s v="Alice"/>
    <s v="Garcia"/>
    <n v="40"/>
    <x v="5"/>
    <x v="3"/>
    <s v="Active"/>
    <s v="2022-04-25"/>
    <n v="98335.02"/>
    <s v="alice.garcia@example.com"/>
    <s v="2392312603"/>
    <x v="1"/>
    <x v="1"/>
  </r>
  <r>
    <s v="EMP1272"/>
    <s v="Heidi"/>
    <s v="Garcia"/>
    <n v="25"/>
    <x v="0"/>
    <x v="4"/>
    <s v="Pending"/>
    <s v="2021-02-28"/>
    <n v="89262.07"/>
    <s v="heidi.garcia@example.com"/>
    <s v="3260931065"/>
    <x v="3"/>
    <x v="0"/>
  </r>
  <r>
    <s v="EMP1273"/>
    <s v="Heidi"/>
    <s v="Garcia"/>
    <s v=""/>
    <x v="1"/>
    <x v="0"/>
    <s v="Active"/>
    <s v="2022-07-30"/>
    <n v="113848.69"/>
    <s v="heidi.garcia@example.com"/>
    <s v="8433567085"/>
    <x v="1"/>
    <x v="0"/>
  </r>
  <r>
    <s v="EMP1274"/>
    <s v="Frank"/>
    <s v="Smith"/>
    <n v="35"/>
    <x v="4"/>
    <x v="3"/>
    <s v="Active"/>
    <s v="2021-05-19"/>
    <n v="69530.45"/>
    <s v="frank.smith@example.com"/>
    <s v="414545634"/>
    <x v="3"/>
    <x v="0"/>
  </r>
  <r>
    <s v="EMP1275"/>
    <s v="Eva"/>
    <s v="Brown"/>
    <n v="35"/>
    <x v="0"/>
    <x v="4"/>
    <s v="Pending"/>
    <s v="2023-12-14"/>
    <n v="84230.22"/>
    <s v="eva.brown@example.com"/>
    <s v="200053473"/>
    <x v="2"/>
    <x v="0"/>
  </r>
  <r>
    <s v="EMP1276"/>
    <s v="Eva"/>
    <s v="Smith"/>
    <n v="35"/>
    <x v="3"/>
    <x v="5"/>
    <s v="Pending"/>
    <s v="2023-01-17"/>
    <n v="76578.59"/>
    <s v="eva.smith@example.com"/>
    <s v="9162475540"/>
    <x v="0"/>
    <x v="1"/>
  </r>
  <r>
    <s v="EMP1277"/>
    <s v="Frank"/>
    <s v="Miller"/>
    <n v="30"/>
    <x v="5"/>
    <x v="1"/>
    <s v="Inactive"/>
    <s v="2024-01-02"/>
    <n v="55532.06"/>
    <s v="frank.miller@example.com"/>
    <s v="1082555988"/>
    <x v="1"/>
    <x v="0"/>
  </r>
  <r>
    <s v="EMP1278"/>
    <s v="Eva"/>
    <s v="Smith"/>
    <n v="40"/>
    <x v="2"/>
    <x v="4"/>
    <s v="Pending"/>
    <s v="2021-07-09"/>
    <n v="115311.67999999999"/>
    <s v="eva.smith@example.com"/>
    <s v="5343961128"/>
    <x v="1"/>
    <x v="0"/>
  </r>
  <r>
    <s v="EMP1279"/>
    <s v="Charlie"/>
    <s v="Johnson"/>
    <n v="25"/>
    <x v="4"/>
    <x v="2"/>
    <s v="Pending"/>
    <s v="2021-05-05"/>
    <n v="66972.06"/>
    <s v="charlie.johnson@example.com"/>
    <s v="1093371188"/>
    <x v="2"/>
    <x v="0"/>
  </r>
  <r>
    <s v="EMP1280"/>
    <s v="David"/>
    <s v="Brown"/>
    <n v="30"/>
    <x v="3"/>
    <x v="1"/>
    <s v="Inactive"/>
    <s v="2021-11-07"/>
    <n v="100215.06"/>
    <s v="david.brown@example.com"/>
    <s v="5473820235"/>
    <x v="0"/>
    <x v="0"/>
  </r>
  <r>
    <s v="EMP1281"/>
    <s v="Charlie"/>
    <s v="Brown"/>
    <n v="25"/>
    <x v="4"/>
    <x v="4"/>
    <s v="Inactive"/>
    <s v="2023-08-30"/>
    <n v="115452.25"/>
    <s v="charlie.brown@example.com"/>
    <s v="8485571616"/>
    <x v="3"/>
    <x v="1"/>
  </r>
  <r>
    <s v="EMP1282"/>
    <s v="Heidi"/>
    <s v="Miller"/>
    <n v="30"/>
    <x v="5"/>
    <x v="0"/>
    <s v="Inactive"/>
    <s v="2023-08-15"/>
    <n v="54141.38"/>
    <s v="heidi.miller@example.com"/>
    <s v="6880294239"/>
    <x v="0"/>
    <x v="1"/>
  </r>
  <r>
    <s v="EMP1283"/>
    <s v="David"/>
    <s v="Davis"/>
    <s v=""/>
    <x v="0"/>
    <x v="2"/>
    <s v="Active"/>
    <s v="2020-12-24"/>
    <n v="79251.95"/>
    <s v="david.davis@example.com"/>
    <s v="9036788126"/>
    <x v="2"/>
    <x v="1"/>
  </r>
  <r>
    <s v="EMP1284"/>
    <s v="Alice"/>
    <s v="Johnson"/>
    <n v="40"/>
    <x v="1"/>
    <x v="4"/>
    <s v="Pending"/>
    <s v="2024-11-21"/>
    <n v="114822.78"/>
    <s v="alice.johnson@example.com"/>
    <s v="8686694319"/>
    <x v="2"/>
    <x v="0"/>
  </r>
  <r>
    <s v="EMP1285"/>
    <s v="Alice"/>
    <s v="Williams"/>
    <n v="35"/>
    <x v="4"/>
    <x v="5"/>
    <s v="Active"/>
    <s v="2021-11-17"/>
    <n v="69919.320000000007"/>
    <s v="alice.williams@example.com"/>
    <s v="2939087883"/>
    <x v="0"/>
    <x v="0"/>
  </r>
  <r>
    <s v="EMP1286"/>
    <s v="Heidi"/>
    <s v="Smith"/>
    <n v="30"/>
    <x v="4"/>
    <x v="3"/>
    <s v="Inactive"/>
    <s v="2021-01-29"/>
    <n v="106616.97"/>
    <s v="heidi.smith@example.com"/>
    <s v="4344812307"/>
    <x v="3"/>
    <x v="1"/>
  </r>
  <r>
    <s v="EMP1287"/>
    <s v="Heidi"/>
    <s v="Jones"/>
    <n v="35"/>
    <x v="0"/>
    <x v="4"/>
    <s v="Active"/>
    <s v="2024-02-17"/>
    <n v="73597.850000000006"/>
    <s v="heidi.jones@example.com"/>
    <s v="3402424032"/>
    <x v="3"/>
    <x v="0"/>
  </r>
  <r>
    <s v="EMP1288"/>
    <s v="David"/>
    <s v="Smith"/>
    <n v="30"/>
    <x v="4"/>
    <x v="2"/>
    <s v="Inactive"/>
    <s v="2024-08-20"/>
    <n v="79939.23"/>
    <s v="david.smith@example.com"/>
    <s v="8105955183"/>
    <x v="1"/>
    <x v="0"/>
  </r>
  <r>
    <s v="EMP1289"/>
    <s v="Grace"/>
    <s v="Garcia"/>
    <n v="25"/>
    <x v="2"/>
    <x v="4"/>
    <s v="Inactive"/>
    <s v="2021-10-24"/>
    <s v=""/>
    <s v="grace.garcia@example.com"/>
    <s v="2694500533"/>
    <x v="3"/>
    <x v="1"/>
  </r>
  <r>
    <s v="EMP1290"/>
    <s v="Grace"/>
    <s v="Smith"/>
    <n v="30"/>
    <x v="1"/>
    <x v="0"/>
    <s v="Inactive"/>
    <s v="2021-09-10"/>
    <n v="90772.25"/>
    <s v="grace.smith@example.com"/>
    <s v="2408916497"/>
    <x v="0"/>
    <x v="1"/>
  </r>
  <r>
    <s v="EMP1291"/>
    <s v="Eva"/>
    <s v="Williams"/>
    <n v="35"/>
    <x v="0"/>
    <x v="4"/>
    <s v="Active"/>
    <s v="2023-09-29"/>
    <n v="58275.74"/>
    <s v="eva.williams@example.com"/>
    <s v="3735439626"/>
    <x v="2"/>
    <x v="1"/>
  </r>
  <r>
    <s v="EMP1292"/>
    <s v="Grace"/>
    <s v="Smith"/>
    <s v=""/>
    <x v="0"/>
    <x v="0"/>
    <s v="Pending"/>
    <s v="2020-08-28"/>
    <n v="94709.79"/>
    <s v="grace.smith@example.com"/>
    <s v="3652717271"/>
    <x v="1"/>
    <x v="1"/>
  </r>
  <r>
    <s v="EMP1293"/>
    <s v="Frank"/>
    <s v="Johnson"/>
    <s v=""/>
    <x v="2"/>
    <x v="4"/>
    <s v="Active"/>
    <s v="2022-09-06"/>
    <n v="60722.99"/>
    <s v="frank.johnson@example.com"/>
    <s v="2397240421"/>
    <x v="1"/>
    <x v="0"/>
  </r>
  <r>
    <s v="EMP1294"/>
    <s v="Frank"/>
    <s v="Johnson"/>
    <n v="40"/>
    <x v="0"/>
    <x v="5"/>
    <s v="Inactive"/>
    <s v="2024-03-31"/>
    <n v="87626.240000000005"/>
    <s v="frank.johnson@example.com"/>
    <s v="6931216375"/>
    <x v="2"/>
    <x v="0"/>
  </r>
  <r>
    <s v="EMP1295"/>
    <s v="David"/>
    <s v="Brown"/>
    <n v="30"/>
    <x v="0"/>
    <x v="5"/>
    <s v="Active"/>
    <s v="2022-12-12"/>
    <n v="81272.36"/>
    <s v="david.brown@example.com"/>
    <s v="1820916600"/>
    <x v="3"/>
    <x v="1"/>
  </r>
  <r>
    <s v="EMP1296"/>
    <s v="Bob"/>
    <s v="Miller"/>
    <s v=""/>
    <x v="3"/>
    <x v="1"/>
    <s v="Pending"/>
    <s v="2022-11-01"/>
    <n v="64150.97"/>
    <s v="bob.miller@example.com"/>
    <s v="23142899"/>
    <x v="2"/>
    <x v="0"/>
  </r>
  <r>
    <s v="EMP1297"/>
    <s v="Charlie"/>
    <s v="Davis"/>
    <n v="35"/>
    <x v="4"/>
    <x v="3"/>
    <s v="Active"/>
    <s v="2023-10-25"/>
    <n v="64378.1"/>
    <s v="charlie.davis@example.com"/>
    <s v="1851327971"/>
    <x v="3"/>
    <x v="1"/>
  </r>
  <r>
    <s v="EMP1298"/>
    <s v="Bob"/>
    <s v="Jones"/>
    <s v=""/>
    <x v="1"/>
    <x v="1"/>
    <s v="Inactive"/>
    <s v="2020-09-27"/>
    <n v="85927.35"/>
    <s v="bob.jones@example.com"/>
    <s v="4572308480"/>
    <x v="2"/>
    <x v="1"/>
  </r>
  <r>
    <s v="EMP1299"/>
    <s v="Alice"/>
    <s v="Garcia"/>
    <s v=""/>
    <x v="1"/>
    <x v="2"/>
    <s v="Inactive"/>
    <s v="2024-01-21"/>
    <n v="51523.93"/>
    <s v="alice.garcia@example.com"/>
    <s v="18418619"/>
    <x v="0"/>
    <x v="0"/>
  </r>
  <r>
    <s v="EMP1300"/>
    <s v="Alice"/>
    <s v="Smith"/>
    <n v="30"/>
    <x v="4"/>
    <x v="1"/>
    <s v="Active"/>
    <s v="2022-05-17"/>
    <n v="74117.02"/>
    <s v="alice.smith@example.com"/>
    <s v="3036625435"/>
    <x v="3"/>
    <x v="1"/>
  </r>
  <r>
    <s v="EMP1301"/>
    <s v="Alice"/>
    <s v="Smith"/>
    <n v="25"/>
    <x v="1"/>
    <x v="1"/>
    <s v="Inactive"/>
    <s v="2022-04-17"/>
    <n v="62598.69"/>
    <s v="alice.smith@example.com"/>
    <s v="1721314518"/>
    <x v="0"/>
    <x v="0"/>
  </r>
  <r>
    <s v="EMP1302"/>
    <s v="Grace"/>
    <s v="Williams"/>
    <n v="35"/>
    <x v="1"/>
    <x v="3"/>
    <s v="Inactive"/>
    <s v="2022-02-08"/>
    <n v="55617.5"/>
    <s v="grace.williams@example.com"/>
    <s v="5151092267"/>
    <x v="1"/>
    <x v="0"/>
  </r>
  <r>
    <s v="EMP1303"/>
    <s v="Charlie"/>
    <s v="Miller"/>
    <n v="35"/>
    <x v="3"/>
    <x v="4"/>
    <s v="Pending"/>
    <s v="2022-03-15"/>
    <n v="87018.98"/>
    <s v="charlie.miller@example.com"/>
    <s v="5926249450"/>
    <x v="2"/>
    <x v="0"/>
  </r>
  <r>
    <s v="EMP1304"/>
    <s v="David"/>
    <s v="Johnson"/>
    <n v="25"/>
    <x v="3"/>
    <x v="0"/>
    <s v="Inactive"/>
    <s v="2023-10-11"/>
    <n v="100336.58"/>
    <s v="david.johnson@example.com"/>
    <s v="4754102251"/>
    <x v="1"/>
    <x v="0"/>
  </r>
  <r>
    <s v="EMP1305"/>
    <s v="Grace"/>
    <s v="Jones"/>
    <n v="30"/>
    <x v="2"/>
    <x v="3"/>
    <s v="Inactive"/>
    <s v="2020-11-13"/>
    <n v="69295.48"/>
    <s v="grace.jones@example.com"/>
    <s v="6771196420"/>
    <x v="1"/>
    <x v="1"/>
  </r>
  <r>
    <s v="EMP1306"/>
    <s v="Bob"/>
    <s v="Brown"/>
    <n v="25"/>
    <x v="0"/>
    <x v="3"/>
    <s v="Pending"/>
    <s v="2024-04-17"/>
    <n v="115536.66"/>
    <s v="bob.brown@example.com"/>
    <s v="5226557675"/>
    <x v="1"/>
    <x v="0"/>
  </r>
  <r>
    <s v="EMP1307"/>
    <s v="David"/>
    <s v="Johnson"/>
    <n v="30"/>
    <x v="3"/>
    <x v="1"/>
    <s v="Pending"/>
    <s v="2020-03-09"/>
    <n v="81250.87"/>
    <s v="david.johnson@example.com"/>
    <s v="9523668787"/>
    <x v="1"/>
    <x v="1"/>
  </r>
  <r>
    <s v="EMP1308"/>
    <s v="Alice"/>
    <s v="Garcia"/>
    <n v="30"/>
    <x v="0"/>
    <x v="1"/>
    <s v="Inactive"/>
    <s v="2022-06-17"/>
    <n v="66403.75"/>
    <s v="alice.garcia@example.com"/>
    <s v="7883619688"/>
    <x v="2"/>
    <x v="1"/>
  </r>
  <r>
    <s v="EMP1309"/>
    <s v="Alice"/>
    <s v="Miller"/>
    <n v="30"/>
    <x v="4"/>
    <x v="0"/>
    <s v="Active"/>
    <s v="2024-07-28"/>
    <n v="114147.79"/>
    <s v="alice.miller@example.com"/>
    <s v="3135030586"/>
    <x v="1"/>
    <x v="1"/>
  </r>
  <r>
    <s v="EMP1310"/>
    <s v="Frank"/>
    <s v="Garcia"/>
    <n v="30"/>
    <x v="5"/>
    <x v="4"/>
    <s v="Pending"/>
    <s v="2022-12-03"/>
    <n v="65472.99"/>
    <s v="frank.garcia@example.com"/>
    <s v="2105524727"/>
    <x v="2"/>
    <x v="1"/>
  </r>
  <r>
    <s v="EMP1311"/>
    <s v="Alice"/>
    <s v="Davis"/>
    <s v=""/>
    <x v="4"/>
    <x v="2"/>
    <s v="Active"/>
    <s v="2023-07-06"/>
    <n v="97512.51"/>
    <s v="alice.davis@example.com"/>
    <s v="6333021259"/>
    <x v="2"/>
    <x v="0"/>
  </r>
  <r>
    <s v="EMP1312"/>
    <s v="Alice"/>
    <s v="Brown"/>
    <n v="35"/>
    <x v="0"/>
    <x v="2"/>
    <s v="Inactive"/>
    <s v="2024-05-28"/>
    <n v="86712.41"/>
    <s v="alice.brown@example.com"/>
    <s v="6501917919"/>
    <x v="0"/>
    <x v="0"/>
  </r>
  <r>
    <s v="EMP1313"/>
    <s v="Grace"/>
    <s v="Davis"/>
    <n v="30"/>
    <x v="5"/>
    <x v="3"/>
    <s v="Active"/>
    <s v="2024-03-25"/>
    <n v="87654.98"/>
    <s v="grace.davis@example.com"/>
    <s v="2521310961"/>
    <x v="3"/>
    <x v="1"/>
  </r>
  <r>
    <s v="EMP1314"/>
    <s v="David"/>
    <s v="Williams"/>
    <n v="35"/>
    <x v="0"/>
    <x v="4"/>
    <s v="Inactive"/>
    <s v="2020-04-28"/>
    <n v="89367.02"/>
    <s v="david.williams@example.com"/>
    <s v="2728476569"/>
    <x v="3"/>
    <x v="1"/>
  </r>
  <r>
    <s v="EMP1315"/>
    <s v="Charlie"/>
    <s v="Garcia"/>
    <n v="40"/>
    <x v="2"/>
    <x v="0"/>
    <s v="Active"/>
    <s v="2021-11-07"/>
    <n v="95269.41"/>
    <s v="charlie.garcia@example.com"/>
    <s v="4120092819"/>
    <x v="2"/>
    <x v="0"/>
  </r>
  <r>
    <s v="EMP1316"/>
    <s v="Frank"/>
    <s v="Williams"/>
    <n v="25"/>
    <x v="4"/>
    <x v="2"/>
    <s v="Active"/>
    <s v="2020-04-15"/>
    <n v="68792.31"/>
    <s v="frank.williams@example.com"/>
    <s v="6678498435"/>
    <x v="0"/>
    <x v="1"/>
  </r>
  <r>
    <s v="EMP1317"/>
    <s v="Alice"/>
    <s v="Smith"/>
    <n v="25"/>
    <x v="2"/>
    <x v="5"/>
    <s v="Pending"/>
    <s v="2023-10-07"/>
    <n v="89119.53"/>
    <s v="alice.smith@example.com"/>
    <s v="2418623689"/>
    <x v="2"/>
    <x v="0"/>
  </r>
  <r>
    <s v="EMP1318"/>
    <s v="Frank"/>
    <s v="Davis"/>
    <n v="35"/>
    <x v="3"/>
    <x v="4"/>
    <s v="Active"/>
    <s v="2024-02-27"/>
    <n v="58212.13"/>
    <s v="frank.davis@example.com"/>
    <s v="3628917755"/>
    <x v="2"/>
    <x v="1"/>
  </r>
  <r>
    <s v="EMP1319"/>
    <s v="Heidi"/>
    <s v="Miller"/>
    <n v="30"/>
    <x v="0"/>
    <x v="5"/>
    <s v="Pending"/>
    <s v="2021-02-22"/>
    <n v="77764.240000000005"/>
    <s v="heidi.miller@example.com"/>
    <s v="6205634110"/>
    <x v="2"/>
    <x v="0"/>
  </r>
  <r>
    <s v="EMP1320"/>
    <s v="Frank"/>
    <s v="Garcia"/>
    <n v="35"/>
    <x v="1"/>
    <x v="3"/>
    <s v="Pending"/>
    <s v="2023-08-21"/>
    <n v="75148.17"/>
    <s v="frank.garcia@example.com"/>
    <s v="5950342810"/>
    <x v="0"/>
    <x v="1"/>
  </r>
  <r>
    <s v="EMP1321"/>
    <s v="Heidi"/>
    <s v="Jones"/>
    <n v="40"/>
    <x v="3"/>
    <x v="2"/>
    <s v="Inactive"/>
    <s v="2024-04-08"/>
    <n v="108781.18"/>
    <s v="heidi.jones@example.com"/>
    <s v="3904383033"/>
    <x v="3"/>
    <x v="1"/>
  </r>
  <r>
    <s v="EMP1322"/>
    <s v="Frank"/>
    <s v="Brown"/>
    <n v="35"/>
    <x v="1"/>
    <x v="1"/>
    <s v="Pending"/>
    <s v="2024-11-04"/>
    <n v="65489.19"/>
    <s v="frank.brown@example.com"/>
    <s v="1990970050"/>
    <x v="0"/>
    <x v="0"/>
  </r>
  <r>
    <s v="EMP1323"/>
    <s v="Eva"/>
    <s v="Johnson"/>
    <s v=""/>
    <x v="4"/>
    <x v="5"/>
    <s v="Pending"/>
    <s v="2022-05-05"/>
    <n v="70663.460000000006"/>
    <s v="eva.johnson@example.com"/>
    <s v="4054683564"/>
    <x v="1"/>
    <x v="1"/>
  </r>
  <r>
    <s v="EMP1324"/>
    <s v="David"/>
    <s v="Miller"/>
    <n v="40"/>
    <x v="4"/>
    <x v="4"/>
    <s v="Inactive"/>
    <s v="2023-02-01"/>
    <n v="95822.56"/>
    <s v="david.miller@example.com"/>
    <s v="2156818208"/>
    <x v="0"/>
    <x v="1"/>
  </r>
  <r>
    <s v="EMP1325"/>
    <s v="Eva"/>
    <s v="Miller"/>
    <n v="40"/>
    <x v="0"/>
    <x v="2"/>
    <s v="Pending"/>
    <s v="2022-10-01"/>
    <n v="82258.03"/>
    <s v="eva.miller@example.com"/>
    <s v="6790422710"/>
    <x v="0"/>
    <x v="0"/>
  </r>
  <r>
    <s v="EMP1326"/>
    <s v="Frank"/>
    <s v="Williams"/>
    <n v="30"/>
    <x v="2"/>
    <x v="2"/>
    <s v="Pending"/>
    <s v="2022-09-27"/>
    <n v="62883.34"/>
    <s v="frank.williams@example.com"/>
    <s v="3322889856"/>
    <x v="0"/>
    <x v="1"/>
  </r>
  <r>
    <s v="EMP1327"/>
    <s v="Alice"/>
    <s v="Davis"/>
    <s v=""/>
    <x v="3"/>
    <x v="1"/>
    <s v="Pending"/>
    <s v="2020-04-09"/>
    <n v="103503.72"/>
    <s v="alice.davis@example.com"/>
    <s v="2545960632"/>
    <x v="0"/>
    <x v="0"/>
  </r>
  <r>
    <s v="EMP1328"/>
    <s v="David"/>
    <s v="Garcia"/>
    <n v="25"/>
    <x v="0"/>
    <x v="4"/>
    <s v="Active"/>
    <s v="2021-03-23"/>
    <n v="85401.3"/>
    <s v="david.garcia@example.com"/>
    <s v="9912971023"/>
    <x v="3"/>
    <x v="0"/>
  </r>
  <r>
    <s v="EMP1329"/>
    <s v="Heidi"/>
    <s v="Garcia"/>
    <n v="40"/>
    <x v="3"/>
    <x v="1"/>
    <s v="Pending"/>
    <s v="2023-02-03"/>
    <s v=""/>
    <s v="heidi.garcia@example.com"/>
    <s v="8171752420"/>
    <x v="1"/>
    <x v="1"/>
  </r>
  <r>
    <s v="EMP1330"/>
    <s v="Eva"/>
    <s v="Smith"/>
    <s v=""/>
    <x v="5"/>
    <x v="1"/>
    <s v="Pending"/>
    <s v="2024-07-23"/>
    <n v="98850.14"/>
    <s v="eva.smith@example.com"/>
    <s v="4955112746"/>
    <x v="3"/>
    <x v="1"/>
  </r>
  <r>
    <s v="EMP1331"/>
    <s v="Charlie"/>
    <s v="Smith"/>
    <n v="25"/>
    <x v="3"/>
    <x v="5"/>
    <s v="Active"/>
    <s v="2021-05-08"/>
    <n v="63435.24"/>
    <s v="charlie.smith@example.com"/>
    <s v="4721970545"/>
    <x v="3"/>
    <x v="1"/>
  </r>
  <r>
    <s v="EMP1332"/>
    <s v="Frank"/>
    <s v="Brown"/>
    <n v="35"/>
    <x v="1"/>
    <x v="1"/>
    <s v="Inactive"/>
    <s v="2022-04-11"/>
    <n v="82129.84"/>
    <s v="frank.brown@example.com"/>
    <s v="6927589550"/>
    <x v="0"/>
    <x v="1"/>
  </r>
  <r>
    <s v="EMP1333"/>
    <s v="David"/>
    <s v="Williams"/>
    <n v="35"/>
    <x v="0"/>
    <x v="1"/>
    <s v="Pending"/>
    <s v="2024-10-23"/>
    <n v="95492.61"/>
    <s v="david.williams@example.com"/>
    <s v="6874090379"/>
    <x v="2"/>
    <x v="1"/>
  </r>
  <r>
    <s v="EMP1334"/>
    <s v="Grace"/>
    <s v="Miller"/>
    <n v="40"/>
    <x v="1"/>
    <x v="5"/>
    <s v="Inactive"/>
    <s v="2020-04-24"/>
    <n v="94572.37"/>
    <s v="grace.miller@example.com"/>
    <s v="2146296135"/>
    <x v="2"/>
    <x v="1"/>
  </r>
  <r>
    <s v="EMP1335"/>
    <s v="Bob"/>
    <s v="Garcia"/>
    <n v="40"/>
    <x v="1"/>
    <x v="2"/>
    <s v="Inactive"/>
    <s v="2023-03-04"/>
    <n v="118413.05"/>
    <s v="bob.garcia@example.com"/>
    <s v="7157787111"/>
    <x v="3"/>
    <x v="1"/>
  </r>
  <r>
    <s v="EMP1336"/>
    <s v="Alice"/>
    <s v="Jones"/>
    <n v="30"/>
    <x v="2"/>
    <x v="2"/>
    <s v="Pending"/>
    <s v="2022-08-31"/>
    <n v="68976.649999999994"/>
    <s v="alice.jones@example.com"/>
    <s v="1663651558"/>
    <x v="3"/>
    <x v="0"/>
  </r>
  <r>
    <s v="EMP1337"/>
    <s v="Eva"/>
    <s v="Williams"/>
    <s v=""/>
    <x v="4"/>
    <x v="2"/>
    <s v="Active"/>
    <s v="2021-01-02"/>
    <n v="115013.65"/>
    <s v="eva.williams@example.com"/>
    <s v="7371470826"/>
    <x v="0"/>
    <x v="1"/>
  </r>
  <r>
    <s v="EMP1338"/>
    <s v="David"/>
    <s v="Brown"/>
    <s v=""/>
    <x v="2"/>
    <x v="2"/>
    <s v="Inactive"/>
    <s v="2020-06-06"/>
    <n v="70949.38"/>
    <s v="david.brown@example.com"/>
    <s v="2359096055"/>
    <x v="3"/>
    <x v="0"/>
  </r>
  <r>
    <s v="EMP1339"/>
    <s v="Grace"/>
    <s v="Brown"/>
    <s v=""/>
    <x v="5"/>
    <x v="3"/>
    <s v="Pending"/>
    <s v="2020-10-13"/>
    <n v="105334.87"/>
    <s v="grace.brown@example.com"/>
    <s v="7303064420"/>
    <x v="0"/>
    <x v="1"/>
  </r>
  <r>
    <s v="EMP1340"/>
    <s v="Bob"/>
    <s v="Williams"/>
    <s v=""/>
    <x v="0"/>
    <x v="0"/>
    <s v="Active"/>
    <s v="2020-07-19"/>
    <n v="80596.179999999993"/>
    <s v="bob.williams@example.com"/>
    <s v="2146147682"/>
    <x v="2"/>
    <x v="1"/>
  </r>
  <r>
    <s v="EMP1341"/>
    <s v="Frank"/>
    <s v="Brown"/>
    <s v=""/>
    <x v="4"/>
    <x v="5"/>
    <s v="Inactive"/>
    <s v="2024-05-03"/>
    <n v="72846.37"/>
    <s v="frank.brown@example.com"/>
    <s v="4201654234"/>
    <x v="2"/>
    <x v="0"/>
  </r>
  <r>
    <s v="EMP1342"/>
    <s v="Heidi"/>
    <s v="Williams"/>
    <n v="40"/>
    <x v="2"/>
    <x v="0"/>
    <s v="Pending"/>
    <s v="2022-02-07"/>
    <n v="80229.36"/>
    <s v="heidi.williams@example.com"/>
    <s v="6778265959"/>
    <x v="1"/>
    <x v="1"/>
  </r>
  <r>
    <s v="EMP1343"/>
    <s v="Grace"/>
    <s v="Johnson"/>
    <n v="25"/>
    <x v="4"/>
    <x v="0"/>
    <s v="Active"/>
    <s v="2023-12-31"/>
    <n v="55145.47"/>
    <s v="grace.johnson@example.com"/>
    <s v="8931992549"/>
    <x v="2"/>
    <x v="1"/>
  </r>
  <r>
    <s v="EMP1344"/>
    <s v="Grace"/>
    <s v="Williams"/>
    <n v="30"/>
    <x v="0"/>
    <x v="3"/>
    <s v="Inactive"/>
    <s v="2022-01-08"/>
    <s v=""/>
    <s v="grace.williams@example.com"/>
    <s v="2727516479"/>
    <x v="3"/>
    <x v="0"/>
  </r>
  <r>
    <s v="EMP1345"/>
    <s v="Eva"/>
    <s v="Davis"/>
    <n v="40"/>
    <x v="5"/>
    <x v="0"/>
    <s v="Active"/>
    <s v="2020-09-28"/>
    <n v="56110.81"/>
    <s v="eva.davis@example.com"/>
    <s v="7279103367"/>
    <x v="2"/>
    <x v="1"/>
  </r>
  <r>
    <s v="EMP1346"/>
    <s v="Grace"/>
    <s v="Williams"/>
    <n v="25"/>
    <x v="3"/>
    <x v="1"/>
    <s v="Inactive"/>
    <s v="2023-02-09"/>
    <n v="56514.5"/>
    <s v="grace.williams@example.com"/>
    <s v="2963533904"/>
    <x v="0"/>
    <x v="1"/>
  </r>
  <r>
    <s v="EMP1347"/>
    <s v="Frank"/>
    <s v="Brown"/>
    <n v="40"/>
    <x v="3"/>
    <x v="0"/>
    <s v="Inactive"/>
    <s v="2022-03-05"/>
    <n v="104541.84"/>
    <s v="frank.brown@example.com"/>
    <s v="5044817765"/>
    <x v="2"/>
    <x v="1"/>
  </r>
  <r>
    <s v="EMP1348"/>
    <s v="David"/>
    <s v="Garcia"/>
    <s v=""/>
    <x v="4"/>
    <x v="4"/>
    <s v="Pending"/>
    <s v="2022-02-18"/>
    <n v="61865.120000000003"/>
    <s v="david.garcia@example.com"/>
    <s v="5586851275"/>
    <x v="1"/>
    <x v="0"/>
  </r>
  <r>
    <s v="EMP1349"/>
    <s v="Eva"/>
    <s v="Davis"/>
    <n v="40"/>
    <x v="2"/>
    <x v="1"/>
    <s v="Active"/>
    <s v="2022-06-09"/>
    <n v="69317.33"/>
    <s v="eva.davis@example.com"/>
    <s v="5289286645"/>
    <x v="2"/>
    <x v="1"/>
  </r>
  <r>
    <s v="EMP1350"/>
    <s v="Bob"/>
    <s v="Brown"/>
    <n v="35"/>
    <x v="5"/>
    <x v="4"/>
    <s v="Pending"/>
    <s v="2023-07-04"/>
    <n v="84706.17"/>
    <s v="bob.brown@example.com"/>
    <s v="4911110960"/>
    <x v="0"/>
    <x v="1"/>
  </r>
  <r>
    <s v="EMP1351"/>
    <s v="Heidi"/>
    <s v="Smith"/>
    <n v="25"/>
    <x v="2"/>
    <x v="0"/>
    <s v="Active"/>
    <s v="2022-03-21"/>
    <n v="73255.210000000006"/>
    <s v="heidi.smith@example.com"/>
    <s v="7981789045"/>
    <x v="0"/>
    <x v="1"/>
  </r>
  <r>
    <s v="EMP1352"/>
    <s v="Frank"/>
    <s v="Smith"/>
    <n v="40"/>
    <x v="5"/>
    <x v="3"/>
    <s v="Pending"/>
    <s v="2023-05-02"/>
    <n v="59528.71"/>
    <s v="frank.smith@example.com"/>
    <s v="3378613714"/>
    <x v="3"/>
    <x v="1"/>
  </r>
  <r>
    <s v="EMP1353"/>
    <s v="David"/>
    <s v="Garcia"/>
    <n v="40"/>
    <x v="5"/>
    <x v="4"/>
    <s v="Inactive"/>
    <s v="2021-10-15"/>
    <n v="70401.37"/>
    <s v="david.garcia@example.com"/>
    <s v="7660538443"/>
    <x v="2"/>
    <x v="0"/>
  </r>
  <r>
    <s v="EMP1354"/>
    <s v="Heidi"/>
    <s v="Garcia"/>
    <s v=""/>
    <x v="2"/>
    <x v="0"/>
    <s v="Inactive"/>
    <s v="2021-07-28"/>
    <n v="107154.62"/>
    <s v="heidi.garcia@example.com"/>
    <s v="4630600024"/>
    <x v="0"/>
    <x v="0"/>
  </r>
  <r>
    <s v="EMP1355"/>
    <s v="Bob"/>
    <s v="Davis"/>
    <s v=""/>
    <x v="2"/>
    <x v="5"/>
    <s v="Pending"/>
    <s v="2021-01-03"/>
    <n v="97719.88"/>
    <s v="bob.davis@example.com"/>
    <s v="8955296385"/>
    <x v="1"/>
    <x v="1"/>
  </r>
  <r>
    <s v="EMP1356"/>
    <s v="Heidi"/>
    <s v="Johnson"/>
    <n v="30"/>
    <x v="1"/>
    <x v="0"/>
    <s v="Pending"/>
    <s v="2020-05-21"/>
    <n v="107327.59"/>
    <s v="heidi.johnson@example.com"/>
    <s v="3960962625"/>
    <x v="3"/>
    <x v="1"/>
  </r>
  <r>
    <s v="EMP1357"/>
    <s v="Grace"/>
    <s v="Garcia"/>
    <n v="40"/>
    <x v="2"/>
    <x v="2"/>
    <s v="Inactive"/>
    <s v="2021-05-10"/>
    <n v="67687.72"/>
    <s v="grace.garcia@example.com"/>
    <s v="5826312818"/>
    <x v="1"/>
    <x v="0"/>
  </r>
  <r>
    <s v="EMP1358"/>
    <s v="Grace"/>
    <s v="Smith"/>
    <n v="40"/>
    <x v="3"/>
    <x v="3"/>
    <s v="Pending"/>
    <s v="2022-09-08"/>
    <n v="90757.08"/>
    <s v="grace.smith@example.com"/>
    <s v="6482531105"/>
    <x v="2"/>
    <x v="0"/>
  </r>
  <r>
    <s v="EMP1359"/>
    <s v="Grace"/>
    <s v="Williams"/>
    <s v=""/>
    <x v="3"/>
    <x v="0"/>
    <s v="Pending"/>
    <s v="2024-07-21"/>
    <n v="87583.42"/>
    <s v="grace.williams@example.com"/>
    <s v="920981959"/>
    <x v="2"/>
    <x v="1"/>
  </r>
  <r>
    <s v="EMP1360"/>
    <s v="Bob"/>
    <s v="Brown"/>
    <n v="25"/>
    <x v="2"/>
    <x v="2"/>
    <s v="Pending"/>
    <s v="2021-12-28"/>
    <n v="61643.69"/>
    <s v="bob.brown@example.com"/>
    <s v="2752334382"/>
    <x v="2"/>
    <x v="0"/>
  </r>
  <r>
    <s v="EMP1361"/>
    <s v="Grace"/>
    <s v="Smith"/>
    <n v="35"/>
    <x v="1"/>
    <x v="1"/>
    <s v="Active"/>
    <s v="2020-07-20"/>
    <n v="68111.69"/>
    <s v="grace.smith@example.com"/>
    <s v="6404120910"/>
    <x v="3"/>
    <x v="1"/>
  </r>
  <r>
    <s v="EMP1362"/>
    <s v="David"/>
    <s v="Smith"/>
    <n v="40"/>
    <x v="5"/>
    <x v="3"/>
    <s v="Inactive"/>
    <s v="2024-04-30"/>
    <n v="97568.88"/>
    <s v="david.smith@example.com"/>
    <s v="7911244210"/>
    <x v="0"/>
    <x v="0"/>
  </r>
  <r>
    <s v="EMP1363"/>
    <s v="Charlie"/>
    <s v="Johnson"/>
    <n v="35"/>
    <x v="3"/>
    <x v="3"/>
    <s v="Active"/>
    <s v="2021-08-28"/>
    <n v="79118.28"/>
    <s v="charlie.johnson@example.com"/>
    <s v="7536170616"/>
    <x v="3"/>
    <x v="0"/>
  </r>
  <r>
    <s v="EMP1364"/>
    <s v="Bob"/>
    <s v="Davis"/>
    <n v="30"/>
    <x v="5"/>
    <x v="0"/>
    <s v="Inactive"/>
    <s v="2022-07-21"/>
    <n v="104898.9"/>
    <s v="bob.davis@example.com"/>
    <s v="1366572239"/>
    <x v="1"/>
    <x v="0"/>
  </r>
  <r>
    <s v="EMP1365"/>
    <s v="Frank"/>
    <s v="Davis"/>
    <n v="40"/>
    <x v="3"/>
    <x v="3"/>
    <s v="Pending"/>
    <s v="2023-11-27"/>
    <n v="81671.3"/>
    <s v="frank.davis@example.com"/>
    <s v="2990155798"/>
    <x v="3"/>
    <x v="0"/>
  </r>
  <r>
    <s v="EMP1366"/>
    <s v="Alice"/>
    <s v="Miller"/>
    <n v="25"/>
    <x v="3"/>
    <x v="0"/>
    <s v="Pending"/>
    <s v="2020-08-11"/>
    <n v="97399.75"/>
    <s v="alice.miller@example.com"/>
    <s v="8028413907"/>
    <x v="1"/>
    <x v="1"/>
  </r>
  <r>
    <s v="EMP1367"/>
    <s v="David"/>
    <s v="Johnson"/>
    <s v=""/>
    <x v="2"/>
    <x v="5"/>
    <s v="Active"/>
    <s v="2021-11-08"/>
    <n v="89189.43"/>
    <s v="david.johnson@example.com"/>
    <s v="882351304"/>
    <x v="3"/>
    <x v="0"/>
  </r>
  <r>
    <s v="EMP1368"/>
    <s v="David"/>
    <s v="Williams"/>
    <n v="40"/>
    <x v="0"/>
    <x v="4"/>
    <s v="Active"/>
    <s v="2023-08-04"/>
    <n v="96011.55"/>
    <s v="david.williams@example.com"/>
    <s v="2312447314"/>
    <x v="0"/>
    <x v="0"/>
  </r>
  <r>
    <s v="EMP1369"/>
    <s v="David"/>
    <s v="Davis"/>
    <n v="40"/>
    <x v="4"/>
    <x v="3"/>
    <s v="Inactive"/>
    <s v="2020-01-10"/>
    <n v="99331.49"/>
    <s v="david.davis@example.com"/>
    <s v="8477686341"/>
    <x v="1"/>
    <x v="1"/>
  </r>
  <r>
    <s v="EMP1370"/>
    <s v="Bob"/>
    <s v="Brown"/>
    <s v=""/>
    <x v="3"/>
    <x v="5"/>
    <s v="Active"/>
    <s v="2022-01-19"/>
    <n v="72818.94"/>
    <s v="bob.brown@example.com"/>
    <s v="3461994236"/>
    <x v="2"/>
    <x v="0"/>
  </r>
  <r>
    <s v="EMP1371"/>
    <s v="Eva"/>
    <s v="Garcia"/>
    <n v="40"/>
    <x v="4"/>
    <x v="2"/>
    <s v="Inactive"/>
    <s v="2023-05-07"/>
    <n v="77204.75"/>
    <s v="eva.garcia@example.com"/>
    <s v="6769459195"/>
    <x v="2"/>
    <x v="0"/>
  </r>
  <r>
    <s v="EMP1372"/>
    <s v="Bob"/>
    <s v="Johnson"/>
    <n v="35"/>
    <x v="5"/>
    <x v="3"/>
    <s v="Pending"/>
    <s v="2020-12-19"/>
    <n v="106961.68"/>
    <s v="bob.johnson@example.com"/>
    <s v="6395517207"/>
    <x v="3"/>
    <x v="1"/>
  </r>
  <r>
    <s v="EMP1373"/>
    <s v="Eva"/>
    <s v="Garcia"/>
    <s v=""/>
    <x v="4"/>
    <x v="1"/>
    <s v="Pending"/>
    <s v="2020-10-01"/>
    <n v="71923"/>
    <s v="eva.garcia@example.com"/>
    <s v="4964985600"/>
    <x v="2"/>
    <x v="0"/>
  </r>
  <r>
    <s v="EMP1374"/>
    <s v="Bob"/>
    <s v="Smith"/>
    <n v="30"/>
    <x v="5"/>
    <x v="2"/>
    <s v="Active"/>
    <s v="2022-11-12"/>
    <n v="77192.429999999993"/>
    <s v="bob.smith@example.com"/>
    <s v="2562531354"/>
    <x v="1"/>
    <x v="1"/>
  </r>
  <r>
    <s v="EMP1375"/>
    <s v="Grace"/>
    <s v="Brown"/>
    <n v="40"/>
    <x v="2"/>
    <x v="3"/>
    <s v="Pending"/>
    <s v="2023-01-05"/>
    <n v="98540.3"/>
    <s v="grace.brown@example.com"/>
    <s v="2510505378"/>
    <x v="2"/>
    <x v="1"/>
  </r>
  <r>
    <s v="EMP1376"/>
    <s v="Charlie"/>
    <s v="Brown"/>
    <s v=""/>
    <x v="2"/>
    <x v="3"/>
    <s v="Inactive"/>
    <s v="2020-10-14"/>
    <n v="63096.9"/>
    <s v="charlie.brown@example.com"/>
    <s v="5381649382"/>
    <x v="0"/>
    <x v="1"/>
  </r>
  <r>
    <s v="EMP1377"/>
    <s v="Alice"/>
    <s v="Smith"/>
    <n v="35"/>
    <x v="3"/>
    <x v="3"/>
    <s v="Active"/>
    <s v="2021-02-03"/>
    <n v="107065.12"/>
    <s v="alice.smith@example.com"/>
    <s v="1849196654"/>
    <x v="0"/>
    <x v="1"/>
  </r>
  <r>
    <s v="EMP1378"/>
    <s v="Heidi"/>
    <s v="Johnson"/>
    <n v="40"/>
    <x v="0"/>
    <x v="3"/>
    <s v="Inactive"/>
    <s v="2023-12-25"/>
    <n v="108792.43"/>
    <s v="heidi.johnson@example.com"/>
    <s v="3307704610"/>
    <x v="3"/>
    <x v="0"/>
  </r>
  <r>
    <s v="EMP1379"/>
    <s v="Bob"/>
    <s v="Smith"/>
    <s v=""/>
    <x v="3"/>
    <x v="4"/>
    <s v="Inactive"/>
    <s v="2020-03-07"/>
    <n v="69239.7"/>
    <s v="bob.smith@example.com"/>
    <s v="7295963903"/>
    <x v="1"/>
    <x v="1"/>
  </r>
  <r>
    <s v="EMP1380"/>
    <s v="Charlie"/>
    <s v="Garcia"/>
    <n v="40"/>
    <x v="4"/>
    <x v="2"/>
    <s v="Inactive"/>
    <s v="2023-01-30"/>
    <n v="85756.42"/>
    <s v="charlie.garcia@example.com"/>
    <s v="907426087"/>
    <x v="0"/>
    <x v="0"/>
  </r>
  <r>
    <s v="EMP1381"/>
    <s v="Eva"/>
    <s v="Miller"/>
    <s v=""/>
    <x v="5"/>
    <x v="5"/>
    <s v="Active"/>
    <s v="2024-04-05"/>
    <n v="100328.62"/>
    <s v="eva.miller@example.com"/>
    <s v="501716444"/>
    <x v="0"/>
    <x v="0"/>
  </r>
  <r>
    <s v="EMP1382"/>
    <s v="Grace"/>
    <s v="Brown"/>
    <n v="25"/>
    <x v="0"/>
    <x v="2"/>
    <s v="Active"/>
    <s v="2021-09-01"/>
    <n v="111236.69"/>
    <s v="grace.brown@example.com"/>
    <s v="5618579063"/>
    <x v="1"/>
    <x v="0"/>
  </r>
  <r>
    <s v="EMP1383"/>
    <s v="Eva"/>
    <s v="Jones"/>
    <n v="35"/>
    <x v="3"/>
    <x v="3"/>
    <s v="Active"/>
    <s v="2024-05-07"/>
    <n v="106832.22"/>
    <s v="eva.jones@example.com"/>
    <s v="7715910299"/>
    <x v="2"/>
    <x v="0"/>
  </r>
  <r>
    <s v="EMP1384"/>
    <s v="Frank"/>
    <s v="Jones"/>
    <s v=""/>
    <x v="0"/>
    <x v="3"/>
    <s v="Active"/>
    <s v="2023-06-15"/>
    <n v="59746.45"/>
    <s v="frank.jones@example.com"/>
    <s v="2156321357"/>
    <x v="2"/>
    <x v="0"/>
  </r>
  <r>
    <s v="EMP1385"/>
    <s v="David"/>
    <s v="Garcia"/>
    <n v="25"/>
    <x v="4"/>
    <x v="0"/>
    <s v="Pending"/>
    <s v="2021-07-29"/>
    <n v="91780.04"/>
    <s v="david.garcia@example.com"/>
    <s v="40104144"/>
    <x v="3"/>
    <x v="0"/>
  </r>
  <r>
    <s v="EMP1386"/>
    <s v="Eva"/>
    <s v="Williams"/>
    <n v="35"/>
    <x v="4"/>
    <x v="0"/>
    <s v="Pending"/>
    <s v="2023-10-23"/>
    <n v="107062.66"/>
    <s v="eva.williams@example.com"/>
    <s v="9642297124"/>
    <x v="2"/>
    <x v="0"/>
  </r>
  <r>
    <s v="EMP1387"/>
    <s v="Grace"/>
    <s v="Davis"/>
    <n v="25"/>
    <x v="5"/>
    <x v="2"/>
    <s v="Active"/>
    <s v="2023-12-07"/>
    <n v="110625.52"/>
    <s v="grace.davis@example.com"/>
    <s v="2967188396"/>
    <x v="1"/>
    <x v="0"/>
  </r>
  <r>
    <s v="EMP1388"/>
    <s v="Frank"/>
    <s v="Smith"/>
    <n v="30"/>
    <x v="0"/>
    <x v="3"/>
    <s v="Inactive"/>
    <s v="2020-10-18"/>
    <n v="90419.79"/>
    <s v="frank.smith@example.com"/>
    <s v="7457314414"/>
    <x v="0"/>
    <x v="0"/>
  </r>
  <r>
    <s v="EMP1389"/>
    <s v="Grace"/>
    <s v="Smith"/>
    <n v="40"/>
    <x v="1"/>
    <x v="1"/>
    <s v="Pending"/>
    <s v="2024-06-15"/>
    <n v="111608.76"/>
    <s v="grace.smith@example.com"/>
    <s v="8331170302"/>
    <x v="2"/>
    <x v="0"/>
  </r>
  <r>
    <s v="EMP1390"/>
    <s v="Eva"/>
    <s v="Williams"/>
    <n v="35"/>
    <x v="1"/>
    <x v="3"/>
    <s v="Inactive"/>
    <s v="2023-04-06"/>
    <n v="50173.120000000003"/>
    <s v="eva.williams@example.com"/>
    <s v="7637153987"/>
    <x v="3"/>
    <x v="1"/>
  </r>
  <r>
    <s v="EMP1391"/>
    <s v="Bob"/>
    <s v="Williams"/>
    <n v="40"/>
    <x v="0"/>
    <x v="2"/>
    <s v="Pending"/>
    <s v="2022-01-03"/>
    <n v="109507.44"/>
    <s v="bob.williams@example.com"/>
    <s v="5472812355"/>
    <x v="2"/>
    <x v="1"/>
  </r>
  <r>
    <s v="EMP1392"/>
    <s v="Grace"/>
    <s v="Garcia"/>
    <n v="30"/>
    <x v="1"/>
    <x v="4"/>
    <s v="Inactive"/>
    <s v="2021-07-03"/>
    <n v="72600.56"/>
    <s v="grace.garcia@example.com"/>
    <s v="7983631461"/>
    <x v="1"/>
    <x v="1"/>
  </r>
  <r>
    <s v="EMP1393"/>
    <s v="Charlie"/>
    <s v="Garcia"/>
    <s v=""/>
    <x v="1"/>
    <x v="0"/>
    <s v="Pending"/>
    <s v="2024-04-10"/>
    <n v="53388.65"/>
    <s v="charlie.garcia@example.com"/>
    <s v="4912711306"/>
    <x v="3"/>
    <x v="0"/>
  </r>
  <r>
    <s v="EMP1394"/>
    <s v="Heidi"/>
    <s v="Williams"/>
    <n v="25"/>
    <x v="3"/>
    <x v="4"/>
    <s v="Inactive"/>
    <s v="2022-07-23"/>
    <n v="50047.32"/>
    <s v="heidi.williams@example.com"/>
    <s v="2407875417"/>
    <x v="2"/>
    <x v="1"/>
  </r>
  <r>
    <s v="EMP1395"/>
    <s v="David"/>
    <s v="Brown"/>
    <n v="30"/>
    <x v="0"/>
    <x v="0"/>
    <s v="Active"/>
    <s v="2024-11-25"/>
    <n v="115290.79"/>
    <s v="david.brown@example.com"/>
    <s v="1563268684"/>
    <x v="3"/>
    <x v="1"/>
  </r>
  <r>
    <s v="EMP1396"/>
    <s v="Frank"/>
    <s v="Garcia"/>
    <n v="35"/>
    <x v="3"/>
    <x v="0"/>
    <s v="Pending"/>
    <s v="2023-08-21"/>
    <n v="61586.76"/>
    <s v="frank.garcia@example.com"/>
    <s v="745106633"/>
    <x v="1"/>
    <x v="1"/>
  </r>
  <r>
    <s v="EMP1397"/>
    <s v="Eva"/>
    <s v="Miller"/>
    <n v="30"/>
    <x v="1"/>
    <x v="2"/>
    <s v="Active"/>
    <s v="2023-12-12"/>
    <n v="56662.86"/>
    <s v="eva.miller@example.com"/>
    <s v="3629489785"/>
    <x v="0"/>
    <x v="0"/>
  </r>
  <r>
    <s v="EMP1398"/>
    <s v="Bob"/>
    <s v="Garcia"/>
    <n v="30"/>
    <x v="4"/>
    <x v="4"/>
    <s v="Pending"/>
    <s v="2023-10-24"/>
    <s v=""/>
    <s v="bob.garcia@example.com"/>
    <s v="1031310093"/>
    <x v="1"/>
    <x v="0"/>
  </r>
  <r>
    <s v="EMP1399"/>
    <s v="Frank"/>
    <s v="Smith"/>
    <n v="25"/>
    <x v="1"/>
    <x v="2"/>
    <s v="Active"/>
    <s v="2022-09-05"/>
    <n v="54957.98"/>
    <s v="frank.smith@example.com"/>
    <s v="3181439665"/>
    <x v="1"/>
    <x v="0"/>
  </r>
  <r>
    <s v="EMP1400"/>
    <s v="Bob"/>
    <s v="Garcia"/>
    <n v="25"/>
    <x v="5"/>
    <x v="0"/>
    <s v="Inactive"/>
    <s v="2020-10-07"/>
    <n v="76790.47"/>
    <s v="bob.garcia@example.com"/>
    <s v="1347323548"/>
    <x v="1"/>
    <x v="0"/>
  </r>
  <r>
    <s v="EMP1401"/>
    <s v="Charlie"/>
    <s v="Brown"/>
    <n v="30"/>
    <x v="3"/>
    <x v="5"/>
    <s v="Pending"/>
    <s v="2020-01-18"/>
    <n v="92722.35"/>
    <s v="charlie.brown@example.com"/>
    <s v="4012897431"/>
    <x v="1"/>
    <x v="1"/>
  </r>
  <r>
    <s v="EMP1402"/>
    <s v="Frank"/>
    <s v="Williams"/>
    <n v="30"/>
    <x v="0"/>
    <x v="2"/>
    <s v="Active"/>
    <s v="2022-04-23"/>
    <n v="93125.32"/>
    <s v="frank.williams@example.com"/>
    <s v="5122572075"/>
    <x v="0"/>
    <x v="1"/>
  </r>
  <r>
    <s v="EMP1403"/>
    <s v="David"/>
    <s v="Smith"/>
    <n v="25"/>
    <x v="3"/>
    <x v="4"/>
    <s v="Active"/>
    <s v="2023-04-22"/>
    <n v="101100.64"/>
    <s v="david.smith@example.com"/>
    <s v="5024120956"/>
    <x v="0"/>
    <x v="1"/>
  </r>
  <r>
    <s v="EMP1404"/>
    <s v="Grace"/>
    <s v="Garcia"/>
    <n v="35"/>
    <x v="2"/>
    <x v="4"/>
    <s v="Inactive"/>
    <s v="2023-08-13"/>
    <n v="55897.41"/>
    <s v="grace.garcia@example.com"/>
    <s v="9073710093"/>
    <x v="3"/>
    <x v="1"/>
  </r>
  <r>
    <s v="EMP1405"/>
    <s v="Eva"/>
    <s v="Brown"/>
    <n v="25"/>
    <x v="0"/>
    <x v="0"/>
    <s v="Active"/>
    <s v="2022-11-26"/>
    <n v="92484.88"/>
    <s v="eva.brown@example.com"/>
    <s v="3882211456"/>
    <x v="2"/>
    <x v="0"/>
  </r>
  <r>
    <s v="EMP1406"/>
    <s v="Grace"/>
    <s v="Miller"/>
    <n v="35"/>
    <x v="0"/>
    <x v="1"/>
    <s v="Active"/>
    <s v="2022-10-10"/>
    <n v="77011.990000000005"/>
    <s v="grace.miller@example.com"/>
    <s v="7584745704"/>
    <x v="0"/>
    <x v="0"/>
  </r>
  <r>
    <s v="EMP1407"/>
    <s v="Bob"/>
    <s v="Garcia"/>
    <s v=""/>
    <x v="3"/>
    <x v="0"/>
    <s v="Inactive"/>
    <s v="2020-09-27"/>
    <n v="77078.679999999993"/>
    <s v="bob.garcia@example.com"/>
    <s v="4589714801"/>
    <x v="0"/>
    <x v="0"/>
  </r>
  <r>
    <s v="EMP1408"/>
    <s v="Grace"/>
    <s v="Brown"/>
    <n v="35"/>
    <x v="4"/>
    <x v="2"/>
    <s v="Active"/>
    <s v="2024-04-11"/>
    <n v="82971.02"/>
    <s v="grace.brown@example.com"/>
    <s v="6325703964"/>
    <x v="2"/>
    <x v="1"/>
  </r>
  <r>
    <s v="EMP1409"/>
    <s v="Bob"/>
    <s v="Miller"/>
    <n v="25"/>
    <x v="4"/>
    <x v="1"/>
    <s v="Active"/>
    <s v="2021-06-20"/>
    <n v="65102.01"/>
    <s v="bob.miller@example.com"/>
    <s v="3136148781"/>
    <x v="0"/>
    <x v="0"/>
  </r>
  <r>
    <s v="EMP1410"/>
    <s v="Grace"/>
    <s v="Williams"/>
    <s v=""/>
    <x v="5"/>
    <x v="2"/>
    <s v="Pending"/>
    <s v="2022-10-23"/>
    <n v="103697.7"/>
    <s v="grace.williams@example.com"/>
    <s v="4556964429"/>
    <x v="1"/>
    <x v="0"/>
  </r>
  <r>
    <s v="EMP1411"/>
    <s v="Grace"/>
    <s v="Garcia"/>
    <n v="25"/>
    <x v="0"/>
    <x v="5"/>
    <s v="Pending"/>
    <s v="2023-06-15"/>
    <n v="60687.63"/>
    <s v="grace.garcia@example.com"/>
    <s v="9859167953"/>
    <x v="1"/>
    <x v="1"/>
  </r>
  <r>
    <s v="EMP1412"/>
    <s v="Bob"/>
    <s v="Miller"/>
    <s v=""/>
    <x v="2"/>
    <x v="4"/>
    <s v="Pending"/>
    <s v="2021-10-31"/>
    <n v="77351.210000000006"/>
    <s v="bob.miller@example.com"/>
    <s v="1072728497"/>
    <x v="2"/>
    <x v="1"/>
  </r>
  <r>
    <s v="EMP1413"/>
    <s v="Bob"/>
    <s v="Smith"/>
    <n v="35"/>
    <x v="0"/>
    <x v="3"/>
    <s v="Pending"/>
    <s v="2024-09-29"/>
    <n v="66704.62"/>
    <s v="bob.smith@example.com"/>
    <s v="2474140702"/>
    <x v="3"/>
    <x v="0"/>
  </r>
  <r>
    <s v="EMP1414"/>
    <s v="Grace"/>
    <s v="Williams"/>
    <n v="25"/>
    <x v="1"/>
    <x v="5"/>
    <s v="Pending"/>
    <s v="2020-04-22"/>
    <n v="71650.3"/>
    <s v="grace.williams@example.com"/>
    <s v="4910740649"/>
    <x v="3"/>
    <x v="0"/>
  </r>
  <r>
    <s v="EMP1415"/>
    <s v="Charlie"/>
    <s v="Smith"/>
    <n v="25"/>
    <x v="3"/>
    <x v="2"/>
    <s v="Active"/>
    <s v="2023-12-07"/>
    <n v="50794.54"/>
    <s v="charlie.smith@example.com"/>
    <s v="425488213"/>
    <x v="2"/>
    <x v="0"/>
  </r>
  <r>
    <s v="EMP1416"/>
    <s v="Frank"/>
    <s v="Jones"/>
    <s v=""/>
    <x v="4"/>
    <x v="2"/>
    <s v="Inactive"/>
    <s v="2020-12-07"/>
    <n v="76030.86"/>
    <s v="frank.jones@example.com"/>
    <s v="2369143074"/>
    <x v="2"/>
    <x v="0"/>
  </r>
  <r>
    <s v="EMP1417"/>
    <s v="Eva"/>
    <s v="Johnson"/>
    <n v="25"/>
    <x v="3"/>
    <x v="0"/>
    <s v="Inactive"/>
    <s v="2021-07-11"/>
    <n v="86669.79"/>
    <s v="eva.johnson@example.com"/>
    <s v="3666144941"/>
    <x v="1"/>
    <x v="0"/>
  </r>
  <r>
    <s v="EMP1418"/>
    <s v="Bob"/>
    <s v="Garcia"/>
    <n v="40"/>
    <x v="1"/>
    <x v="5"/>
    <s v="Inactive"/>
    <s v="2020-04-23"/>
    <n v="84972.7"/>
    <s v="bob.garcia@example.com"/>
    <s v="9659234267"/>
    <x v="3"/>
    <x v="0"/>
  </r>
  <r>
    <s v="EMP1419"/>
    <s v="Frank"/>
    <s v="Miller"/>
    <n v="30"/>
    <x v="5"/>
    <x v="1"/>
    <s v="Pending"/>
    <s v="2023-10-12"/>
    <n v="100594.49"/>
    <s v="frank.miller@example.com"/>
    <s v="3441497825"/>
    <x v="0"/>
    <x v="1"/>
  </r>
  <r>
    <s v="EMP1420"/>
    <s v="Alice"/>
    <s v="Johnson"/>
    <n v="25"/>
    <x v="3"/>
    <x v="4"/>
    <s v="Active"/>
    <s v="2022-08-24"/>
    <n v="75478.350000000006"/>
    <s v="alice.johnson@example.com"/>
    <s v="6128758574"/>
    <x v="1"/>
    <x v="1"/>
  </r>
  <r>
    <s v="EMP1421"/>
    <s v="Charlie"/>
    <s v="Johnson"/>
    <n v="25"/>
    <x v="4"/>
    <x v="2"/>
    <s v="Pending"/>
    <s v="2023-09-04"/>
    <n v="79355.850000000006"/>
    <s v="charlie.johnson@example.com"/>
    <s v="6766708060"/>
    <x v="2"/>
    <x v="1"/>
  </r>
  <r>
    <s v="EMP1422"/>
    <s v="Grace"/>
    <s v="Miller"/>
    <n v="35"/>
    <x v="5"/>
    <x v="1"/>
    <s v="Pending"/>
    <s v="2022-02-02"/>
    <n v="58358.07"/>
    <s v="grace.miller@example.com"/>
    <s v="2943985297"/>
    <x v="3"/>
    <x v="0"/>
  </r>
  <r>
    <s v="EMP1423"/>
    <s v="Alice"/>
    <s v="Williams"/>
    <n v="30"/>
    <x v="2"/>
    <x v="5"/>
    <s v="Active"/>
    <s v="2022-04-01"/>
    <n v="54824.85"/>
    <s v="alice.williams@example.com"/>
    <s v="9406260786"/>
    <x v="0"/>
    <x v="1"/>
  </r>
  <r>
    <s v="EMP1424"/>
    <s v="Eva"/>
    <s v="Garcia"/>
    <n v="35"/>
    <x v="5"/>
    <x v="1"/>
    <s v="Pending"/>
    <s v="2022-07-24"/>
    <n v="50557.84"/>
    <s v="eva.garcia@example.com"/>
    <s v="104159148"/>
    <x v="0"/>
    <x v="0"/>
  </r>
  <r>
    <s v="EMP1425"/>
    <s v="Eva"/>
    <s v="Jones"/>
    <s v=""/>
    <x v="2"/>
    <x v="3"/>
    <s v="Inactive"/>
    <s v="2023-04-26"/>
    <n v="118030.04"/>
    <s v="eva.jones@example.com"/>
    <s v="7501980381"/>
    <x v="1"/>
    <x v="0"/>
  </r>
  <r>
    <s v="EMP1426"/>
    <s v="David"/>
    <s v="Smith"/>
    <s v=""/>
    <x v="2"/>
    <x v="4"/>
    <s v="Active"/>
    <s v="2022-04-19"/>
    <n v="51673.72"/>
    <s v="david.smith@example.com"/>
    <s v="8723244078"/>
    <x v="3"/>
    <x v="1"/>
  </r>
  <r>
    <s v="EMP1427"/>
    <s v="Alice"/>
    <s v="Brown"/>
    <n v="35"/>
    <x v="3"/>
    <x v="2"/>
    <s v="Inactive"/>
    <s v="2024-10-04"/>
    <n v="101665.79"/>
    <s v="alice.brown@example.com"/>
    <s v="3110291812"/>
    <x v="3"/>
    <x v="0"/>
  </r>
  <r>
    <s v="EMP1428"/>
    <s v="David"/>
    <s v="Smith"/>
    <s v=""/>
    <x v="2"/>
    <x v="3"/>
    <s v="Inactive"/>
    <s v="2020-05-02"/>
    <n v="118079.15"/>
    <s v="david.smith@example.com"/>
    <s v="3170876013"/>
    <x v="2"/>
    <x v="0"/>
  </r>
  <r>
    <s v="EMP1429"/>
    <s v="Eva"/>
    <s v="Brown"/>
    <n v="25"/>
    <x v="3"/>
    <x v="4"/>
    <s v="Pending"/>
    <s v="2022-04-25"/>
    <n v="99059.28"/>
    <s v="eva.brown@example.com"/>
    <s v="6723849790"/>
    <x v="3"/>
    <x v="1"/>
  </r>
  <r>
    <s v="EMP1430"/>
    <s v="Bob"/>
    <s v="Smith"/>
    <s v=""/>
    <x v="3"/>
    <x v="5"/>
    <s v="Active"/>
    <s v="2023-07-29"/>
    <n v="107397.4"/>
    <s v="bob.smith@example.com"/>
    <s v="6202232882"/>
    <x v="3"/>
    <x v="1"/>
  </r>
  <r>
    <s v="EMP1431"/>
    <s v="Alice"/>
    <s v="Miller"/>
    <n v="40"/>
    <x v="0"/>
    <x v="4"/>
    <s v="Active"/>
    <s v="2021-08-20"/>
    <n v="68269.37"/>
    <s v="alice.miller@example.com"/>
    <s v="7744197545"/>
    <x v="1"/>
    <x v="1"/>
  </r>
  <r>
    <s v="EMP1432"/>
    <s v="Grace"/>
    <s v="Jones"/>
    <n v="35"/>
    <x v="5"/>
    <x v="3"/>
    <s v="Inactive"/>
    <s v="2021-04-23"/>
    <n v="55228.12"/>
    <s v="grace.jones@example.com"/>
    <s v="6176620470"/>
    <x v="3"/>
    <x v="0"/>
  </r>
  <r>
    <s v="EMP1433"/>
    <s v="Bob"/>
    <s v="Garcia"/>
    <n v="30"/>
    <x v="3"/>
    <x v="4"/>
    <s v="Inactive"/>
    <s v="2022-08-12"/>
    <n v="71982.33"/>
    <s v="bob.garcia@example.com"/>
    <s v="9609409704"/>
    <x v="0"/>
    <x v="1"/>
  </r>
  <r>
    <s v="EMP1434"/>
    <s v="Frank"/>
    <s v="Brown"/>
    <n v="30"/>
    <x v="1"/>
    <x v="0"/>
    <s v="Inactive"/>
    <s v="2021-06-26"/>
    <n v="109673.75"/>
    <s v="frank.brown@example.com"/>
    <s v="2774025882"/>
    <x v="1"/>
    <x v="1"/>
  </r>
  <r>
    <s v="EMP1435"/>
    <s v="Eva"/>
    <s v="Garcia"/>
    <s v=""/>
    <x v="3"/>
    <x v="4"/>
    <s v="Inactive"/>
    <s v="2020-10-30"/>
    <n v="56384.9"/>
    <s v="eva.garcia@example.com"/>
    <s v="5868122594"/>
    <x v="1"/>
    <x v="0"/>
  </r>
  <r>
    <s v="EMP1436"/>
    <s v="Frank"/>
    <s v="Garcia"/>
    <n v="40"/>
    <x v="4"/>
    <x v="1"/>
    <s v="Pending"/>
    <s v="2021-09-04"/>
    <n v="68211.679999999993"/>
    <s v="frank.garcia@example.com"/>
    <s v="7244617678"/>
    <x v="2"/>
    <x v="1"/>
  </r>
  <r>
    <s v="EMP1437"/>
    <s v="Alice"/>
    <s v="Garcia"/>
    <n v="40"/>
    <x v="1"/>
    <x v="5"/>
    <s v="Pending"/>
    <s v="2023-01-31"/>
    <n v="67489.679999999993"/>
    <s v="alice.garcia@example.com"/>
    <s v="2988425994"/>
    <x v="3"/>
    <x v="1"/>
  </r>
  <r>
    <s v="EMP1438"/>
    <s v="Charlie"/>
    <s v="Davis"/>
    <n v="25"/>
    <x v="3"/>
    <x v="1"/>
    <s v="Active"/>
    <s v="2020-09-24"/>
    <n v="63869.31"/>
    <s v="charlie.davis@example.com"/>
    <s v="9961002310"/>
    <x v="2"/>
    <x v="1"/>
  </r>
  <r>
    <s v="EMP1439"/>
    <s v="Bob"/>
    <s v="Williams"/>
    <s v=""/>
    <x v="4"/>
    <x v="0"/>
    <s v="Active"/>
    <s v="2020-02-14"/>
    <n v="119801.3"/>
    <s v="bob.williams@example.com"/>
    <s v="7753312660"/>
    <x v="0"/>
    <x v="0"/>
  </r>
  <r>
    <s v="EMP1440"/>
    <s v="Heidi"/>
    <s v="Smith"/>
    <n v="30"/>
    <x v="3"/>
    <x v="0"/>
    <s v="Active"/>
    <s v="2020-03-28"/>
    <n v="115959.65"/>
    <s v="heidi.smith@example.com"/>
    <s v="941017589"/>
    <x v="1"/>
    <x v="0"/>
  </r>
  <r>
    <s v="EMP1441"/>
    <s v="Grace"/>
    <s v="Garcia"/>
    <n v="40"/>
    <x v="1"/>
    <x v="1"/>
    <s v="Inactive"/>
    <s v="2023-10-31"/>
    <n v="79866.48"/>
    <s v="grace.garcia@example.com"/>
    <s v="2517629832"/>
    <x v="1"/>
    <x v="0"/>
  </r>
  <r>
    <s v="EMP1442"/>
    <s v="Charlie"/>
    <s v="Smith"/>
    <n v="35"/>
    <x v="5"/>
    <x v="3"/>
    <s v="Active"/>
    <s v="2020-03-11"/>
    <n v="92987.46"/>
    <s v="charlie.smith@example.com"/>
    <s v="4774332682"/>
    <x v="1"/>
    <x v="0"/>
  </r>
  <r>
    <s v="EMP1443"/>
    <s v="Eva"/>
    <s v="Garcia"/>
    <n v="40"/>
    <x v="1"/>
    <x v="5"/>
    <s v="Inactive"/>
    <s v="2020-05-04"/>
    <n v="56140.51"/>
    <s v="eva.garcia@example.com"/>
    <s v="1901302055"/>
    <x v="0"/>
    <x v="1"/>
  </r>
  <r>
    <s v="EMP1444"/>
    <s v="Grace"/>
    <s v="Brown"/>
    <n v="30"/>
    <x v="0"/>
    <x v="5"/>
    <s v="Active"/>
    <s v="2023-07-15"/>
    <n v="119586.11"/>
    <s v="grace.brown@example.com"/>
    <s v="9815287338"/>
    <x v="0"/>
    <x v="0"/>
  </r>
  <r>
    <s v="EMP1445"/>
    <s v="Alice"/>
    <s v="Williams"/>
    <n v="40"/>
    <x v="0"/>
    <x v="0"/>
    <s v="Inactive"/>
    <s v="2023-01-20"/>
    <n v="104700.46"/>
    <s v="alice.williams@example.com"/>
    <s v="7855982175"/>
    <x v="2"/>
    <x v="0"/>
  </r>
  <r>
    <s v="EMP1446"/>
    <s v="Frank"/>
    <s v="Williams"/>
    <n v="40"/>
    <x v="5"/>
    <x v="4"/>
    <s v="Active"/>
    <s v="2021-10-15"/>
    <n v="91798.14"/>
    <s v="frank.williams@example.com"/>
    <s v="6191284116"/>
    <x v="2"/>
    <x v="1"/>
  </r>
  <r>
    <s v="EMP1447"/>
    <s v="Eva"/>
    <s v="Miller"/>
    <n v="25"/>
    <x v="1"/>
    <x v="5"/>
    <s v="Inactive"/>
    <s v="2024-04-19"/>
    <n v="90879.22"/>
    <s v="eva.miller@example.com"/>
    <s v="3098503445"/>
    <x v="2"/>
    <x v="1"/>
  </r>
  <r>
    <s v="EMP1448"/>
    <s v="Charlie"/>
    <s v="Davis"/>
    <n v="25"/>
    <x v="2"/>
    <x v="2"/>
    <s v="Active"/>
    <s v="2021-06-29"/>
    <n v="87358.27"/>
    <s v="charlie.davis@example.com"/>
    <s v="5124189388"/>
    <x v="3"/>
    <x v="1"/>
  </r>
  <r>
    <s v="EMP1449"/>
    <s v="Alice"/>
    <s v="Miller"/>
    <n v="30"/>
    <x v="4"/>
    <x v="3"/>
    <s v="Inactive"/>
    <s v="2024-09-14"/>
    <n v="119407.93"/>
    <s v="alice.miller@example.com"/>
    <s v="8469081973"/>
    <x v="1"/>
    <x v="0"/>
  </r>
  <r>
    <s v="EMP1450"/>
    <s v="David"/>
    <s v="Miller"/>
    <s v=""/>
    <x v="5"/>
    <x v="2"/>
    <s v="Pending"/>
    <s v="2022-01-04"/>
    <n v="113978.6"/>
    <s v="david.miller@example.com"/>
    <s v="56435022"/>
    <x v="1"/>
    <x v="0"/>
  </r>
  <r>
    <s v="EMP1451"/>
    <s v="Frank"/>
    <s v="Miller"/>
    <s v=""/>
    <x v="4"/>
    <x v="4"/>
    <s v="Pending"/>
    <s v="2021-01-20"/>
    <n v="108568.78"/>
    <s v="frank.miller@example.com"/>
    <s v="8503719904"/>
    <x v="2"/>
    <x v="0"/>
  </r>
  <r>
    <s v="EMP1452"/>
    <s v="Heidi"/>
    <s v="Miller"/>
    <s v=""/>
    <x v="5"/>
    <x v="4"/>
    <s v="Inactive"/>
    <s v="2020-03-18"/>
    <n v="56318.02"/>
    <s v="heidi.miller@example.com"/>
    <s v="1699187239"/>
    <x v="1"/>
    <x v="1"/>
  </r>
  <r>
    <s v="EMP1453"/>
    <s v="David"/>
    <s v="Miller"/>
    <n v="25"/>
    <x v="4"/>
    <x v="3"/>
    <s v="Active"/>
    <s v="2021-11-10"/>
    <n v="114252.73"/>
    <s v="david.miller@example.com"/>
    <s v="1078356742"/>
    <x v="2"/>
    <x v="1"/>
  </r>
  <r>
    <s v="EMP1454"/>
    <s v="Charlie"/>
    <s v="Jones"/>
    <n v="35"/>
    <x v="0"/>
    <x v="4"/>
    <s v="Inactive"/>
    <s v="2020-05-01"/>
    <n v="51533.9"/>
    <s v="charlie.jones@example.com"/>
    <s v="3896086"/>
    <x v="3"/>
    <x v="0"/>
  </r>
  <r>
    <s v="EMP1455"/>
    <s v="Charlie"/>
    <s v="Williams"/>
    <n v="25"/>
    <x v="4"/>
    <x v="0"/>
    <s v="Active"/>
    <s v="2022-02-04"/>
    <n v="99317.66"/>
    <s v="charlie.williams@example.com"/>
    <s v="662668216"/>
    <x v="3"/>
    <x v="1"/>
  </r>
  <r>
    <s v="EMP1456"/>
    <s v="Bob"/>
    <s v="Miller"/>
    <n v="35"/>
    <x v="5"/>
    <x v="0"/>
    <s v="Active"/>
    <s v="2020-11-18"/>
    <n v="101264.64"/>
    <s v="bob.miller@example.com"/>
    <s v="1955356032"/>
    <x v="0"/>
    <x v="1"/>
  </r>
  <r>
    <s v="EMP1457"/>
    <s v="Heidi"/>
    <s v="Garcia"/>
    <n v="35"/>
    <x v="2"/>
    <x v="2"/>
    <s v="Pending"/>
    <s v="2023-11-21"/>
    <n v="112272.02"/>
    <s v="heidi.garcia@example.com"/>
    <s v="1903689002"/>
    <x v="3"/>
    <x v="1"/>
  </r>
  <r>
    <s v="EMP1458"/>
    <s v="Frank"/>
    <s v="Williams"/>
    <n v="30"/>
    <x v="0"/>
    <x v="5"/>
    <s v="Active"/>
    <s v="2022-02-13"/>
    <n v="71477.63"/>
    <s v="frank.williams@example.com"/>
    <s v="102724054"/>
    <x v="2"/>
    <x v="0"/>
  </r>
  <r>
    <s v="EMP1459"/>
    <s v="Charlie"/>
    <s v="Williams"/>
    <n v="30"/>
    <x v="0"/>
    <x v="1"/>
    <s v="Pending"/>
    <s v="2023-03-19"/>
    <n v="77412.100000000006"/>
    <s v="charlie.williams@example.com"/>
    <s v="9342967110"/>
    <x v="3"/>
    <x v="1"/>
  </r>
  <r>
    <s v="EMP1460"/>
    <s v="Alice"/>
    <s v="Johnson"/>
    <n v="30"/>
    <x v="4"/>
    <x v="0"/>
    <s v="Pending"/>
    <s v="2021-03-28"/>
    <n v="94775.27"/>
    <s v="alice.johnson@example.com"/>
    <s v="4837537457"/>
    <x v="0"/>
    <x v="1"/>
  </r>
  <r>
    <s v="EMP1461"/>
    <s v="Heidi"/>
    <s v="Jones"/>
    <n v="30"/>
    <x v="5"/>
    <x v="2"/>
    <s v="Active"/>
    <s v="2021-05-02"/>
    <n v="74276.710000000006"/>
    <s v="heidi.jones@example.com"/>
    <s v="4384588104"/>
    <x v="1"/>
    <x v="0"/>
  </r>
  <r>
    <s v="EMP1462"/>
    <s v="Bob"/>
    <s v="Miller"/>
    <n v="35"/>
    <x v="1"/>
    <x v="1"/>
    <s v="Inactive"/>
    <s v="2021-03-05"/>
    <n v="67467.86"/>
    <s v="bob.miller@example.com"/>
    <s v="6974132833"/>
    <x v="2"/>
    <x v="0"/>
  </r>
  <r>
    <s v="EMP1463"/>
    <s v="Eva"/>
    <s v="Smith"/>
    <n v="25"/>
    <x v="0"/>
    <x v="1"/>
    <s v="Active"/>
    <s v="2022-03-01"/>
    <n v="80675.41"/>
    <s v="eva.smith@example.com"/>
    <s v="8315203770"/>
    <x v="1"/>
    <x v="1"/>
  </r>
  <r>
    <s v="EMP1464"/>
    <s v="Charlie"/>
    <s v="Brown"/>
    <n v="40"/>
    <x v="1"/>
    <x v="3"/>
    <s v="Inactive"/>
    <s v="2023-01-23"/>
    <n v="76274.33"/>
    <s v="charlie.brown@example.com"/>
    <s v="704496409"/>
    <x v="0"/>
    <x v="1"/>
  </r>
  <r>
    <s v="EMP1465"/>
    <s v="David"/>
    <s v="Davis"/>
    <n v="30"/>
    <x v="1"/>
    <x v="1"/>
    <s v="Active"/>
    <s v="2021-08-26"/>
    <n v="51405.46"/>
    <s v="david.davis@example.com"/>
    <s v="4967066702"/>
    <x v="0"/>
    <x v="0"/>
  </r>
  <r>
    <s v="EMP1466"/>
    <s v="Bob"/>
    <s v="Garcia"/>
    <n v="25"/>
    <x v="5"/>
    <x v="4"/>
    <s v="Inactive"/>
    <s v="2020-11-25"/>
    <n v="101238.96"/>
    <s v="bob.garcia@example.com"/>
    <s v="3626804084"/>
    <x v="0"/>
    <x v="0"/>
  </r>
  <r>
    <s v="EMP1467"/>
    <s v="Bob"/>
    <s v="Smith"/>
    <n v="35"/>
    <x v="4"/>
    <x v="5"/>
    <s v="Inactive"/>
    <s v="2023-12-13"/>
    <n v="52169.52"/>
    <s v="bob.smith@example.com"/>
    <s v="954930595"/>
    <x v="1"/>
    <x v="1"/>
  </r>
  <r>
    <s v="EMP1468"/>
    <s v="Charlie"/>
    <s v="Jones"/>
    <s v=""/>
    <x v="1"/>
    <x v="4"/>
    <s v="Active"/>
    <s v="2020-07-26"/>
    <n v="73176.62"/>
    <s v="charlie.jones@example.com"/>
    <s v="6018648768"/>
    <x v="1"/>
    <x v="1"/>
  </r>
  <r>
    <s v="EMP1469"/>
    <s v="Grace"/>
    <s v="Brown"/>
    <s v=""/>
    <x v="0"/>
    <x v="2"/>
    <s v="Pending"/>
    <s v="2021-06-27"/>
    <n v="96241.85"/>
    <s v="grace.brown@example.com"/>
    <s v="9842673203"/>
    <x v="1"/>
    <x v="1"/>
  </r>
  <r>
    <s v="EMP1470"/>
    <s v="Bob"/>
    <s v="Jones"/>
    <n v="25"/>
    <x v="1"/>
    <x v="5"/>
    <s v="Pending"/>
    <s v="2024-09-16"/>
    <n v="84366.38"/>
    <s v="bob.jones@example.com"/>
    <s v="4138459608"/>
    <x v="1"/>
    <x v="1"/>
  </r>
  <r>
    <s v="EMP1471"/>
    <s v="Alice"/>
    <s v="Garcia"/>
    <n v="40"/>
    <x v="3"/>
    <x v="0"/>
    <s v="Pending"/>
    <s v="2023-07-04"/>
    <n v="92015.09"/>
    <s v="alice.garcia@example.com"/>
    <s v="4544901494"/>
    <x v="0"/>
    <x v="0"/>
  </r>
  <r>
    <s v="EMP1472"/>
    <s v="Alice"/>
    <s v="Williams"/>
    <n v="30"/>
    <x v="2"/>
    <x v="2"/>
    <s v="Inactive"/>
    <s v="2020-06-16"/>
    <n v="83149.95"/>
    <s v="alice.williams@example.com"/>
    <s v="4277070704"/>
    <x v="0"/>
    <x v="1"/>
  </r>
  <r>
    <s v="EMP1473"/>
    <s v="Grace"/>
    <s v="Brown"/>
    <n v="40"/>
    <x v="1"/>
    <x v="2"/>
    <s v="Inactive"/>
    <s v="2020-07-05"/>
    <n v="94930.65"/>
    <s v="grace.brown@example.com"/>
    <s v="7836091497"/>
    <x v="2"/>
    <x v="1"/>
  </r>
  <r>
    <s v="EMP1474"/>
    <s v="Frank"/>
    <s v="Williams"/>
    <n v="40"/>
    <x v="5"/>
    <x v="4"/>
    <s v="Inactive"/>
    <s v="2020-04-01"/>
    <n v="68430.720000000001"/>
    <s v="frank.williams@example.com"/>
    <s v="5172444722"/>
    <x v="2"/>
    <x v="0"/>
  </r>
  <r>
    <s v="EMP1475"/>
    <s v="David"/>
    <s v="Garcia"/>
    <n v="35"/>
    <x v="4"/>
    <x v="1"/>
    <s v="Active"/>
    <s v="2024-03-20"/>
    <n v="98752.97"/>
    <s v="david.garcia@example.com"/>
    <s v="2290310286"/>
    <x v="1"/>
    <x v="1"/>
  </r>
  <r>
    <s v="EMP1476"/>
    <s v="Frank"/>
    <s v="Smith"/>
    <s v=""/>
    <x v="1"/>
    <x v="5"/>
    <s v="Active"/>
    <s v="2023-02-07"/>
    <n v="54268.86"/>
    <s v="frank.smith@example.com"/>
    <s v="9508304404"/>
    <x v="3"/>
    <x v="0"/>
  </r>
  <r>
    <s v="EMP1477"/>
    <s v="Grace"/>
    <s v="Garcia"/>
    <s v=""/>
    <x v="0"/>
    <x v="3"/>
    <s v="Pending"/>
    <s v="2024-12-10"/>
    <n v="66494.94"/>
    <s v="grace.garcia@example.com"/>
    <s v="8093511870"/>
    <x v="3"/>
    <x v="1"/>
  </r>
  <r>
    <s v="EMP1478"/>
    <s v="Grace"/>
    <s v="Smith"/>
    <n v="25"/>
    <x v="4"/>
    <x v="5"/>
    <s v="Pending"/>
    <s v="2024-06-27"/>
    <n v="90003.98"/>
    <s v="grace.smith@example.com"/>
    <s v="8133595615"/>
    <x v="0"/>
    <x v="1"/>
  </r>
  <r>
    <s v="EMP1479"/>
    <s v="Charlie"/>
    <s v="Brown"/>
    <n v="25"/>
    <x v="1"/>
    <x v="4"/>
    <s v="Active"/>
    <s v="2021-03-09"/>
    <n v="106592.25"/>
    <s v="charlie.brown@example.com"/>
    <s v="4205955656"/>
    <x v="0"/>
    <x v="0"/>
  </r>
  <r>
    <s v="EMP1480"/>
    <s v="Grace"/>
    <s v="Brown"/>
    <n v="25"/>
    <x v="0"/>
    <x v="3"/>
    <s v="Active"/>
    <s v="2024-08-11"/>
    <n v="93905.83"/>
    <s v="grace.brown@example.com"/>
    <s v="4902504289"/>
    <x v="0"/>
    <x v="0"/>
  </r>
  <r>
    <s v="EMP1481"/>
    <s v="Eva"/>
    <s v="Miller"/>
    <n v="35"/>
    <x v="0"/>
    <x v="1"/>
    <s v="Active"/>
    <s v="2022-03-05"/>
    <n v="88945.49"/>
    <s v="eva.miller@example.com"/>
    <s v="1935889535"/>
    <x v="2"/>
    <x v="1"/>
  </r>
  <r>
    <s v="EMP1482"/>
    <s v="Eva"/>
    <s v="Jones"/>
    <s v=""/>
    <x v="1"/>
    <x v="1"/>
    <s v="Pending"/>
    <s v="2023-06-30"/>
    <n v="91130.33"/>
    <s v="eva.jones@example.com"/>
    <s v="9026113988"/>
    <x v="2"/>
    <x v="1"/>
  </r>
  <r>
    <s v="EMP1483"/>
    <s v="Bob"/>
    <s v="Miller"/>
    <n v="40"/>
    <x v="2"/>
    <x v="4"/>
    <s v="Pending"/>
    <s v="2023-04-19"/>
    <n v="90787.4"/>
    <s v="bob.miller@example.com"/>
    <s v="8681809787"/>
    <x v="0"/>
    <x v="1"/>
  </r>
  <r>
    <s v="EMP1484"/>
    <s v="Bob"/>
    <s v="Jones"/>
    <n v="25"/>
    <x v="4"/>
    <x v="1"/>
    <s v="Inactive"/>
    <s v="2024-11-11"/>
    <n v="87494.34"/>
    <s v="bob.jones@example.com"/>
    <s v="7543943534"/>
    <x v="0"/>
    <x v="0"/>
  </r>
  <r>
    <s v="EMP1485"/>
    <s v="Grace"/>
    <s v="Miller"/>
    <n v="35"/>
    <x v="1"/>
    <x v="2"/>
    <s v="Inactive"/>
    <s v="2023-03-17"/>
    <n v="92627.35"/>
    <s v="grace.miller@example.com"/>
    <s v="3751376514"/>
    <x v="0"/>
    <x v="1"/>
  </r>
  <r>
    <s v="EMP1486"/>
    <s v="Eva"/>
    <s v="Williams"/>
    <n v="40"/>
    <x v="2"/>
    <x v="5"/>
    <s v="Pending"/>
    <s v="2023-10-26"/>
    <n v="98556.29"/>
    <s v="eva.williams@example.com"/>
    <s v="8815793762"/>
    <x v="3"/>
    <x v="0"/>
  </r>
  <r>
    <s v="EMP1487"/>
    <s v="Frank"/>
    <s v="Brown"/>
    <n v="30"/>
    <x v="3"/>
    <x v="2"/>
    <s v="Inactive"/>
    <s v="2021-07-04"/>
    <n v="112792.2"/>
    <s v="frank.brown@example.com"/>
    <s v="9283692943"/>
    <x v="2"/>
    <x v="0"/>
  </r>
  <r>
    <s v="EMP1488"/>
    <s v="Eva"/>
    <s v="Smith"/>
    <n v="35"/>
    <x v="5"/>
    <x v="3"/>
    <s v="Pending"/>
    <s v="2023-11-03"/>
    <n v="56875.22"/>
    <s v="eva.smith@example.com"/>
    <s v="5511668296"/>
    <x v="3"/>
    <x v="1"/>
  </r>
  <r>
    <s v="EMP1489"/>
    <s v="Charlie"/>
    <s v="Jones"/>
    <n v="35"/>
    <x v="0"/>
    <x v="3"/>
    <s v="Inactive"/>
    <s v="2021-07-05"/>
    <n v="101015.96"/>
    <s v="charlie.jones@example.com"/>
    <s v="3270216486"/>
    <x v="3"/>
    <x v="0"/>
  </r>
  <r>
    <s v="EMP1490"/>
    <s v="Bob"/>
    <s v="Garcia"/>
    <n v="30"/>
    <x v="1"/>
    <x v="4"/>
    <s v="Inactive"/>
    <s v="2024-02-26"/>
    <n v="83912.22"/>
    <s v="bob.garcia@example.com"/>
    <s v="1206021287"/>
    <x v="0"/>
    <x v="1"/>
  </r>
  <r>
    <s v="EMP1491"/>
    <s v="Frank"/>
    <s v="Jones"/>
    <n v="25"/>
    <x v="4"/>
    <x v="4"/>
    <s v="Active"/>
    <s v="2021-09-29"/>
    <n v="99669.86"/>
    <s v="frank.jones@example.com"/>
    <s v="6652683414"/>
    <x v="0"/>
    <x v="1"/>
  </r>
  <r>
    <s v="EMP1492"/>
    <s v="Alice"/>
    <s v="Smith"/>
    <n v="30"/>
    <x v="2"/>
    <x v="4"/>
    <s v="Active"/>
    <s v="2021-05-25"/>
    <n v="52314.97"/>
    <s v="alice.smith@example.com"/>
    <s v="5999101575"/>
    <x v="1"/>
    <x v="1"/>
  </r>
  <r>
    <s v="EMP1493"/>
    <s v="Frank"/>
    <s v="Miller"/>
    <n v="30"/>
    <x v="5"/>
    <x v="0"/>
    <s v="Inactive"/>
    <s v="2022-10-31"/>
    <n v="77785.960000000006"/>
    <s v="frank.miller@example.com"/>
    <s v="7647229811"/>
    <x v="1"/>
    <x v="1"/>
  </r>
  <r>
    <s v="EMP1494"/>
    <s v="Alice"/>
    <s v="Jones"/>
    <n v="30"/>
    <x v="5"/>
    <x v="3"/>
    <s v="Pending"/>
    <s v="2022-07-02"/>
    <n v="62430.86"/>
    <s v="alice.jones@example.com"/>
    <s v="995765727"/>
    <x v="3"/>
    <x v="1"/>
  </r>
  <r>
    <s v="EMP1495"/>
    <s v="Frank"/>
    <s v="Davis"/>
    <n v="35"/>
    <x v="2"/>
    <x v="0"/>
    <s v="Pending"/>
    <s v="2024-08-28"/>
    <n v="98219.54"/>
    <s v="frank.davis@example.com"/>
    <s v="9413475097"/>
    <x v="2"/>
    <x v="0"/>
  </r>
  <r>
    <s v="EMP1496"/>
    <s v="Grace"/>
    <s v="Williams"/>
    <n v="25"/>
    <x v="2"/>
    <x v="5"/>
    <s v="Active"/>
    <s v="2024-10-21"/>
    <n v="65494.58"/>
    <s v="grace.williams@example.com"/>
    <s v="8986456521"/>
    <x v="0"/>
    <x v="0"/>
  </r>
  <r>
    <s v="EMP1497"/>
    <s v="David"/>
    <s v="Brown"/>
    <n v="35"/>
    <x v="0"/>
    <x v="3"/>
    <s v="Pending"/>
    <s v="2020-02-11"/>
    <n v="110524.1"/>
    <s v="david.brown@example.com"/>
    <s v="368499514"/>
    <x v="0"/>
    <x v="1"/>
  </r>
  <r>
    <s v="EMP1498"/>
    <s v="Alice"/>
    <s v="Smith"/>
    <n v="40"/>
    <x v="2"/>
    <x v="2"/>
    <s v="Active"/>
    <s v="2023-05-16"/>
    <n v="106060.54"/>
    <s v="alice.smith@example.com"/>
    <s v="4214477323"/>
    <x v="3"/>
    <x v="1"/>
  </r>
  <r>
    <s v="EMP1499"/>
    <s v="Eva"/>
    <s v="Brown"/>
    <n v="35"/>
    <x v="1"/>
    <x v="3"/>
    <s v="Inactive"/>
    <s v="2022-07-29"/>
    <n v="67639.91"/>
    <s v="eva.brown@example.com"/>
    <s v="4913421387"/>
    <x v="1"/>
    <x v="0"/>
  </r>
  <r>
    <s v="EMP1500"/>
    <s v="Grace"/>
    <s v="Davis"/>
    <s v=""/>
    <x v="3"/>
    <x v="1"/>
    <s v="Pending"/>
    <s v="2023-09-18"/>
    <n v="117653.98"/>
    <s v="grace.davis@example.com"/>
    <s v="2090883069"/>
    <x v="2"/>
    <x v="0"/>
  </r>
  <r>
    <s v="EMP1501"/>
    <s v="Eva"/>
    <s v="Jones"/>
    <n v="35"/>
    <x v="0"/>
    <x v="1"/>
    <s v="Inactive"/>
    <s v="2020-05-10"/>
    <n v="73539.86"/>
    <s v="eva.jones@example.com"/>
    <s v="5349678273"/>
    <x v="1"/>
    <x v="0"/>
  </r>
  <r>
    <s v="EMP1502"/>
    <s v="Frank"/>
    <s v="Jones"/>
    <n v="35"/>
    <x v="5"/>
    <x v="2"/>
    <s v="Pending"/>
    <s v="2023-08-27"/>
    <n v="70915.38"/>
    <s v="frank.jones@example.com"/>
    <s v="1176741240"/>
    <x v="1"/>
    <x v="0"/>
  </r>
  <r>
    <s v="EMP1503"/>
    <s v="David"/>
    <s v="Garcia"/>
    <n v="25"/>
    <x v="4"/>
    <x v="3"/>
    <s v="Pending"/>
    <s v="2021-10-16"/>
    <n v="97652.9"/>
    <s v="david.garcia@example.com"/>
    <s v="5131528546"/>
    <x v="1"/>
    <x v="1"/>
  </r>
  <r>
    <s v="EMP1504"/>
    <s v="Heidi"/>
    <s v="Davis"/>
    <n v="35"/>
    <x v="5"/>
    <x v="3"/>
    <s v="Inactive"/>
    <s v="2022-03-06"/>
    <n v="101571.25"/>
    <s v="heidi.davis@example.com"/>
    <s v="8150618537"/>
    <x v="1"/>
    <x v="1"/>
  </r>
  <r>
    <s v="EMP1505"/>
    <s v="David"/>
    <s v="Smith"/>
    <n v="35"/>
    <x v="0"/>
    <x v="2"/>
    <s v="Active"/>
    <s v="2023-11-06"/>
    <n v="87424.46"/>
    <s v="david.smith@example.com"/>
    <s v="32963346"/>
    <x v="0"/>
    <x v="0"/>
  </r>
  <r>
    <s v="EMP1506"/>
    <s v="Frank"/>
    <s v="Garcia"/>
    <s v=""/>
    <x v="5"/>
    <x v="4"/>
    <s v="Pending"/>
    <s v="2024-11-30"/>
    <n v="89077.36"/>
    <s v="frank.garcia@example.com"/>
    <s v="2727423182"/>
    <x v="0"/>
    <x v="1"/>
  </r>
  <r>
    <s v="EMP1507"/>
    <s v="Heidi"/>
    <s v="Williams"/>
    <n v="30"/>
    <x v="0"/>
    <x v="0"/>
    <s v="Pending"/>
    <s v="2024-07-13"/>
    <n v="89132.22"/>
    <s v="heidi.williams@example.com"/>
    <s v="617893205"/>
    <x v="1"/>
    <x v="0"/>
  </r>
  <r>
    <s v="EMP1508"/>
    <s v="Frank"/>
    <s v="Garcia"/>
    <n v="25"/>
    <x v="2"/>
    <x v="0"/>
    <s v="Active"/>
    <s v="2024-03-04"/>
    <n v="111000.26"/>
    <s v="frank.garcia@example.com"/>
    <s v="4969357823"/>
    <x v="2"/>
    <x v="1"/>
  </r>
  <r>
    <s v="EMP1509"/>
    <s v="Frank"/>
    <s v="Johnson"/>
    <n v="35"/>
    <x v="5"/>
    <x v="5"/>
    <s v="Inactive"/>
    <s v="2022-08-07"/>
    <n v="109584.97"/>
    <s v="frank.johnson@example.com"/>
    <s v="3477695873"/>
    <x v="3"/>
    <x v="0"/>
  </r>
  <r>
    <s v="EMP1510"/>
    <s v="Bob"/>
    <s v="Smith"/>
    <n v="40"/>
    <x v="2"/>
    <x v="5"/>
    <s v="Active"/>
    <s v="2024-11-11"/>
    <n v="97648.84"/>
    <s v="bob.smith@example.com"/>
    <s v="1314675360"/>
    <x v="2"/>
    <x v="1"/>
  </r>
  <r>
    <s v="EMP1511"/>
    <s v="Grace"/>
    <s v="Johnson"/>
    <n v="25"/>
    <x v="2"/>
    <x v="4"/>
    <s v="Active"/>
    <s v="2021-12-02"/>
    <n v="78643.429999999993"/>
    <s v="grace.johnson@example.com"/>
    <s v="2751562778"/>
    <x v="2"/>
    <x v="0"/>
  </r>
  <r>
    <s v="EMP1512"/>
    <s v="Heidi"/>
    <s v="Davis"/>
    <n v="30"/>
    <x v="5"/>
    <x v="2"/>
    <s v="Active"/>
    <s v="2024-05-14"/>
    <n v="55656.800000000003"/>
    <s v="heidi.davis@example.com"/>
    <s v="6304483607"/>
    <x v="2"/>
    <x v="0"/>
  </r>
  <r>
    <s v="EMP1513"/>
    <s v="Charlie"/>
    <s v="Miller"/>
    <n v="35"/>
    <x v="0"/>
    <x v="1"/>
    <s v="Active"/>
    <s v="2022-07-14"/>
    <n v="69146.95"/>
    <s v="charlie.miller@example.com"/>
    <s v="5456676639"/>
    <x v="1"/>
    <x v="1"/>
  </r>
  <r>
    <s v="EMP1514"/>
    <s v="Charlie"/>
    <s v="Johnson"/>
    <s v=""/>
    <x v="2"/>
    <x v="3"/>
    <s v="Active"/>
    <s v="2020-09-22"/>
    <n v="93013.58"/>
    <s v="charlie.johnson@example.com"/>
    <s v="4735047638"/>
    <x v="0"/>
    <x v="0"/>
  </r>
  <r>
    <s v="EMP1515"/>
    <s v="Grace"/>
    <s v="Williams"/>
    <n v="40"/>
    <x v="1"/>
    <x v="3"/>
    <s v="Active"/>
    <s v="2020-03-18"/>
    <n v="87364.78"/>
    <s v="grace.williams@example.com"/>
    <s v="2831995297"/>
    <x v="2"/>
    <x v="1"/>
  </r>
  <r>
    <s v="EMP1516"/>
    <s v="Alice"/>
    <s v="Garcia"/>
    <n v="35"/>
    <x v="4"/>
    <x v="4"/>
    <s v="Active"/>
    <s v="2023-10-17"/>
    <n v="50288.67"/>
    <s v="alice.garcia@example.com"/>
    <s v="61558107"/>
    <x v="1"/>
    <x v="1"/>
  </r>
  <r>
    <s v="EMP1517"/>
    <s v="David"/>
    <s v="Miller"/>
    <n v="35"/>
    <x v="5"/>
    <x v="4"/>
    <s v="Active"/>
    <s v="2022-02-24"/>
    <n v="85233.55"/>
    <s v="david.miller@example.com"/>
    <s v="3583286341"/>
    <x v="2"/>
    <x v="0"/>
  </r>
  <r>
    <s v="EMP1518"/>
    <s v="Bob"/>
    <s v="Garcia"/>
    <n v="25"/>
    <x v="5"/>
    <x v="0"/>
    <s v="Inactive"/>
    <s v="2024-01-30"/>
    <n v="86420.19"/>
    <s v="bob.garcia@example.com"/>
    <s v="5563830007"/>
    <x v="2"/>
    <x v="1"/>
  </r>
  <r>
    <s v="EMP1519"/>
    <s v="Grace"/>
    <s v="Johnson"/>
    <n v="30"/>
    <x v="5"/>
    <x v="3"/>
    <s v="Inactive"/>
    <s v="2024-03-16"/>
    <n v="63189.82"/>
    <s v="grace.johnson@example.com"/>
    <s v="1867024402"/>
    <x v="1"/>
    <x v="1"/>
  </r>
  <r>
    <s v="EMP1520"/>
    <s v="Grace"/>
    <s v="Garcia"/>
    <n v="25"/>
    <x v="2"/>
    <x v="4"/>
    <s v="Pending"/>
    <s v="2020-09-25"/>
    <n v="64783.32"/>
    <s v="grace.garcia@example.com"/>
    <s v="3041662410"/>
    <x v="0"/>
    <x v="1"/>
  </r>
  <r>
    <s v="EMP1521"/>
    <s v="Charlie"/>
    <s v="Davis"/>
    <n v="25"/>
    <x v="5"/>
    <x v="2"/>
    <s v="Pending"/>
    <s v="2024-06-10"/>
    <n v="52615.44"/>
    <s v="charlie.davis@example.com"/>
    <s v="1860089218"/>
    <x v="0"/>
    <x v="1"/>
  </r>
  <r>
    <s v="EMP1522"/>
    <s v="Eva"/>
    <s v="Miller"/>
    <s v=""/>
    <x v="4"/>
    <x v="1"/>
    <s v="Pending"/>
    <s v="2020-04-08"/>
    <n v="96337.89"/>
    <s v="eva.miller@example.com"/>
    <s v="6394568043"/>
    <x v="3"/>
    <x v="1"/>
  </r>
  <r>
    <s v="EMP1523"/>
    <s v="Alice"/>
    <s v="Davis"/>
    <n v="25"/>
    <x v="0"/>
    <x v="1"/>
    <s v="Inactive"/>
    <s v="2022-06-28"/>
    <n v="76617.759999999995"/>
    <s v="alice.davis@example.com"/>
    <s v="7314976460"/>
    <x v="1"/>
    <x v="0"/>
  </r>
  <r>
    <s v="EMP1524"/>
    <s v="Heidi"/>
    <s v="Johnson"/>
    <n v="30"/>
    <x v="2"/>
    <x v="2"/>
    <s v="Pending"/>
    <s v="2023-07-14"/>
    <n v="50651.32"/>
    <s v="heidi.johnson@example.com"/>
    <s v="3684748835"/>
    <x v="3"/>
    <x v="1"/>
  </r>
  <r>
    <s v="EMP1525"/>
    <s v="Bob"/>
    <s v="Davis"/>
    <s v=""/>
    <x v="5"/>
    <x v="5"/>
    <s v="Pending"/>
    <s v="2023-12-06"/>
    <n v="59601.45"/>
    <s v="bob.davis@example.com"/>
    <s v="765817389"/>
    <x v="3"/>
    <x v="1"/>
  </r>
  <r>
    <s v="EMP1526"/>
    <s v="Bob"/>
    <s v="Williams"/>
    <s v=""/>
    <x v="0"/>
    <x v="5"/>
    <s v="Active"/>
    <s v="2021-08-01"/>
    <n v="57980.88"/>
    <s v="bob.williams@example.com"/>
    <s v="6375791451"/>
    <x v="3"/>
    <x v="1"/>
  </r>
  <r>
    <s v="EMP1527"/>
    <s v="David"/>
    <s v="Johnson"/>
    <s v=""/>
    <x v="2"/>
    <x v="0"/>
    <s v="Pending"/>
    <s v="2021-02-17"/>
    <n v="75054.53"/>
    <s v="david.johnson@example.com"/>
    <s v="1182379311"/>
    <x v="0"/>
    <x v="1"/>
  </r>
  <r>
    <s v="EMP1528"/>
    <s v="Charlie"/>
    <s v="Johnson"/>
    <n v="25"/>
    <x v="4"/>
    <x v="3"/>
    <s v="Active"/>
    <s v="2023-11-10"/>
    <n v="115318.7"/>
    <s v="charlie.johnson@example.com"/>
    <s v="6978930745"/>
    <x v="1"/>
    <x v="1"/>
  </r>
  <r>
    <s v="EMP1529"/>
    <s v="Alice"/>
    <s v="Johnson"/>
    <n v="25"/>
    <x v="0"/>
    <x v="1"/>
    <s v="Active"/>
    <s v="2024-09-06"/>
    <n v="90190.69"/>
    <s v="alice.johnson@example.com"/>
    <s v="4520599603"/>
    <x v="3"/>
    <x v="0"/>
  </r>
  <r>
    <s v="EMP1530"/>
    <s v="Bob"/>
    <s v="Smith"/>
    <s v=""/>
    <x v="3"/>
    <x v="2"/>
    <s v="Pending"/>
    <s v="2020-07-26"/>
    <n v="113334.56"/>
    <s v="bob.smith@example.com"/>
    <s v="3878753576"/>
    <x v="1"/>
    <x v="1"/>
  </r>
  <r>
    <s v="EMP1531"/>
    <s v="Heidi"/>
    <s v="Garcia"/>
    <n v="35"/>
    <x v="5"/>
    <x v="3"/>
    <s v="Active"/>
    <s v="2020-07-23"/>
    <n v="106922.49"/>
    <s v="heidi.garcia@example.com"/>
    <s v="8811616201"/>
    <x v="1"/>
    <x v="0"/>
  </r>
  <r>
    <s v="EMP1532"/>
    <s v="Eva"/>
    <s v="Smith"/>
    <n v="35"/>
    <x v="0"/>
    <x v="0"/>
    <s v="Inactive"/>
    <s v="2024-02-21"/>
    <n v="58113.07"/>
    <s v="eva.smith@example.com"/>
    <s v="8123710671"/>
    <x v="0"/>
    <x v="0"/>
  </r>
  <r>
    <s v="EMP1533"/>
    <s v="Alice"/>
    <s v="Smith"/>
    <n v="25"/>
    <x v="2"/>
    <x v="2"/>
    <s v="Pending"/>
    <s v="2020-12-15"/>
    <n v="73006.259999999995"/>
    <s v="alice.smith@example.com"/>
    <s v="8728660415"/>
    <x v="3"/>
    <x v="0"/>
  </r>
  <r>
    <s v="EMP1534"/>
    <s v="Eva"/>
    <s v="Williams"/>
    <n v="25"/>
    <x v="5"/>
    <x v="0"/>
    <s v="Active"/>
    <s v="2020-08-21"/>
    <n v="78054.429999999993"/>
    <s v="eva.williams@example.com"/>
    <s v="4485959223"/>
    <x v="3"/>
    <x v="0"/>
  </r>
  <r>
    <s v="EMP1535"/>
    <s v="Eva"/>
    <s v="Miller"/>
    <n v="40"/>
    <x v="0"/>
    <x v="3"/>
    <s v="Inactive"/>
    <s v="2023-08-21"/>
    <n v="112028.67"/>
    <s v="eva.miller@example.com"/>
    <s v="8395894772"/>
    <x v="1"/>
    <x v="1"/>
  </r>
  <r>
    <s v="EMP1536"/>
    <s v="Charlie"/>
    <s v="Garcia"/>
    <n v="25"/>
    <x v="2"/>
    <x v="1"/>
    <s v="Inactive"/>
    <s v="2023-04-24"/>
    <n v="83787.240000000005"/>
    <s v="charlie.garcia@example.com"/>
    <s v="5228705621"/>
    <x v="2"/>
    <x v="0"/>
  </r>
  <r>
    <s v="EMP1537"/>
    <s v="Heidi"/>
    <s v="Davis"/>
    <n v="30"/>
    <x v="4"/>
    <x v="3"/>
    <s v="Inactive"/>
    <s v="2023-06-06"/>
    <n v="52017.14"/>
    <s v="heidi.davis@example.com"/>
    <s v="7104331874"/>
    <x v="0"/>
    <x v="0"/>
  </r>
  <r>
    <s v="EMP1538"/>
    <s v="Charlie"/>
    <s v="Jones"/>
    <n v="40"/>
    <x v="1"/>
    <x v="1"/>
    <s v="Inactive"/>
    <s v="2022-06-21"/>
    <n v="53218.06"/>
    <s v="charlie.jones@example.com"/>
    <s v="1097921582"/>
    <x v="0"/>
    <x v="1"/>
  </r>
  <r>
    <s v="EMP1539"/>
    <s v="Frank"/>
    <s v="Johnson"/>
    <n v="25"/>
    <x v="0"/>
    <x v="2"/>
    <s v="Pending"/>
    <s v="2024-04-20"/>
    <n v="102053.67"/>
    <s v="frank.johnson@example.com"/>
    <s v="5034469458"/>
    <x v="0"/>
    <x v="1"/>
  </r>
  <r>
    <s v="EMP1540"/>
    <s v="David"/>
    <s v="Davis"/>
    <n v="35"/>
    <x v="4"/>
    <x v="5"/>
    <s v="Pending"/>
    <s v="2023-12-05"/>
    <n v="93276.73"/>
    <s v="david.davis@example.com"/>
    <s v="6488319212"/>
    <x v="0"/>
    <x v="1"/>
  </r>
  <r>
    <s v="EMP1541"/>
    <s v="David"/>
    <s v="Johnson"/>
    <n v="40"/>
    <x v="5"/>
    <x v="2"/>
    <s v="Pending"/>
    <s v="2023-08-06"/>
    <n v="76941.36"/>
    <s v="david.johnson@example.com"/>
    <s v="4249128964"/>
    <x v="3"/>
    <x v="0"/>
  </r>
  <r>
    <s v="EMP1542"/>
    <s v="Alice"/>
    <s v="Williams"/>
    <n v="25"/>
    <x v="0"/>
    <x v="4"/>
    <s v="Pending"/>
    <s v="2024-10-04"/>
    <n v="82850.23"/>
    <s v="alice.williams@example.com"/>
    <s v="9994973202"/>
    <x v="3"/>
    <x v="1"/>
  </r>
  <r>
    <s v="EMP1543"/>
    <s v="Charlie"/>
    <s v="Johnson"/>
    <n v="25"/>
    <x v="1"/>
    <x v="0"/>
    <s v="Active"/>
    <s v="2021-11-08"/>
    <n v="117910.15"/>
    <s v="charlie.johnson@example.com"/>
    <s v="3192227050"/>
    <x v="2"/>
    <x v="1"/>
  </r>
  <r>
    <s v="EMP1544"/>
    <s v="David"/>
    <s v="Smith"/>
    <s v=""/>
    <x v="0"/>
    <x v="3"/>
    <s v="Inactive"/>
    <s v="2024-07-31"/>
    <n v="66450"/>
    <s v="david.smith@example.com"/>
    <s v="287675480"/>
    <x v="0"/>
    <x v="0"/>
  </r>
  <r>
    <s v="EMP1545"/>
    <s v="Heidi"/>
    <s v="Garcia"/>
    <n v="25"/>
    <x v="1"/>
    <x v="3"/>
    <s v="Inactive"/>
    <s v="2020-08-31"/>
    <n v="118646.95"/>
    <s v="heidi.garcia@example.com"/>
    <s v="3866675484"/>
    <x v="0"/>
    <x v="1"/>
  </r>
  <r>
    <s v="EMP1546"/>
    <s v="Alice"/>
    <s v="Jones"/>
    <n v="25"/>
    <x v="1"/>
    <x v="3"/>
    <s v="Active"/>
    <s v="2023-02-15"/>
    <n v="88436.92"/>
    <s v="alice.jones@example.com"/>
    <s v="8193242686"/>
    <x v="1"/>
    <x v="1"/>
  </r>
  <r>
    <s v="EMP1547"/>
    <s v="Eva"/>
    <s v="Brown"/>
    <s v=""/>
    <x v="4"/>
    <x v="4"/>
    <s v="Pending"/>
    <s v="2023-10-07"/>
    <n v="81934.55"/>
    <s v="eva.brown@example.com"/>
    <s v="7418652056"/>
    <x v="3"/>
    <x v="1"/>
  </r>
  <r>
    <s v="EMP1548"/>
    <s v="Alice"/>
    <s v="Johnson"/>
    <n v="30"/>
    <x v="1"/>
    <x v="0"/>
    <s v="Pending"/>
    <s v="2024-04-20"/>
    <n v="93383.06"/>
    <s v="alice.johnson@example.com"/>
    <s v="5639836519"/>
    <x v="0"/>
    <x v="1"/>
  </r>
  <r>
    <s v="EMP1549"/>
    <s v="Frank"/>
    <s v="Davis"/>
    <n v="40"/>
    <x v="3"/>
    <x v="1"/>
    <s v="Pending"/>
    <s v="2021-03-30"/>
    <n v="50153.79"/>
    <s v="frank.davis@example.com"/>
    <s v="3758309450"/>
    <x v="2"/>
    <x v="0"/>
  </r>
  <r>
    <s v="EMP1550"/>
    <s v="Eva"/>
    <s v="Smith"/>
    <s v=""/>
    <x v="4"/>
    <x v="0"/>
    <s v="Pending"/>
    <s v="2020-08-05"/>
    <n v="53204.47"/>
    <s v="eva.smith@example.com"/>
    <s v="5480940475"/>
    <x v="2"/>
    <x v="1"/>
  </r>
  <r>
    <s v="EMP1551"/>
    <s v="Charlie"/>
    <s v="Brown"/>
    <n v="40"/>
    <x v="3"/>
    <x v="0"/>
    <s v="Pending"/>
    <s v="2021-02-05"/>
    <n v="63128.04"/>
    <s v="charlie.brown@example.com"/>
    <s v="440907976"/>
    <x v="3"/>
    <x v="1"/>
  </r>
  <r>
    <s v="EMP1552"/>
    <s v="Grace"/>
    <s v="Jones"/>
    <n v="30"/>
    <x v="1"/>
    <x v="4"/>
    <s v="Pending"/>
    <s v="2021-11-23"/>
    <n v="57543.6"/>
    <s v="grace.jones@example.com"/>
    <s v="2781050921"/>
    <x v="2"/>
    <x v="0"/>
  </r>
  <r>
    <s v="EMP1553"/>
    <s v="Bob"/>
    <s v="Brown"/>
    <n v="40"/>
    <x v="1"/>
    <x v="2"/>
    <s v="Pending"/>
    <s v="2022-10-29"/>
    <n v="59424.52"/>
    <s v="bob.brown@example.com"/>
    <s v="2161070517"/>
    <x v="2"/>
    <x v="1"/>
  </r>
  <r>
    <s v="EMP1554"/>
    <s v="Alice"/>
    <s v="Smith"/>
    <s v=""/>
    <x v="1"/>
    <x v="5"/>
    <s v="Inactive"/>
    <s v="2022-11-07"/>
    <n v="104675.7"/>
    <s v="alice.smith@example.com"/>
    <s v="4390552957"/>
    <x v="3"/>
    <x v="0"/>
  </r>
  <r>
    <s v="EMP1555"/>
    <s v="Charlie"/>
    <s v="Garcia"/>
    <n v="30"/>
    <x v="3"/>
    <x v="3"/>
    <s v="Pending"/>
    <s v="2023-05-14"/>
    <n v="92431.25"/>
    <s v="charlie.garcia@example.com"/>
    <s v="660138240"/>
    <x v="0"/>
    <x v="1"/>
  </r>
  <r>
    <s v="EMP1556"/>
    <s v="Grace"/>
    <s v="Garcia"/>
    <n v="40"/>
    <x v="4"/>
    <x v="2"/>
    <s v="Active"/>
    <s v="2021-07-14"/>
    <n v="77850.899999999994"/>
    <s v="grace.garcia@example.com"/>
    <s v="2704938619"/>
    <x v="0"/>
    <x v="0"/>
  </r>
  <r>
    <s v="EMP1557"/>
    <s v="Eva"/>
    <s v="Miller"/>
    <n v="40"/>
    <x v="2"/>
    <x v="4"/>
    <s v="Inactive"/>
    <s v="2023-05-18"/>
    <n v="99001"/>
    <s v="eva.miller@example.com"/>
    <s v="4485157918"/>
    <x v="2"/>
    <x v="0"/>
  </r>
  <r>
    <s v="EMP1558"/>
    <s v="Eva"/>
    <s v="Garcia"/>
    <s v=""/>
    <x v="5"/>
    <x v="2"/>
    <s v="Pending"/>
    <s v="2023-02-07"/>
    <n v="94280.83"/>
    <s v="eva.garcia@example.com"/>
    <s v="7111212589"/>
    <x v="2"/>
    <x v="0"/>
  </r>
  <r>
    <s v="EMP1559"/>
    <s v="Eva"/>
    <s v="Miller"/>
    <n v="35"/>
    <x v="0"/>
    <x v="4"/>
    <s v="Pending"/>
    <s v="2023-08-24"/>
    <n v="118262.56"/>
    <s v="eva.miller@example.com"/>
    <s v="2035713431"/>
    <x v="0"/>
    <x v="0"/>
  </r>
  <r>
    <s v="EMP1560"/>
    <s v="Frank"/>
    <s v="Brown"/>
    <n v="25"/>
    <x v="5"/>
    <x v="5"/>
    <s v="Inactive"/>
    <s v="2023-04-08"/>
    <n v="89944.67"/>
    <s v="frank.brown@example.com"/>
    <s v="4064242955"/>
    <x v="3"/>
    <x v="1"/>
  </r>
  <r>
    <s v="EMP1561"/>
    <s v="Grace"/>
    <s v="Williams"/>
    <s v=""/>
    <x v="5"/>
    <x v="3"/>
    <s v="Active"/>
    <s v="2022-12-06"/>
    <n v="57452.93"/>
    <s v="grace.williams@example.com"/>
    <s v="3343244740"/>
    <x v="2"/>
    <x v="0"/>
  </r>
  <r>
    <s v="EMP1562"/>
    <s v="Alice"/>
    <s v="Davis"/>
    <n v="25"/>
    <x v="2"/>
    <x v="0"/>
    <s v="Active"/>
    <s v="2021-08-09"/>
    <n v="97837.32"/>
    <s v="alice.davis@example.com"/>
    <s v="7595587208"/>
    <x v="1"/>
    <x v="1"/>
  </r>
  <r>
    <s v="EMP1563"/>
    <s v="Alice"/>
    <s v="Davis"/>
    <n v="35"/>
    <x v="2"/>
    <x v="5"/>
    <s v="Active"/>
    <s v="2022-01-04"/>
    <n v="106981.84"/>
    <s v="alice.davis@example.com"/>
    <s v="6289365434"/>
    <x v="3"/>
    <x v="0"/>
  </r>
  <r>
    <s v="EMP1564"/>
    <s v="David"/>
    <s v="Brown"/>
    <s v=""/>
    <x v="1"/>
    <x v="4"/>
    <s v="Pending"/>
    <s v="2024-05-25"/>
    <n v="105778.36"/>
    <s v="david.brown@example.com"/>
    <s v="8841834373"/>
    <x v="2"/>
    <x v="0"/>
  </r>
  <r>
    <s v="EMP1565"/>
    <s v="Alice"/>
    <s v="Johnson"/>
    <n v="40"/>
    <x v="1"/>
    <x v="3"/>
    <s v="Pending"/>
    <s v="2021-10-02"/>
    <n v="117608.32000000001"/>
    <s v="alice.johnson@example.com"/>
    <s v="182727954"/>
    <x v="2"/>
    <x v="0"/>
  </r>
  <r>
    <s v="EMP1566"/>
    <s v="Eva"/>
    <s v="Johnson"/>
    <n v="30"/>
    <x v="4"/>
    <x v="3"/>
    <s v="Active"/>
    <s v="2023-07-21"/>
    <n v="99324.03"/>
    <s v="eva.johnson@example.com"/>
    <s v="9690515025"/>
    <x v="1"/>
    <x v="1"/>
  </r>
  <r>
    <s v="EMP1567"/>
    <s v="David"/>
    <s v="Garcia"/>
    <n v="30"/>
    <x v="5"/>
    <x v="3"/>
    <s v="Active"/>
    <s v="2023-10-30"/>
    <n v="55212.83"/>
    <s v="david.garcia@example.com"/>
    <s v="7551254277"/>
    <x v="1"/>
    <x v="0"/>
  </r>
  <r>
    <s v="EMP1568"/>
    <s v="Bob"/>
    <s v="Davis"/>
    <n v="40"/>
    <x v="3"/>
    <x v="3"/>
    <s v="Inactive"/>
    <s v="2023-02-13"/>
    <n v="68496.77"/>
    <s v="bob.davis@example.com"/>
    <s v="2079799666"/>
    <x v="0"/>
    <x v="1"/>
  </r>
  <r>
    <s v="EMP1569"/>
    <s v="Eva"/>
    <s v="Davis"/>
    <n v="25"/>
    <x v="5"/>
    <x v="3"/>
    <s v="Pending"/>
    <s v="2020-11-13"/>
    <n v="52795.839999999997"/>
    <s v="eva.davis@example.com"/>
    <s v="3459576402"/>
    <x v="3"/>
    <x v="1"/>
  </r>
  <r>
    <s v="EMP1570"/>
    <s v="Alice"/>
    <s v="Miller"/>
    <s v=""/>
    <x v="0"/>
    <x v="0"/>
    <s v="Inactive"/>
    <s v="2024-06-05"/>
    <n v="90087.39"/>
    <s v="alice.miller@example.com"/>
    <s v="8166496901"/>
    <x v="3"/>
    <x v="1"/>
  </r>
  <r>
    <s v="EMP1571"/>
    <s v="Frank"/>
    <s v="Williams"/>
    <s v=""/>
    <x v="2"/>
    <x v="4"/>
    <s v="Pending"/>
    <s v="2020-05-19"/>
    <n v="105038.08"/>
    <s v="frank.williams@example.com"/>
    <s v="8249839224"/>
    <x v="0"/>
    <x v="1"/>
  </r>
  <r>
    <s v="EMP1572"/>
    <s v="Grace"/>
    <s v="Smith"/>
    <n v="25"/>
    <x v="5"/>
    <x v="4"/>
    <s v="Active"/>
    <s v="2023-09-20"/>
    <n v="73231.850000000006"/>
    <s v="grace.smith@example.com"/>
    <s v="142576269"/>
    <x v="3"/>
    <x v="1"/>
  </r>
  <r>
    <s v="EMP1573"/>
    <s v="David"/>
    <s v="Johnson"/>
    <s v=""/>
    <x v="4"/>
    <x v="3"/>
    <s v="Pending"/>
    <s v="2024-08-13"/>
    <n v="102649.36"/>
    <s v="david.johnson@example.com"/>
    <s v="2324412335"/>
    <x v="3"/>
    <x v="1"/>
  </r>
  <r>
    <s v="EMP1574"/>
    <s v="Bob"/>
    <s v="Davis"/>
    <n v="35"/>
    <x v="1"/>
    <x v="4"/>
    <s v="Pending"/>
    <s v="2023-06-10"/>
    <n v="114302.51"/>
    <s v="bob.davis@example.com"/>
    <s v="1328507250"/>
    <x v="3"/>
    <x v="1"/>
  </r>
  <r>
    <s v="EMP1575"/>
    <s v="Alice"/>
    <s v="Miller"/>
    <n v="35"/>
    <x v="1"/>
    <x v="1"/>
    <s v="Inactive"/>
    <s v="2021-06-09"/>
    <n v="87816.61"/>
    <s v="alice.miller@example.com"/>
    <s v="7863767315"/>
    <x v="3"/>
    <x v="1"/>
  </r>
  <r>
    <s v="EMP1576"/>
    <s v="Frank"/>
    <s v="Jones"/>
    <s v=""/>
    <x v="4"/>
    <x v="3"/>
    <s v="Inactive"/>
    <s v="2020-03-30"/>
    <n v="70750.38"/>
    <s v="frank.jones@example.com"/>
    <s v="2526546967"/>
    <x v="3"/>
    <x v="1"/>
  </r>
  <r>
    <s v="EMP1577"/>
    <s v="Frank"/>
    <s v="Miller"/>
    <s v=""/>
    <x v="3"/>
    <x v="1"/>
    <s v="Active"/>
    <s v="2024-05-02"/>
    <s v=""/>
    <s v="frank.miller@example.com"/>
    <s v="1579039234"/>
    <x v="1"/>
    <x v="0"/>
  </r>
  <r>
    <s v="EMP1578"/>
    <s v="Bob"/>
    <s v="Johnson"/>
    <n v="30"/>
    <x v="0"/>
    <x v="2"/>
    <s v="Active"/>
    <s v="2024-11-06"/>
    <n v="97978.36"/>
    <s v="bob.johnson@example.com"/>
    <s v="5580996131"/>
    <x v="3"/>
    <x v="0"/>
  </r>
  <r>
    <s v="EMP1579"/>
    <s v="David"/>
    <s v="Johnson"/>
    <s v=""/>
    <x v="0"/>
    <x v="2"/>
    <s v="Inactive"/>
    <s v="2023-08-17"/>
    <n v="107172.8"/>
    <s v="david.johnson@example.com"/>
    <s v="7303461561"/>
    <x v="1"/>
    <x v="0"/>
  </r>
  <r>
    <s v="EMP1580"/>
    <s v="Charlie"/>
    <s v="Miller"/>
    <n v="25"/>
    <x v="1"/>
    <x v="2"/>
    <s v="Inactive"/>
    <s v="2020-03-18"/>
    <n v="56126.46"/>
    <s v="charlie.miller@example.com"/>
    <s v="6244670461"/>
    <x v="3"/>
    <x v="0"/>
  </r>
  <r>
    <s v="EMP1581"/>
    <s v="Eva"/>
    <s v="Smith"/>
    <s v=""/>
    <x v="3"/>
    <x v="5"/>
    <s v="Active"/>
    <s v="2021-06-13"/>
    <n v="78534.289999999994"/>
    <s v="eva.smith@example.com"/>
    <s v="2681715159"/>
    <x v="0"/>
    <x v="0"/>
  </r>
  <r>
    <s v="EMP1582"/>
    <s v="Grace"/>
    <s v="Brown"/>
    <n v="40"/>
    <x v="5"/>
    <x v="1"/>
    <s v="Inactive"/>
    <s v="2023-10-10"/>
    <s v=""/>
    <s v="grace.brown@example.com"/>
    <s v="2529867075"/>
    <x v="2"/>
    <x v="1"/>
  </r>
  <r>
    <s v="EMP1583"/>
    <s v="Bob"/>
    <s v="Johnson"/>
    <s v=""/>
    <x v="3"/>
    <x v="2"/>
    <s v="Active"/>
    <s v="2022-01-02"/>
    <n v="114963.34"/>
    <s v="bob.johnson@example.com"/>
    <s v="6046419784"/>
    <x v="1"/>
    <x v="1"/>
  </r>
  <r>
    <s v="EMP1584"/>
    <s v="Eva"/>
    <s v="Miller"/>
    <s v=""/>
    <x v="3"/>
    <x v="0"/>
    <s v="Inactive"/>
    <s v="2022-02-20"/>
    <n v="77657.929999999993"/>
    <s v="eva.miller@example.com"/>
    <s v="7585126860"/>
    <x v="3"/>
    <x v="1"/>
  </r>
  <r>
    <s v="EMP1585"/>
    <s v="Heidi"/>
    <s v="Davis"/>
    <n v="30"/>
    <x v="4"/>
    <x v="4"/>
    <s v="Active"/>
    <s v="2024-03-09"/>
    <n v="77369.48"/>
    <s v="heidi.davis@example.com"/>
    <s v="2059438975"/>
    <x v="0"/>
    <x v="1"/>
  </r>
  <r>
    <s v="EMP1586"/>
    <s v="Eva"/>
    <s v="Miller"/>
    <n v="30"/>
    <x v="5"/>
    <x v="2"/>
    <s v="Pending"/>
    <s v="2023-08-19"/>
    <n v="76119.14"/>
    <s v="eva.miller@example.com"/>
    <s v="740177508"/>
    <x v="2"/>
    <x v="1"/>
  </r>
  <r>
    <s v="EMP1587"/>
    <s v="Charlie"/>
    <s v="Williams"/>
    <n v="25"/>
    <x v="3"/>
    <x v="1"/>
    <s v="Pending"/>
    <s v="2023-05-06"/>
    <n v="77585.72"/>
    <s v="charlie.williams@example.com"/>
    <s v="5465408423"/>
    <x v="1"/>
    <x v="1"/>
  </r>
  <r>
    <s v="EMP1588"/>
    <s v="Bob"/>
    <s v="Brown"/>
    <n v="35"/>
    <x v="2"/>
    <x v="2"/>
    <s v="Pending"/>
    <s v="2024-01-26"/>
    <n v="74069.62"/>
    <s v="bob.brown@example.com"/>
    <s v="5607540914"/>
    <x v="2"/>
    <x v="1"/>
  </r>
  <r>
    <s v="EMP1589"/>
    <s v="Charlie"/>
    <s v="Jones"/>
    <n v="30"/>
    <x v="2"/>
    <x v="4"/>
    <s v="Pending"/>
    <s v="2024-09-05"/>
    <n v="67691.92"/>
    <s v="charlie.jones@example.com"/>
    <s v="863218121"/>
    <x v="0"/>
    <x v="0"/>
  </r>
  <r>
    <s v="EMP1590"/>
    <s v="Alice"/>
    <s v="Smith"/>
    <s v=""/>
    <x v="1"/>
    <x v="2"/>
    <s v="Pending"/>
    <s v="2020-05-29"/>
    <n v="70345.69"/>
    <s v="alice.smith@example.com"/>
    <s v="7645793896"/>
    <x v="1"/>
    <x v="0"/>
  </r>
  <r>
    <s v="EMP1591"/>
    <s v="Bob"/>
    <s v="Garcia"/>
    <n v="30"/>
    <x v="0"/>
    <x v="5"/>
    <s v="Inactive"/>
    <s v="2021-11-08"/>
    <n v="74999.69"/>
    <s v="bob.garcia@example.com"/>
    <s v="155029167"/>
    <x v="2"/>
    <x v="0"/>
  </r>
  <r>
    <s v="EMP1592"/>
    <s v="David"/>
    <s v="Jones"/>
    <n v="25"/>
    <x v="5"/>
    <x v="5"/>
    <s v="Active"/>
    <s v="2021-01-31"/>
    <n v="72245.02"/>
    <s v="david.jones@example.com"/>
    <s v="1546602415"/>
    <x v="3"/>
    <x v="0"/>
  </r>
  <r>
    <s v="EMP1593"/>
    <s v="Eva"/>
    <s v="Brown"/>
    <s v=""/>
    <x v="2"/>
    <x v="5"/>
    <s v="Pending"/>
    <s v="2022-01-16"/>
    <n v="106538.98"/>
    <s v="eva.brown@example.com"/>
    <s v="1394498829"/>
    <x v="1"/>
    <x v="1"/>
  </r>
  <r>
    <s v="EMP1594"/>
    <s v="Charlie"/>
    <s v="Brown"/>
    <n v="25"/>
    <x v="5"/>
    <x v="4"/>
    <s v="Active"/>
    <s v="2023-12-29"/>
    <n v="101787.14"/>
    <s v="charlie.brown@example.com"/>
    <s v="5973642479"/>
    <x v="2"/>
    <x v="1"/>
  </r>
  <r>
    <s v="EMP1595"/>
    <s v="Frank"/>
    <s v="Brown"/>
    <n v="30"/>
    <x v="0"/>
    <x v="2"/>
    <s v="Inactive"/>
    <s v="2024-12-02"/>
    <n v="83596.78"/>
    <s v="frank.brown@example.com"/>
    <s v="9624406305"/>
    <x v="0"/>
    <x v="1"/>
  </r>
  <r>
    <s v="EMP1596"/>
    <s v="Eva"/>
    <s v="Jones"/>
    <n v="40"/>
    <x v="4"/>
    <x v="1"/>
    <s v="Active"/>
    <s v="2023-08-15"/>
    <n v="92463.94"/>
    <s v="eva.jones@example.com"/>
    <s v="2447951329"/>
    <x v="0"/>
    <x v="0"/>
  </r>
  <r>
    <s v="EMP1597"/>
    <s v="Charlie"/>
    <s v="Davis"/>
    <s v=""/>
    <x v="2"/>
    <x v="0"/>
    <s v="Pending"/>
    <s v="2024-12-20"/>
    <n v="93863.32"/>
    <s v="charlie.davis@example.com"/>
    <s v="5319497968"/>
    <x v="1"/>
    <x v="1"/>
  </r>
  <r>
    <s v="EMP1598"/>
    <s v="Alice"/>
    <s v="Brown"/>
    <s v=""/>
    <x v="0"/>
    <x v="1"/>
    <s v="Pending"/>
    <s v="2023-03-31"/>
    <n v="78359.41"/>
    <s v="alice.brown@example.com"/>
    <s v="5867805554"/>
    <x v="2"/>
    <x v="1"/>
  </r>
  <r>
    <s v="EMP1599"/>
    <s v="Alice"/>
    <s v="Miller"/>
    <s v=""/>
    <x v="5"/>
    <x v="5"/>
    <s v="Pending"/>
    <s v="2022-08-24"/>
    <n v="95773.57"/>
    <s v="alice.miller@example.com"/>
    <s v="7277382645"/>
    <x v="1"/>
    <x v="1"/>
  </r>
  <r>
    <s v="EMP1600"/>
    <s v="Grace"/>
    <s v="Jones"/>
    <n v="30"/>
    <x v="4"/>
    <x v="2"/>
    <s v="Inactive"/>
    <s v="2020-10-01"/>
    <n v="82529.08"/>
    <s v="grace.jones@example.com"/>
    <s v="917851384"/>
    <x v="1"/>
    <x v="0"/>
  </r>
  <r>
    <s v="EMP1601"/>
    <s v="Grace"/>
    <s v="Garcia"/>
    <n v="35"/>
    <x v="4"/>
    <x v="1"/>
    <s v="Pending"/>
    <s v="2021-05-04"/>
    <n v="109358.73"/>
    <s v="grace.garcia@example.com"/>
    <s v="4457702991"/>
    <x v="2"/>
    <x v="1"/>
  </r>
  <r>
    <s v="EMP1602"/>
    <s v="Charlie"/>
    <s v="Brown"/>
    <s v=""/>
    <x v="2"/>
    <x v="3"/>
    <s v="Active"/>
    <s v="2021-01-01"/>
    <n v="89645.01"/>
    <s v="charlie.brown@example.com"/>
    <s v="9596604872"/>
    <x v="2"/>
    <x v="0"/>
  </r>
  <r>
    <s v="EMP1603"/>
    <s v="Charlie"/>
    <s v="Miller"/>
    <n v="40"/>
    <x v="5"/>
    <x v="1"/>
    <s v="Active"/>
    <s v="2024-04-08"/>
    <n v="84134.95"/>
    <s v="charlie.miller@example.com"/>
    <s v="6826911632"/>
    <x v="3"/>
    <x v="0"/>
  </r>
  <r>
    <s v="EMP1604"/>
    <s v="Frank"/>
    <s v="Davis"/>
    <n v="30"/>
    <x v="3"/>
    <x v="2"/>
    <s v="Active"/>
    <s v="2022-11-26"/>
    <n v="113540.83"/>
    <s v="frank.davis@example.com"/>
    <s v="1942268652"/>
    <x v="2"/>
    <x v="0"/>
  </r>
  <r>
    <s v="EMP1605"/>
    <s v="Heidi"/>
    <s v="Williams"/>
    <n v="40"/>
    <x v="3"/>
    <x v="1"/>
    <s v="Pending"/>
    <s v="2021-10-25"/>
    <n v="57225.75"/>
    <s v="heidi.williams@example.com"/>
    <s v="6945515887"/>
    <x v="0"/>
    <x v="0"/>
  </r>
  <r>
    <s v="EMP1606"/>
    <s v="Eva"/>
    <s v="Davis"/>
    <n v="35"/>
    <x v="4"/>
    <x v="5"/>
    <s v="Pending"/>
    <s v="2020-12-22"/>
    <n v="76366.17"/>
    <s v="eva.davis@example.com"/>
    <s v="6367747225"/>
    <x v="1"/>
    <x v="1"/>
  </r>
  <r>
    <s v="EMP1607"/>
    <s v="Bob"/>
    <s v="Garcia"/>
    <s v=""/>
    <x v="5"/>
    <x v="3"/>
    <s v="Active"/>
    <s v="2022-11-23"/>
    <n v="78408.95"/>
    <s v="bob.garcia@example.com"/>
    <s v="4085721695"/>
    <x v="1"/>
    <x v="0"/>
  </r>
  <r>
    <s v="EMP1608"/>
    <s v="Frank"/>
    <s v="Brown"/>
    <n v="40"/>
    <x v="1"/>
    <x v="5"/>
    <s v="Active"/>
    <s v="2022-10-24"/>
    <n v="111742.39999999999"/>
    <s v="frank.brown@example.com"/>
    <s v="6630932997"/>
    <x v="0"/>
    <x v="0"/>
  </r>
  <r>
    <s v="EMP1609"/>
    <s v="David"/>
    <s v="Garcia"/>
    <n v="25"/>
    <x v="4"/>
    <x v="2"/>
    <s v="Inactive"/>
    <s v="2021-03-09"/>
    <n v="60516.83"/>
    <s v="david.garcia@example.com"/>
    <s v="1996059328"/>
    <x v="2"/>
    <x v="1"/>
  </r>
  <r>
    <s v="EMP1610"/>
    <s v="Bob"/>
    <s v="Jones"/>
    <n v="30"/>
    <x v="1"/>
    <x v="0"/>
    <s v="Pending"/>
    <s v="2020-08-20"/>
    <n v="83706.17"/>
    <s v="bob.jones@example.com"/>
    <s v="7150968831"/>
    <x v="0"/>
    <x v="1"/>
  </r>
  <r>
    <s v="EMP1611"/>
    <s v="David"/>
    <s v="Johnson"/>
    <s v=""/>
    <x v="2"/>
    <x v="2"/>
    <s v="Inactive"/>
    <s v="2020-02-15"/>
    <n v="67056.92"/>
    <s v="david.johnson@example.com"/>
    <s v="7532735240"/>
    <x v="0"/>
    <x v="0"/>
  </r>
  <r>
    <s v="EMP1612"/>
    <s v="Charlie"/>
    <s v="Brown"/>
    <n v="30"/>
    <x v="0"/>
    <x v="5"/>
    <s v="Active"/>
    <s v="2024-12-29"/>
    <n v="90058.85"/>
    <s v="charlie.brown@example.com"/>
    <s v="397739731"/>
    <x v="3"/>
    <x v="1"/>
  </r>
  <r>
    <s v="EMP1613"/>
    <s v="Eva"/>
    <s v="Johnson"/>
    <n v="30"/>
    <x v="4"/>
    <x v="3"/>
    <s v="Pending"/>
    <s v="2023-02-28"/>
    <n v="94633.59"/>
    <s v="eva.johnson@example.com"/>
    <s v="7819523709"/>
    <x v="0"/>
    <x v="0"/>
  </r>
  <r>
    <s v="EMP1614"/>
    <s v="Eva"/>
    <s v="Miller"/>
    <n v="25"/>
    <x v="2"/>
    <x v="3"/>
    <s v="Pending"/>
    <s v="2022-08-23"/>
    <n v="110711.17"/>
    <s v="eva.miller@example.com"/>
    <s v="687616480"/>
    <x v="1"/>
    <x v="0"/>
  </r>
  <r>
    <s v="EMP1615"/>
    <s v="Grace"/>
    <s v="Williams"/>
    <s v=""/>
    <x v="2"/>
    <x v="5"/>
    <s v="Active"/>
    <s v="2023-06-30"/>
    <n v="96175.41"/>
    <s v="grace.williams@example.com"/>
    <s v="9807704604"/>
    <x v="0"/>
    <x v="0"/>
  </r>
  <r>
    <s v="EMP1616"/>
    <s v="Frank"/>
    <s v="Smith"/>
    <n v="40"/>
    <x v="4"/>
    <x v="5"/>
    <s v="Active"/>
    <s v="2021-04-15"/>
    <n v="76474.789999999994"/>
    <s v="frank.smith@example.com"/>
    <s v="6876112490"/>
    <x v="1"/>
    <x v="0"/>
  </r>
  <r>
    <s v="EMP1617"/>
    <s v="Alice"/>
    <s v="Garcia"/>
    <n v="30"/>
    <x v="4"/>
    <x v="5"/>
    <s v="Pending"/>
    <s v="2022-05-09"/>
    <n v="107855.99"/>
    <s v="alice.garcia@example.com"/>
    <s v="2565237340"/>
    <x v="1"/>
    <x v="1"/>
  </r>
  <r>
    <s v="EMP1618"/>
    <s v="Charlie"/>
    <s v="Davis"/>
    <n v="40"/>
    <x v="4"/>
    <x v="5"/>
    <s v="Active"/>
    <s v="2024-12-02"/>
    <n v="104870.78"/>
    <s v="charlie.davis@example.com"/>
    <s v="5177345474"/>
    <x v="1"/>
    <x v="0"/>
  </r>
  <r>
    <s v="EMP1619"/>
    <s v="Bob"/>
    <s v="Williams"/>
    <n v="25"/>
    <x v="1"/>
    <x v="2"/>
    <s v="Active"/>
    <s v="2023-05-20"/>
    <s v=""/>
    <s v="bob.williams@example.com"/>
    <s v="7494902283"/>
    <x v="2"/>
    <x v="1"/>
  </r>
  <r>
    <s v="EMP1620"/>
    <s v="Grace"/>
    <s v="Brown"/>
    <s v=""/>
    <x v="1"/>
    <x v="0"/>
    <s v="Active"/>
    <s v="2023-11-29"/>
    <n v="87087.16"/>
    <s v="grace.brown@example.com"/>
    <s v="359544293"/>
    <x v="3"/>
    <x v="1"/>
  </r>
  <r>
    <s v="EMP1621"/>
    <s v="Heidi"/>
    <s v="Johnson"/>
    <n v="40"/>
    <x v="5"/>
    <x v="5"/>
    <s v="Pending"/>
    <s v="2024-04-08"/>
    <n v="108603.34"/>
    <s v="heidi.johnson@example.com"/>
    <s v="7742229463"/>
    <x v="1"/>
    <x v="1"/>
  </r>
  <r>
    <s v="EMP1622"/>
    <s v="Grace"/>
    <s v="Davis"/>
    <n v="30"/>
    <x v="5"/>
    <x v="3"/>
    <s v="Active"/>
    <s v="2024-10-25"/>
    <n v="55867.23"/>
    <s v="grace.davis@example.com"/>
    <s v="3039429044"/>
    <x v="1"/>
    <x v="1"/>
  </r>
  <r>
    <s v="EMP1623"/>
    <s v="Grace"/>
    <s v="Johnson"/>
    <n v="35"/>
    <x v="2"/>
    <x v="1"/>
    <s v="Pending"/>
    <s v="2024-03-02"/>
    <n v="105259.57"/>
    <s v="grace.johnson@example.com"/>
    <s v="8867925297"/>
    <x v="2"/>
    <x v="0"/>
  </r>
  <r>
    <s v="EMP1624"/>
    <s v="Bob"/>
    <s v="Jones"/>
    <s v=""/>
    <x v="3"/>
    <x v="3"/>
    <s v="Pending"/>
    <s v="2021-02-24"/>
    <n v="98143.67"/>
    <s v="bob.jones@example.com"/>
    <s v="5856728726"/>
    <x v="1"/>
    <x v="1"/>
  </r>
  <r>
    <s v="EMP1625"/>
    <s v="Frank"/>
    <s v="Johnson"/>
    <n v="25"/>
    <x v="2"/>
    <x v="3"/>
    <s v="Pending"/>
    <s v="2023-04-13"/>
    <n v="67754.289999999994"/>
    <s v="frank.johnson@example.com"/>
    <s v="6015343323"/>
    <x v="0"/>
    <x v="0"/>
  </r>
  <r>
    <s v="EMP1626"/>
    <s v="Grace"/>
    <s v="Jones"/>
    <s v=""/>
    <x v="5"/>
    <x v="5"/>
    <s v="Inactive"/>
    <s v="2023-10-25"/>
    <n v="77821.789999999994"/>
    <s v="grace.jones@example.com"/>
    <s v="9135779082"/>
    <x v="0"/>
    <x v="1"/>
  </r>
  <r>
    <s v="EMP1627"/>
    <s v="Heidi"/>
    <s v="Miller"/>
    <n v="30"/>
    <x v="5"/>
    <x v="5"/>
    <s v="Pending"/>
    <s v="2022-09-17"/>
    <n v="67764.44"/>
    <s v="heidi.miller@example.com"/>
    <s v="3506158147"/>
    <x v="3"/>
    <x v="1"/>
  </r>
  <r>
    <s v="EMP1628"/>
    <s v="Frank"/>
    <s v="Davis"/>
    <n v="40"/>
    <x v="0"/>
    <x v="4"/>
    <s v="Pending"/>
    <s v="2020-08-31"/>
    <n v="102346.99"/>
    <s v="frank.davis@example.com"/>
    <s v="8810798333"/>
    <x v="1"/>
    <x v="0"/>
  </r>
  <r>
    <s v="EMP1629"/>
    <s v="Charlie"/>
    <s v="Davis"/>
    <n v="25"/>
    <x v="2"/>
    <x v="5"/>
    <s v="Inactive"/>
    <s v="2024-05-28"/>
    <n v="73690.649999999994"/>
    <s v="charlie.davis@example.com"/>
    <s v="2337209483"/>
    <x v="2"/>
    <x v="0"/>
  </r>
  <r>
    <s v="EMP1630"/>
    <s v="Alice"/>
    <s v="Smith"/>
    <n v="30"/>
    <x v="1"/>
    <x v="2"/>
    <s v="Active"/>
    <s v="2024-07-05"/>
    <n v="56376.2"/>
    <s v="alice.smith@example.com"/>
    <s v="1312840332"/>
    <x v="0"/>
    <x v="0"/>
  </r>
  <r>
    <s v="EMP1631"/>
    <s v="Grace"/>
    <s v="Brown"/>
    <n v="25"/>
    <x v="3"/>
    <x v="0"/>
    <s v="Active"/>
    <s v="2022-01-29"/>
    <n v="55602.78"/>
    <s v="grace.brown@example.com"/>
    <s v="9977180512"/>
    <x v="2"/>
    <x v="1"/>
  </r>
  <r>
    <s v="EMP1632"/>
    <s v="Grace"/>
    <s v="Jones"/>
    <n v="40"/>
    <x v="4"/>
    <x v="2"/>
    <s v="Pending"/>
    <s v="2021-08-09"/>
    <n v="99812.41"/>
    <s v="grace.jones@example.com"/>
    <s v="7171731892"/>
    <x v="2"/>
    <x v="1"/>
  </r>
  <r>
    <s v="EMP1633"/>
    <s v="Charlie"/>
    <s v="Smith"/>
    <n v="40"/>
    <x v="1"/>
    <x v="1"/>
    <s v="Active"/>
    <s v="2024-10-07"/>
    <n v="95981.9"/>
    <s v="charlie.smith@example.com"/>
    <s v="9749096172"/>
    <x v="0"/>
    <x v="0"/>
  </r>
  <r>
    <s v="EMP1634"/>
    <s v="Eva"/>
    <s v="Johnson"/>
    <n v="30"/>
    <x v="3"/>
    <x v="5"/>
    <s v="Pending"/>
    <s v="2022-11-22"/>
    <n v="98891.48"/>
    <s v="eva.johnson@example.com"/>
    <s v="9970469471"/>
    <x v="2"/>
    <x v="0"/>
  </r>
  <r>
    <s v="EMP1635"/>
    <s v="Alice"/>
    <s v="Johnson"/>
    <n v="35"/>
    <x v="2"/>
    <x v="2"/>
    <s v="Active"/>
    <s v="2020-11-18"/>
    <n v="56079"/>
    <s v="alice.johnson@example.com"/>
    <s v="5878444834"/>
    <x v="0"/>
    <x v="0"/>
  </r>
  <r>
    <s v="EMP1636"/>
    <s v="Grace"/>
    <s v="Smith"/>
    <n v="35"/>
    <x v="0"/>
    <x v="3"/>
    <s v="Inactive"/>
    <s v="2023-04-15"/>
    <s v=""/>
    <s v="grace.smith@example.com"/>
    <s v="4884712704"/>
    <x v="2"/>
    <x v="0"/>
  </r>
  <r>
    <s v="EMP1637"/>
    <s v="Bob"/>
    <s v="Davis"/>
    <n v="25"/>
    <x v="4"/>
    <x v="0"/>
    <s v="Pending"/>
    <s v="2024-08-26"/>
    <n v="89137.97"/>
    <s v="bob.davis@example.com"/>
    <s v="8772216416"/>
    <x v="0"/>
    <x v="1"/>
  </r>
  <r>
    <s v="EMP1638"/>
    <s v="Frank"/>
    <s v="Johnson"/>
    <n v="35"/>
    <x v="2"/>
    <x v="5"/>
    <s v="Active"/>
    <s v="2022-07-20"/>
    <n v="115079.97"/>
    <s v="frank.johnson@example.com"/>
    <s v="5823133483"/>
    <x v="1"/>
    <x v="0"/>
  </r>
  <r>
    <s v="EMP1639"/>
    <s v="Eva"/>
    <s v="Garcia"/>
    <n v="30"/>
    <x v="1"/>
    <x v="5"/>
    <s v="Active"/>
    <s v="2023-02-18"/>
    <n v="55067.02"/>
    <s v="eva.garcia@example.com"/>
    <s v="5871493924"/>
    <x v="3"/>
    <x v="0"/>
  </r>
  <r>
    <s v="EMP1640"/>
    <s v="Bob"/>
    <s v="Miller"/>
    <s v=""/>
    <x v="5"/>
    <x v="5"/>
    <s v="Pending"/>
    <s v="2021-05-27"/>
    <n v="98593.43"/>
    <s v="bob.miller@example.com"/>
    <s v="2362292586"/>
    <x v="0"/>
    <x v="0"/>
  </r>
  <r>
    <s v="EMP1641"/>
    <s v="Heidi"/>
    <s v="Miller"/>
    <n v="30"/>
    <x v="5"/>
    <x v="3"/>
    <s v="Pending"/>
    <s v="2022-08-01"/>
    <n v="112756.67"/>
    <s v="heidi.miller@example.com"/>
    <s v="9643474523"/>
    <x v="0"/>
    <x v="0"/>
  </r>
  <r>
    <s v="EMP1642"/>
    <s v="Heidi"/>
    <s v="Garcia"/>
    <n v="25"/>
    <x v="5"/>
    <x v="1"/>
    <s v="Inactive"/>
    <s v="2023-07-21"/>
    <n v="105205.92"/>
    <s v="heidi.garcia@example.com"/>
    <s v="5557469659"/>
    <x v="3"/>
    <x v="1"/>
  </r>
  <r>
    <s v="EMP1643"/>
    <s v="David"/>
    <s v="Smith"/>
    <n v="35"/>
    <x v="1"/>
    <x v="0"/>
    <s v="Pending"/>
    <s v="2023-01-02"/>
    <n v="50680.62"/>
    <s v="david.smith@example.com"/>
    <s v="6065274032"/>
    <x v="0"/>
    <x v="0"/>
  </r>
  <r>
    <s v="EMP1644"/>
    <s v="David"/>
    <s v="Garcia"/>
    <n v="35"/>
    <x v="3"/>
    <x v="3"/>
    <s v="Pending"/>
    <s v="2024-03-13"/>
    <n v="107475.23"/>
    <s v="david.garcia@example.com"/>
    <s v="4450566587"/>
    <x v="0"/>
    <x v="1"/>
  </r>
  <r>
    <s v="EMP1645"/>
    <s v="Charlie"/>
    <s v="Jones"/>
    <n v="40"/>
    <x v="5"/>
    <x v="0"/>
    <s v="Active"/>
    <s v="2023-03-20"/>
    <n v="68835.3"/>
    <s v="charlie.jones@example.com"/>
    <s v="3398741131"/>
    <x v="2"/>
    <x v="0"/>
  </r>
  <r>
    <s v="EMP1646"/>
    <s v="David"/>
    <s v="Jones"/>
    <n v="40"/>
    <x v="0"/>
    <x v="4"/>
    <s v="Active"/>
    <s v="2024-02-15"/>
    <n v="66943.960000000006"/>
    <s v="david.jones@example.com"/>
    <s v="5797067348"/>
    <x v="3"/>
    <x v="0"/>
  </r>
  <r>
    <s v="EMP1647"/>
    <s v="David"/>
    <s v="Smith"/>
    <n v="30"/>
    <x v="2"/>
    <x v="5"/>
    <s v="Inactive"/>
    <s v="2020-11-15"/>
    <n v="104525.69"/>
    <s v="david.smith@example.com"/>
    <s v="9601054856"/>
    <x v="1"/>
    <x v="1"/>
  </r>
  <r>
    <s v="EMP1648"/>
    <s v="Bob"/>
    <s v="Garcia"/>
    <n v="40"/>
    <x v="4"/>
    <x v="1"/>
    <s v="Pending"/>
    <s v="2020-03-27"/>
    <n v="109360.74"/>
    <s v="bob.garcia@example.com"/>
    <s v="4172156228"/>
    <x v="0"/>
    <x v="0"/>
  </r>
  <r>
    <s v="EMP1649"/>
    <s v="Frank"/>
    <s v="Jones"/>
    <n v="40"/>
    <x v="4"/>
    <x v="0"/>
    <s v="Inactive"/>
    <s v="2021-01-09"/>
    <n v="118907.63"/>
    <s v="frank.jones@example.com"/>
    <s v="4938173597"/>
    <x v="3"/>
    <x v="1"/>
  </r>
  <r>
    <s v="EMP1650"/>
    <s v="Eva"/>
    <s v="Davis"/>
    <n v="40"/>
    <x v="2"/>
    <x v="5"/>
    <s v="Active"/>
    <s v="2020-04-20"/>
    <n v="86801.48"/>
    <s v="eva.davis@example.com"/>
    <s v="4884021556"/>
    <x v="2"/>
    <x v="1"/>
  </r>
  <r>
    <s v="EMP1651"/>
    <s v="Alice"/>
    <s v="Garcia"/>
    <s v=""/>
    <x v="5"/>
    <x v="3"/>
    <s v="Pending"/>
    <s v="2024-05-08"/>
    <n v="62236.03"/>
    <s v="alice.garcia@example.com"/>
    <s v="3257375533"/>
    <x v="1"/>
    <x v="0"/>
  </r>
  <r>
    <s v="EMP1652"/>
    <s v="Heidi"/>
    <s v="Davis"/>
    <n v="35"/>
    <x v="0"/>
    <x v="1"/>
    <s v="Active"/>
    <s v="2023-10-12"/>
    <n v="64752.67"/>
    <s v="heidi.davis@example.com"/>
    <s v="4902166669"/>
    <x v="3"/>
    <x v="1"/>
  </r>
  <r>
    <s v="EMP1653"/>
    <s v="Frank"/>
    <s v="Jones"/>
    <n v="35"/>
    <x v="4"/>
    <x v="0"/>
    <s v="Active"/>
    <s v="2023-01-28"/>
    <n v="68399.429999999993"/>
    <s v="frank.jones@example.com"/>
    <s v="8085096084"/>
    <x v="1"/>
    <x v="1"/>
  </r>
  <r>
    <s v="EMP1654"/>
    <s v="Frank"/>
    <s v="Miller"/>
    <n v="35"/>
    <x v="2"/>
    <x v="3"/>
    <s v="Inactive"/>
    <s v="2021-03-07"/>
    <n v="79336.509999999995"/>
    <s v="frank.miller@example.com"/>
    <s v="8749511917"/>
    <x v="1"/>
    <x v="1"/>
  </r>
  <r>
    <s v="EMP1655"/>
    <s v="Frank"/>
    <s v="Jones"/>
    <n v="40"/>
    <x v="5"/>
    <x v="3"/>
    <s v="Active"/>
    <s v="2023-03-16"/>
    <n v="59179.74"/>
    <s v="frank.jones@example.com"/>
    <s v="1828197930"/>
    <x v="1"/>
    <x v="1"/>
  </r>
  <r>
    <s v="EMP1656"/>
    <s v="David"/>
    <s v="Davis"/>
    <n v="25"/>
    <x v="0"/>
    <x v="0"/>
    <s v="Active"/>
    <s v="2023-02-11"/>
    <n v="80255.31"/>
    <s v="david.davis@example.com"/>
    <s v="6477251294"/>
    <x v="0"/>
    <x v="1"/>
  </r>
  <r>
    <s v="EMP1657"/>
    <s v="Charlie"/>
    <s v="Williams"/>
    <n v="30"/>
    <x v="1"/>
    <x v="1"/>
    <s v="Active"/>
    <s v="2022-05-13"/>
    <n v="84971.85"/>
    <s v="charlie.williams@example.com"/>
    <s v="7860694095"/>
    <x v="0"/>
    <x v="1"/>
  </r>
  <r>
    <s v="EMP1658"/>
    <s v="Frank"/>
    <s v="Brown"/>
    <n v="40"/>
    <x v="5"/>
    <x v="0"/>
    <s v="Pending"/>
    <s v="2024-10-24"/>
    <n v="89748.42"/>
    <s v="frank.brown@example.com"/>
    <s v="35624394"/>
    <x v="2"/>
    <x v="1"/>
  </r>
  <r>
    <s v="EMP1659"/>
    <s v="Charlie"/>
    <s v="Johnson"/>
    <n v="25"/>
    <x v="2"/>
    <x v="0"/>
    <s v="Inactive"/>
    <s v="2024-09-14"/>
    <n v="94090.35"/>
    <s v="charlie.johnson@example.com"/>
    <s v="8739592322"/>
    <x v="2"/>
    <x v="1"/>
  </r>
  <r>
    <s v="EMP1660"/>
    <s v="Frank"/>
    <s v="Garcia"/>
    <n v="35"/>
    <x v="5"/>
    <x v="0"/>
    <s v="Pending"/>
    <s v="2023-02-15"/>
    <n v="115229.12"/>
    <s v="frank.garcia@example.com"/>
    <s v="4210890284"/>
    <x v="3"/>
    <x v="0"/>
  </r>
  <r>
    <s v="EMP1661"/>
    <s v="Alice"/>
    <s v="Williams"/>
    <n v="40"/>
    <x v="3"/>
    <x v="0"/>
    <s v="Pending"/>
    <s v="2023-05-25"/>
    <n v="63927.07"/>
    <s v="alice.williams@example.com"/>
    <s v="1553334263"/>
    <x v="2"/>
    <x v="0"/>
  </r>
  <r>
    <s v="EMP1662"/>
    <s v="Charlie"/>
    <s v="Jones"/>
    <n v="35"/>
    <x v="5"/>
    <x v="0"/>
    <s v="Pending"/>
    <s v="2022-11-11"/>
    <n v="84124.56"/>
    <s v="charlie.jones@example.com"/>
    <s v="3350271606"/>
    <x v="1"/>
    <x v="1"/>
  </r>
  <r>
    <s v="EMP1663"/>
    <s v="Bob"/>
    <s v="Miller"/>
    <n v="40"/>
    <x v="4"/>
    <x v="0"/>
    <s v="Inactive"/>
    <s v="2023-07-17"/>
    <n v="116961.61"/>
    <s v="bob.miller@example.com"/>
    <s v="3607763368"/>
    <x v="1"/>
    <x v="0"/>
  </r>
  <r>
    <s v="EMP1664"/>
    <s v="Frank"/>
    <s v="Smith"/>
    <n v="40"/>
    <x v="0"/>
    <x v="5"/>
    <s v="Pending"/>
    <s v="2022-04-08"/>
    <n v="109423.05"/>
    <s v="frank.smith@example.com"/>
    <s v="1128981230"/>
    <x v="0"/>
    <x v="1"/>
  </r>
  <r>
    <s v="EMP1665"/>
    <s v="Charlie"/>
    <s v="Jones"/>
    <n v="35"/>
    <x v="2"/>
    <x v="0"/>
    <s v="Inactive"/>
    <s v="2023-08-30"/>
    <n v="70394.94"/>
    <s v="charlie.jones@example.com"/>
    <s v="7955633184"/>
    <x v="1"/>
    <x v="1"/>
  </r>
  <r>
    <s v="EMP1666"/>
    <s v="Grace"/>
    <s v="Miller"/>
    <n v="35"/>
    <x v="1"/>
    <x v="0"/>
    <s v="Pending"/>
    <s v="2023-04-17"/>
    <n v="86465.5"/>
    <s v="grace.miller@example.com"/>
    <s v="7481700665"/>
    <x v="3"/>
    <x v="0"/>
  </r>
  <r>
    <s v="EMP1667"/>
    <s v="Charlie"/>
    <s v="Brown"/>
    <n v="30"/>
    <x v="3"/>
    <x v="4"/>
    <s v="Pending"/>
    <s v="2021-04-25"/>
    <n v="96341.58"/>
    <s v="charlie.brown@example.com"/>
    <s v="1554164315"/>
    <x v="1"/>
    <x v="1"/>
  </r>
  <r>
    <s v="EMP1668"/>
    <s v="Bob"/>
    <s v="Jones"/>
    <n v="30"/>
    <x v="2"/>
    <x v="3"/>
    <s v="Active"/>
    <s v="2020-07-14"/>
    <n v="54465.47"/>
    <s v="bob.jones@example.com"/>
    <s v="7045023289"/>
    <x v="1"/>
    <x v="1"/>
  </r>
  <r>
    <s v="EMP1669"/>
    <s v="Alice"/>
    <s v="Davis"/>
    <n v="25"/>
    <x v="1"/>
    <x v="5"/>
    <s v="Active"/>
    <s v="2020-07-31"/>
    <n v="68371.66"/>
    <s v="alice.davis@example.com"/>
    <s v="2822700933"/>
    <x v="3"/>
    <x v="1"/>
  </r>
  <r>
    <s v="EMP1670"/>
    <s v="Grace"/>
    <s v="Smith"/>
    <n v="35"/>
    <x v="2"/>
    <x v="4"/>
    <s v="Pending"/>
    <s v="2021-08-04"/>
    <n v="81021.23"/>
    <s v="grace.smith@example.com"/>
    <s v="5962622821"/>
    <x v="2"/>
    <x v="1"/>
  </r>
  <r>
    <s v="EMP1671"/>
    <s v="Charlie"/>
    <s v="Miller"/>
    <n v="25"/>
    <x v="3"/>
    <x v="2"/>
    <s v="Inactive"/>
    <s v="2024-10-28"/>
    <n v="114069.07"/>
    <s v="charlie.miller@example.com"/>
    <s v="5120734653"/>
    <x v="2"/>
    <x v="0"/>
  </r>
  <r>
    <s v="EMP1672"/>
    <s v="Heidi"/>
    <s v="Miller"/>
    <s v=""/>
    <x v="5"/>
    <x v="5"/>
    <s v="Inactive"/>
    <s v="2020-10-03"/>
    <n v="117867.96"/>
    <s v="heidi.miller@example.com"/>
    <s v="9500507025"/>
    <x v="3"/>
    <x v="1"/>
  </r>
  <r>
    <s v="EMP1673"/>
    <s v="Charlie"/>
    <s v="Miller"/>
    <s v=""/>
    <x v="4"/>
    <x v="3"/>
    <s v="Pending"/>
    <s v="2024-03-13"/>
    <n v="94509.58"/>
    <s v="charlie.miller@example.com"/>
    <s v="869822104"/>
    <x v="0"/>
    <x v="1"/>
  </r>
  <r>
    <s v="EMP1674"/>
    <s v="Eva"/>
    <s v="Brown"/>
    <n v="35"/>
    <x v="1"/>
    <x v="5"/>
    <s v="Active"/>
    <s v="2024-07-06"/>
    <n v="56268.78"/>
    <s v="eva.brown@example.com"/>
    <s v="3161177686"/>
    <x v="1"/>
    <x v="1"/>
  </r>
  <r>
    <s v="EMP1675"/>
    <s v="Grace"/>
    <s v="Jones"/>
    <n v="35"/>
    <x v="2"/>
    <x v="0"/>
    <s v="Active"/>
    <s v="2020-01-01"/>
    <n v="86632.14"/>
    <s v="grace.jones@example.com"/>
    <s v="2904774257"/>
    <x v="3"/>
    <x v="0"/>
  </r>
  <r>
    <s v="EMP1676"/>
    <s v="Charlie"/>
    <s v="Brown"/>
    <n v="35"/>
    <x v="5"/>
    <x v="3"/>
    <s v="Pending"/>
    <s v="2020-01-18"/>
    <n v="98143.9"/>
    <s v="charlie.brown@example.com"/>
    <s v="5917793237"/>
    <x v="1"/>
    <x v="1"/>
  </r>
  <r>
    <s v="EMP1677"/>
    <s v="Heidi"/>
    <s v="Garcia"/>
    <n v="35"/>
    <x v="3"/>
    <x v="3"/>
    <s v="Inactive"/>
    <s v="2023-05-07"/>
    <s v=""/>
    <s v="heidi.garcia@example.com"/>
    <s v="2231164912"/>
    <x v="0"/>
    <x v="0"/>
  </r>
  <r>
    <s v="EMP1678"/>
    <s v="Frank"/>
    <s v="Johnson"/>
    <n v="30"/>
    <x v="1"/>
    <x v="5"/>
    <s v="Inactive"/>
    <s v="2022-03-19"/>
    <n v="67492.73"/>
    <s v="frank.johnson@example.com"/>
    <s v="3424579888"/>
    <x v="1"/>
    <x v="0"/>
  </r>
  <r>
    <s v="EMP1679"/>
    <s v="Grace"/>
    <s v="Johnson"/>
    <n v="40"/>
    <x v="2"/>
    <x v="0"/>
    <s v="Active"/>
    <s v="2022-05-14"/>
    <n v="93772.61"/>
    <s v="grace.johnson@example.com"/>
    <s v="4256529059"/>
    <x v="3"/>
    <x v="1"/>
  </r>
  <r>
    <s v="EMP1680"/>
    <s v="Eva"/>
    <s v="Garcia"/>
    <n v="35"/>
    <x v="0"/>
    <x v="2"/>
    <s v="Pending"/>
    <s v="2024-07-14"/>
    <n v="68817.539999999994"/>
    <s v="eva.garcia@example.com"/>
    <s v="3202032649"/>
    <x v="1"/>
    <x v="1"/>
  </r>
  <r>
    <s v="EMP1681"/>
    <s v="Bob"/>
    <s v="Jones"/>
    <n v="30"/>
    <x v="2"/>
    <x v="0"/>
    <s v="Active"/>
    <s v="2023-07-28"/>
    <n v="81874.009999999995"/>
    <s v="bob.jones@example.com"/>
    <s v="9775396736"/>
    <x v="2"/>
    <x v="0"/>
  </r>
  <r>
    <s v="EMP1682"/>
    <s v="Heidi"/>
    <s v="Davis"/>
    <n v="30"/>
    <x v="5"/>
    <x v="1"/>
    <s v="Active"/>
    <s v="2020-04-11"/>
    <n v="117880.14"/>
    <s v="heidi.davis@example.com"/>
    <s v="9487148551"/>
    <x v="0"/>
    <x v="1"/>
  </r>
  <r>
    <s v="EMP1683"/>
    <s v="Bob"/>
    <s v="Brown"/>
    <n v="35"/>
    <x v="5"/>
    <x v="4"/>
    <s v="Pending"/>
    <s v="2022-06-16"/>
    <n v="100897.49"/>
    <s v="bob.brown@example.com"/>
    <s v="4578715840"/>
    <x v="0"/>
    <x v="0"/>
  </r>
  <r>
    <s v="EMP1684"/>
    <s v="Charlie"/>
    <s v="Smith"/>
    <n v="25"/>
    <x v="1"/>
    <x v="4"/>
    <s v="Inactive"/>
    <s v="2022-05-10"/>
    <n v="71810.37"/>
    <s v="charlie.smith@example.com"/>
    <s v="5608213710"/>
    <x v="0"/>
    <x v="0"/>
  </r>
  <r>
    <s v="EMP1685"/>
    <s v="Frank"/>
    <s v="Miller"/>
    <n v="40"/>
    <x v="0"/>
    <x v="1"/>
    <s v="Inactive"/>
    <s v="2020-06-13"/>
    <n v="109048.24"/>
    <s v="frank.miller@example.com"/>
    <s v="8425476817"/>
    <x v="3"/>
    <x v="1"/>
  </r>
  <r>
    <s v="EMP1686"/>
    <s v="Alice"/>
    <s v="Miller"/>
    <n v="35"/>
    <x v="1"/>
    <x v="1"/>
    <s v="Pending"/>
    <s v="2022-08-20"/>
    <n v="62712.26"/>
    <s v="alice.miller@example.com"/>
    <s v="2683230357"/>
    <x v="0"/>
    <x v="1"/>
  </r>
  <r>
    <s v="EMP1687"/>
    <s v="Eva"/>
    <s v="Jones"/>
    <n v="40"/>
    <x v="3"/>
    <x v="1"/>
    <s v="Pending"/>
    <s v="2021-05-24"/>
    <n v="76935.850000000006"/>
    <s v="eva.jones@example.com"/>
    <s v="9298808582"/>
    <x v="2"/>
    <x v="0"/>
  </r>
  <r>
    <s v="EMP1688"/>
    <s v="David"/>
    <s v="Davis"/>
    <n v="25"/>
    <x v="2"/>
    <x v="3"/>
    <s v="Pending"/>
    <s v="2024-04-27"/>
    <n v="56577.22"/>
    <s v="david.davis@example.com"/>
    <s v="8252129327"/>
    <x v="3"/>
    <x v="0"/>
  </r>
  <r>
    <s v="EMP1689"/>
    <s v="David"/>
    <s v="Johnson"/>
    <n v="40"/>
    <x v="1"/>
    <x v="2"/>
    <s v="Inactive"/>
    <s v="2021-10-23"/>
    <n v="61102.8"/>
    <s v="david.johnson@example.com"/>
    <s v="9634064685"/>
    <x v="2"/>
    <x v="0"/>
  </r>
  <r>
    <s v="EMP1690"/>
    <s v="Bob"/>
    <s v="Johnson"/>
    <n v="35"/>
    <x v="1"/>
    <x v="2"/>
    <s v="Inactive"/>
    <s v="2021-02-10"/>
    <n v="75229.87"/>
    <s v="bob.johnson@example.com"/>
    <s v="7752401483"/>
    <x v="1"/>
    <x v="0"/>
  </r>
  <r>
    <s v="EMP1691"/>
    <s v="David"/>
    <s v="Miller"/>
    <n v="25"/>
    <x v="2"/>
    <x v="2"/>
    <s v="Inactive"/>
    <s v="2021-10-26"/>
    <n v="51054.74"/>
    <s v="david.miller@example.com"/>
    <s v="3991062271"/>
    <x v="1"/>
    <x v="1"/>
  </r>
  <r>
    <s v="EMP1692"/>
    <s v="Bob"/>
    <s v="Jones"/>
    <n v="40"/>
    <x v="2"/>
    <x v="1"/>
    <s v="Active"/>
    <s v="2023-04-05"/>
    <n v="104843.27"/>
    <s v="bob.jones@example.com"/>
    <s v="3626693350"/>
    <x v="1"/>
    <x v="1"/>
  </r>
  <r>
    <s v="EMP1693"/>
    <s v="Charlie"/>
    <s v="Brown"/>
    <n v="35"/>
    <x v="3"/>
    <x v="4"/>
    <s v="Active"/>
    <s v="2022-10-20"/>
    <n v="56398.11"/>
    <s v="charlie.brown@example.com"/>
    <s v="3426192371"/>
    <x v="1"/>
    <x v="1"/>
  </r>
  <r>
    <s v="EMP1694"/>
    <s v="Alice"/>
    <s v="Johnson"/>
    <n v="25"/>
    <x v="5"/>
    <x v="2"/>
    <s v="Active"/>
    <s v="2023-12-07"/>
    <n v="87544.73"/>
    <s v="alice.johnson@example.com"/>
    <s v="4501848196"/>
    <x v="2"/>
    <x v="1"/>
  </r>
  <r>
    <s v="EMP1695"/>
    <s v="Heidi"/>
    <s v="Brown"/>
    <n v="30"/>
    <x v="5"/>
    <x v="5"/>
    <s v="Pending"/>
    <s v="2024-03-29"/>
    <n v="74312.240000000005"/>
    <s v="heidi.brown@example.com"/>
    <s v="3741897214"/>
    <x v="3"/>
    <x v="1"/>
  </r>
  <r>
    <s v="EMP1696"/>
    <s v="David"/>
    <s v="Davis"/>
    <n v="25"/>
    <x v="0"/>
    <x v="3"/>
    <s v="Inactive"/>
    <s v="2024-01-23"/>
    <n v="59431.25"/>
    <s v="david.davis@example.com"/>
    <s v="4064176926"/>
    <x v="3"/>
    <x v="0"/>
  </r>
  <r>
    <s v="EMP1697"/>
    <s v="Heidi"/>
    <s v="Johnson"/>
    <n v="40"/>
    <x v="4"/>
    <x v="0"/>
    <s v="Pending"/>
    <s v="2023-11-28"/>
    <n v="84306.44"/>
    <s v="heidi.johnson@example.com"/>
    <s v="4381199536"/>
    <x v="0"/>
    <x v="1"/>
  </r>
  <r>
    <s v="EMP1698"/>
    <s v="Frank"/>
    <s v="Johnson"/>
    <n v="35"/>
    <x v="0"/>
    <x v="3"/>
    <s v="Inactive"/>
    <s v="2024-11-11"/>
    <n v="108194.47"/>
    <s v="frank.johnson@example.com"/>
    <s v="6601444855"/>
    <x v="2"/>
    <x v="1"/>
  </r>
  <r>
    <s v="EMP1699"/>
    <s v="Charlie"/>
    <s v="Williams"/>
    <n v="25"/>
    <x v="4"/>
    <x v="4"/>
    <s v="Inactive"/>
    <s v="2021-08-28"/>
    <n v="107359.3"/>
    <s v="charlie.williams@example.com"/>
    <s v="4510173972"/>
    <x v="1"/>
    <x v="1"/>
  </r>
  <r>
    <s v="EMP1700"/>
    <s v="Heidi"/>
    <s v="Johnson"/>
    <n v="25"/>
    <x v="0"/>
    <x v="5"/>
    <s v="Inactive"/>
    <s v="2024-02-11"/>
    <s v=""/>
    <s v="heidi.johnson@example.com"/>
    <s v="9641789968"/>
    <x v="2"/>
    <x v="1"/>
  </r>
  <r>
    <s v="EMP1701"/>
    <s v="Frank"/>
    <s v="Garcia"/>
    <s v=""/>
    <x v="2"/>
    <x v="0"/>
    <s v="Pending"/>
    <s v="2020-05-09"/>
    <n v="96080.26"/>
    <s v="frank.garcia@example.com"/>
    <s v="8609191910"/>
    <x v="0"/>
    <x v="1"/>
  </r>
  <r>
    <s v="EMP1702"/>
    <s v="Grace"/>
    <s v="Smith"/>
    <n v="30"/>
    <x v="4"/>
    <x v="2"/>
    <s v="Inactive"/>
    <s v="2024-04-17"/>
    <n v="88602.75"/>
    <s v="grace.smith@example.com"/>
    <s v="3599660576"/>
    <x v="0"/>
    <x v="0"/>
  </r>
  <r>
    <s v="EMP1703"/>
    <s v="Frank"/>
    <s v="Garcia"/>
    <n v="40"/>
    <x v="0"/>
    <x v="0"/>
    <s v="Active"/>
    <s v="2020-07-16"/>
    <n v="86624.04"/>
    <s v="frank.garcia@example.com"/>
    <s v="9806603919"/>
    <x v="2"/>
    <x v="0"/>
  </r>
  <r>
    <s v="EMP1704"/>
    <s v="Charlie"/>
    <s v="Jones"/>
    <n v="30"/>
    <x v="3"/>
    <x v="4"/>
    <s v="Active"/>
    <s v="2022-09-21"/>
    <n v="63413.16"/>
    <s v="charlie.jones@example.com"/>
    <s v="5146074554"/>
    <x v="2"/>
    <x v="0"/>
  </r>
  <r>
    <s v="EMP1705"/>
    <s v="Grace"/>
    <s v="Jones"/>
    <n v="40"/>
    <x v="4"/>
    <x v="5"/>
    <s v="Pending"/>
    <s v="2023-04-23"/>
    <n v="67915.7"/>
    <s v="grace.jones@example.com"/>
    <s v="3470574237"/>
    <x v="2"/>
    <x v="1"/>
  </r>
  <r>
    <s v="EMP1706"/>
    <s v="Bob"/>
    <s v="Brown"/>
    <n v="25"/>
    <x v="2"/>
    <x v="2"/>
    <s v="Inactive"/>
    <s v="2024-12-27"/>
    <n v="108245.44"/>
    <s v="bob.brown@example.com"/>
    <s v="8565271558"/>
    <x v="3"/>
    <x v="0"/>
  </r>
  <r>
    <s v="EMP1707"/>
    <s v="Alice"/>
    <s v="Garcia"/>
    <n v="35"/>
    <x v="4"/>
    <x v="2"/>
    <s v="Inactive"/>
    <s v="2024-08-10"/>
    <n v="75834.81"/>
    <s v="alice.garcia@example.com"/>
    <s v="8354116596"/>
    <x v="1"/>
    <x v="0"/>
  </r>
  <r>
    <s v="EMP1708"/>
    <s v="Eva"/>
    <s v="Garcia"/>
    <s v=""/>
    <x v="3"/>
    <x v="2"/>
    <s v="Active"/>
    <s v="2024-09-04"/>
    <n v="71273.320000000007"/>
    <s v="eva.garcia@example.com"/>
    <s v="2634755751"/>
    <x v="2"/>
    <x v="1"/>
  </r>
  <r>
    <s v="EMP1709"/>
    <s v="Bob"/>
    <s v="Garcia"/>
    <n v="25"/>
    <x v="0"/>
    <x v="4"/>
    <s v="Pending"/>
    <s v="2022-02-28"/>
    <n v="63262.23"/>
    <s v="bob.garcia@example.com"/>
    <s v="2501394883"/>
    <x v="2"/>
    <x v="1"/>
  </r>
  <r>
    <s v="EMP1710"/>
    <s v="David"/>
    <s v="Davis"/>
    <s v=""/>
    <x v="0"/>
    <x v="4"/>
    <s v="Pending"/>
    <s v="2024-03-14"/>
    <n v="89069.91"/>
    <s v="david.davis@example.com"/>
    <s v="8826913118"/>
    <x v="2"/>
    <x v="1"/>
  </r>
  <r>
    <s v="EMP1711"/>
    <s v="Frank"/>
    <s v="Johnson"/>
    <n v="40"/>
    <x v="0"/>
    <x v="2"/>
    <s v="Inactive"/>
    <s v="2024-12-13"/>
    <n v="57287.17"/>
    <s v="frank.johnson@example.com"/>
    <s v="6425856260"/>
    <x v="0"/>
    <x v="0"/>
  </r>
  <r>
    <s v="EMP1712"/>
    <s v="Grace"/>
    <s v="Smith"/>
    <s v=""/>
    <x v="5"/>
    <x v="2"/>
    <s v="Active"/>
    <s v="2022-12-29"/>
    <n v="119890.35"/>
    <s v="grace.smith@example.com"/>
    <s v="4991537037"/>
    <x v="0"/>
    <x v="0"/>
  </r>
  <r>
    <s v="EMP1713"/>
    <s v="Frank"/>
    <s v="Brown"/>
    <n v="35"/>
    <x v="4"/>
    <x v="0"/>
    <s v="Inactive"/>
    <s v="2022-04-24"/>
    <n v="103492.91"/>
    <s v="frank.brown@example.com"/>
    <s v="2407333372"/>
    <x v="3"/>
    <x v="1"/>
  </r>
  <r>
    <s v="EMP1714"/>
    <s v="Frank"/>
    <s v="Garcia"/>
    <s v=""/>
    <x v="2"/>
    <x v="5"/>
    <s v="Pending"/>
    <s v="2021-03-14"/>
    <n v="76254.42"/>
    <s v="frank.garcia@example.com"/>
    <s v="2043097767"/>
    <x v="1"/>
    <x v="1"/>
  </r>
  <r>
    <s v="EMP1715"/>
    <s v="Eva"/>
    <s v="Garcia"/>
    <n v="35"/>
    <x v="1"/>
    <x v="3"/>
    <s v="Inactive"/>
    <s v="2020-01-01"/>
    <n v="100841.93"/>
    <s v="eva.garcia@example.com"/>
    <s v="8936289695"/>
    <x v="3"/>
    <x v="0"/>
  </r>
  <r>
    <s v="EMP1716"/>
    <s v="Alice"/>
    <s v="Williams"/>
    <s v=""/>
    <x v="2"/>
    <x v="0"/>
    <s v="Active"/>
    <s v="2021-09-07"/>
    <n v="118907.61"/>
    <s v="alice.williams@example.com"/>
    <s v="4546553584"/>
    <x v="1"/>
    <x v="0"/>
  </r>
  <r>
    <s v="EMP1717"/>
    <s v="Frank"/>
    <s v="Brown"/>
    <n v="25"/>
    <x v="0"/>
    <x v="0"/>
    <s v="Pending"/>
    <s v="2022-11-13"/>
    <n v="88942.62"/>
    <s v="frank.brown@example.com"/>
    <s v="1253892186"/>
    <x v="0"/>
    <x v="1"/>
  </r>
  <r>
    <s v="EMP1718"/>
    <s v="Charlie"/>
    <s v="Garcia"/>
    <n v="25"/>
    <x v="3"/>
    <x v="3"/>
    <s v="Inactive"/>
    <s v="2020-11-15"/>
    <n v="59688.57"/>
    <s v="charlie.garcia@example.com"/>
    <s v="8519358373"/>
    <x v="0"/>
    <x v="1"/>
  </r>
  <r>
    <s v="EMP1719"/>
    <s v="David"/>
    <s v="Brown"/>
    <n v="30"/>
    <x v="5"/>
    <x v="0"/>
    <s v="Active"/>
    <s v="2023-03-14"/>
    <n v="77985.88"/>
    <s v="david.brown@example.com"/>
    <s v="9079779611"/>
    <x v="0"/>
    <x v="0"/>
  </r>
  <r>
    <s v="EMP1720"/>
    <s v="Bob"/>
    <s v="Johnson"/>
    <n v="35"/>
    <x v="1"/>
    <x v="4"/>
    <s v="Inactive"/>
    <s v="2024-08-18"/>
    <n v="112931.69"/>
    <s v="bob.johnson@example.com"/>
    <s v="878057214"/>
    <x v="3"/>
    <x v="1"/>
  </r>
  <r>
    <s v="EMP1721"/>
    <s v="Bob"/>
    <s v="Williams"/>
    <s v=""/>
    <x v="0"/>
    <x v="0"/>
    <s v="Active"/>
    <s v="2024-02-05"/>
    <n v="106583.88"/>
    <s v="bob.williams@example.com"/>
    <s v="1494097625"/>
    <x v="2"/>
    <x v="0"/>
  </r>
  <r>
    <s v="EMP1722"/>
    <s v="Alice"/>
    <s v="Brown"/>
    <n v="35"/>
    <x v="5"/>
    <x v="3"/>
    <s v="Inactive"/>
    <s v="2024-11-12"/>
    <n v="58437.84"/>
    <s v="alice.brown@example.com"/>
    <s v="3748453985"/>
    <x v="2"/>
    <x v="0"/>
  </r>
  <r>
    <s v="EMP1723"/>
    <s v="Alice"/>
    <s v="Smith"/>
    <n v="40"/>
    <x v="3"/>
    <x v="0"/>
    <s v="Pending"/>
    <s v="2020-03-25"/>
    <n v="72352.160000000003"/>
    <s v="alice.smith@example.com"/>
    <s v="2895090590"/>
    <x v="0"/>
    <x v="0"/>
  </r>
  <r>
    <s v="EMP1724"/>
    <s v="Frank"/>
    <s v="Smith"/>
    <s v=""/>
    <x v="0"/>
    <x v="4"/>
    <s v="Active"/>
    <s v="2020-04-13"/>
    <n v="97154.47"/>
    <s v="frank.smith@example.com"/>
    <s v="1918623391"/>
    <x v="2"/>
    <x v="0"/>
  </r>
  <r>
    <s v="EMP1725"/>
    <s v="Heidi"/>
    <s v="Jones"/>
    <s v=""/>
    <x v="4"/>
    <x v="5"/>
    <s v="Active"/>
    <s v="2021-03-30"/>
    <n v="80235.5"/>
    <s v="heidi.jones@example.com"/>
    <s v="2071511695"/>
    <x v="2"/>
    <x v="1"/>
  </r>
  <r>
    <s v="EMP1726"/>
    <s v="Charlie"/>
    <s v="Williams"/>
    <n v="30"/>
    <x v="5"/>
    <x v="1"/>
    <s v="Inactive"/>
    <s v="2023-03-16"/>
    <n v="102172.05"/>
    <s v="charlie.williams@example.com"/>
    <s v="6672521451"/>
    <x v="3"/>
    <x v="1"/>
  </r>
  <r>
    <s v="EMP1727"/>
    <s v="Eva"/>
    <s v="Williams"/>
    <n v="25"/>
    <x v="1"/>
    <x v="5"/>
    <s v="Inactive"/>
    <s v="2024-05-03"/>
    <n v="98850.94"/>
    <s v="eva.williams@example.com"/>
    <s v="6471246334"/>
    <x v="1"/>
    <x v="0"/>
  </r>
  <r>
    <s v="EMP1728"/>
    <s v="Heidi"/>
    <s v="Jones"/>
    <s v=""/>
    <x v="2"/>
    <x v="3"/>
    <s v="Inactive"/>
    <s v="2023-08-28"/>
    <n v="89993.15"/>
    <s v="heidi.jones@example.com"/>
    <s v="1571840907"/>
    <x v="0"/>
    <x v="0"/>
  </r>
  <r>
    <s v="EMP1729"/>
    <s v="David"/>
    <s v="Brown"/>
    <n v="30"/>
    <x v="3"/>
    <x v="0"/>
    <s v="Inactive"/>
    <s v="2021-10-24"/>
    <n v="97931.66"/>
    <s v="david.brown@example.com"/>
    <s v="512080055"/>
    <x v="0"/>
    <x v="0"/>
  </r>
  <r>
    <s v="EMP1730"/>
    <s v="Bob"/>
    <s v="Williams"/>
    <n v="40"/>
    <x v="1"/>
    <x v="0"/>
    <s v="Inactive"/>
    <s v="2021-01-25"/>
    <n v="72451.69"/>
    <s v="bob.williams@example.com"/>
    <s v="4099512396"/>
    <x v="3"/>
    <x v="0"/>
  </r>
  <r>
    <s v="EMP1731"/>
    <s v="Alice"/>
    <s v="Smith"/>
    <n v="35"/>
    <x v="2"/>
    <x v="0"/>
    <s v="Pending"/>
    <s v="2024-08-09"/>
    <n v="119311.14"/>
    <s v="alice.smith@example.com"/>
    <s v="2835129591"/>
    <x v="3"/>
    <x v="0"/>
  </r>
  <r>
    <s v="EMP1732"/>
    <s v="Charlie"/>
    <s v="Smith"/>
    <n v="40"/>
    <x v="3"/>
    <x v="4"/>
    <s v="Active"/>
    <s v="2023-11-04"/>
    <n v="76167.460000000006"/>
    <s v="charlie.smith@example.com"/>
    <s v="7282709080"/>
    <x v="2"/>
    <x v="1"/>
  </r>
  <r>
    <s v="EMP1733"/>
    <s v="Bob"/>
    <s v="Garcia"/>
    <n v="25"/>
    <x v="0"/>
    <x v="1"/>
    <s v="Active"/>
    <s v="2023-06-25"/>
    <n v="114871.08"/>
    <s v="bob.garcia@example.com"/>
    <s v="4415298216"/>
    <x v="0"/>
    <x v="1"/>
  </r>
  <r>
    <s v="EMP1734"/>
    <s v="Eva"/>
    <s v="Johnson"/>
    <n v="25"/>
    <x v="5"/>
    <x v="2"/>
    <s v="Active"/>
    <s v="2021-09-16"/>
    <n v="81504.31"/>
    <s v="eva.johnson@example.com"/>
    <s v="3929578670"/>
    <x v="1"/>
    <x v="1"/>
  </r>
  <r>
    <s v="EMP1735"/>
    <s v="David"/>
    <s v="Williams"/>
    <s v=""/>
    <x v="2"/>
    <x v="4"/>
    <s v="Pending"/>
    <s v="2022-12-07"/>
    <n v="102524.86"/>
    <s v="david.williams@example.com"/>
    <s v="8153523735"/>
    <x v="3"/>
    <x v="1"/>
  </r>
  <r>
    <s v="EMP1736"/>
    <s v="Charlie"/>
    <s v="Brown"/>
    <n v="25"/>
    <x v="1"/>
    <x v="5"/>
    <s v="Pending"/>
    <s v="2022-12-14"/>
    <n v="53043.74"/>
    <s v="charlie.brown@example.com"/>
    <s v="507918157"/>
    <x v="1"/>
    <x v="0"/>
  </r>
  <r>
    <s v="EMP1737"/>
    <s v="Eva"/>
    <s v="Jones"/>
    <n v="30"/>
    <x v="0"/>
    <x v="5"/>
    <s v="Inactive"/>
    <s v="2020-04-18"/>
    <n v="82547.259999999995"/>
    <s v="eva.jones@example.com"/>
    <s v="9988683451"/>
    <x v="1"/>
    <x v="0"/>
  </r>
  <r>
    <s v="EMP1738"/>
    <s v="Bob"/>
    <s v="Jones"/>
    <n v="40"/>
    <x v="0"/>
    <x v="0"/>
    <s v="Pending"/>
    <s v="2024-10-11"/>
    <n v="113900.81"/>
    <s v="bob.jones@example.com"/>
    <s v="7346666169"/>
    <x v="0"/>
    <x v="0"/>
  </r>
  <r>
    <s v="EMP1739"/>
    <s v="Bob"/>
    <s v="Brown"/>
    <n v="25"/>
    <x v="5"/>
    <x v="2"/>
    <s v="Inactive"/>
    <s v="2021-04-18"/>
    <n v="118585.5"/>
    <s v="bob.brown@example.com"/>
    <s v="7158796473"/>
    <x v="0"/>
    <x v="0"/>
  </r>
  <r>
    <s v="EMP1740"/>
    <s v="Bob"/>
    <s v="Davis"/>
    <n v="35"/>
    <x v="1"/>
    <x v="5"/>
    <s v="Pending"/>
    <s v="2020-06-29"/>
    <n v="63049.22"/>
    <s v="bob.davis@example.com"/>
    <s v="803149981"/>
    <x v="3"/>
    <x v="0"/>
  </r>
  <r>
    <s v="EMP1741"/>
    <s v="Heidi"/>
    <s v="Miller"/>
    <s v=""/>
    <x v="0"/>
    <x v="1"/>
    <s v="Active"/>
    <s v="2021-05-21"/>
    <n v="114558.91"/>
    <s v="heidi.miller@example.com"/>
    <s v="5080046357"/>
    <x v="0"/>
    <x v="1"/>
  </r>
  <r>
    <s v="EMP1742"/>
    <s v="Heidi"/>
    <s v="Johnson"/>
    <n v="40"/>
    <x v="0"/>
    <x v="4"/>
    <s v="Active"/>
    <s v="2021-12-11"/>
    <n v="97901.79"/>
    <s v="heidi.johnson@example.com"/>
    <s v="688285030"/>
    <x v="0"/>
    <x v="0"/>
  </r>
  <r>
    <s v="EMP1743"/>
    <s v="Eva"/>
    <s v="Jones"/>
    <n v="30"/>
    <x v="4"/>
    <x v="0"/>
    <s v="Active"/>
    <s v="2023-07-05"/>
    <n v="68037.56"/>
    <s v="eva.jones@example.com"/>
    <s v="7235137398"/>
    <x v="0"/>
    <x v="1"/>
  </r>
  <r>
    <s v="EMP1744"/>
    <s v="Alice"/>
    <s v="Williams"/>
    <s v=""/>
    <x v="5"/>
    <x v="4"/>
    <s v="Active"/>
    <s v="2021-11-30"/>
    <n v="112802.27"/>
    <s v="alice.williams@example.com"/>
    <s v="63140351"/>
    <x v="1"/>
    <x v="1"/>
  </r>
  <r>
    <s v="EMP1745"/>
    <s v="Bob"/>
    <s v="Johnson"/>
    <n v="40"/>
    <x v="4"/>
    <x v="2"/>
    <s v="Pending"/>
    <s v="2024-11-22"/>
    <n v="93786.72"/>
    <s v="bob.johnson@example.com"/>
    <s v="6356022938"/>
    <x v="3"/>
    <x v="1"/>
  </r>
  <r>
    <s v="EMP1746"/>
    <s v="David"/>
    <s v="Williams"/>
    <s v=""/>
    <x v="2"/>
    <x v="3"/>
    <s v="Inactive"/>
    <s v="2023-05-24"/>
    <n v="73049.929999999993"/>
    <s v="david.williams@example.com"/>
    <s v="4694346065"/>
    <x v="2"/>
    <x v="1"/>
  </r>
  <r>
    <s v="EMP1747"/>
    <s v="David"/>
    <s v="Davis"/>
    <n v="30"/>
    <x v="4"/>
    <x v="5"/>
    <s v="Pending"/>
    <s v="2024-06-26"/>
    <n v="64161.72"/>
    <s v="david.davis@example.com"/>
    <s v="6437490606"/>
    <x v="1"/>
    <x v="0"/>
  </r>
  <r>
    <s v="EMP1748"/>
    <s v="Charlie"/>
    <s v="Smith"/>
    <n v="40"/>
    <x v="2"/>
    <x v="2"/>
    <s v="Pending"/>
    <s v="2020-11-19"/>
    <n v="72224.73"/>
    <s v="charlie.smith@example.com"/>
    <s v="2311127127"/>
    <x v="0"/>
    <x v="1"/>
  </r>
  <r>
    <s v="EMP1749"/>
    <s v="Bob"/>
    <s v="Johnson"/>
    <n v="30"/>
    <x v="5"/>
    <x v="4"/>
    <s v="Pending"/>
    <s v="2020-03-01"/>
    <n v="103580.45"/>
    <s v="bob.johnson@example.com"/>
    <s v="5246484493"/>
    <x v="1"/>
    <x v="1"/>
  </r>
  <r>
    <s v="EMP1750"/>
    <s v="Grace"/>
    <s v="Garcia"/>
    <n v="40"/>
    <x v="5"/>
    <x v="3"/>
    <s v="Pending"/>
    <s v="2024-08-09"/>
    <n v="112589.11"/>
    <s v="grace.garcia@example.com"/>
    <s v="1163187327"/>
    <x v="0"/>
    <x v="1"/>
  </r>
  <r>
    <s v="EMP1751"/>
    <s v="Eva"/>
    <s v="Jones"/>
    <n v="30"/>
    <x v="2"/>
    <x v="1"/>
    <s v="Active"/>
    <s v="2021-01-13"/>
    <n v="51833.88"/>
    <s v="eva.jones@example.com"/>
    <s v="771130620"/>
    <x v="0"/>
    <x v="0"/>
  </r>
  <r>
    <s v="EMP1752"/>
    <s v="Eva"/>
    <s v="Johnson"/>
    <s v=""/>
    <x v="4"/>
    <x v="5"/>
    <s v="Active"/>
    <s v="2023-05-06"/>
    <n v="66252.78"/>
    <s v="eva.johnson@example.com"/>
    <s v="1369572789"/>
    <x v="1"/>
    <x v="0"/>
  </r>
  <r>
    <s v="EMP1753"/>
    <s v="Frank"/>
    <s v="Johnson"/>
    <n v="25"/>
    <x v="0"/>
    <x v="3"/>
    <s v="Active"/>
    <s v="2022-10-25"/>
    <n v="109229.68"/>
    <s v="frank.johnson@example.com"/>
    <s v="8335090253"/>
    <x v="3"/>
    <x v="0"/>
  </r>
  <r>
    <s v="EMP1754"/>
    <s v="Frank"/>
    <s v="Johnson"/>
    <n v="30"/>
    <x v="1"/>
    <x v="3"/>
    <s v="Inactive"/>
    <s v="2020-10-08"/>
    <n v="61465.05"/>
    <s v="frank.johnson@example.com"/>
    <s v="2573066247"/>
    <x v="0"/>
    <x v="1"/>
  </r>
  <r>
    <s v="EMP1755"/>
    <s v="Grace"/>
    <s v="Miller"/>
    <n v="25"/>
    <x v="5"/>
    <x v="3"/>
    <s v="Active"/>
    <s v="2024-02-29"/>
    <n v="96993.74"/>
    <s v="grace.miller@example.com"/>
    <s v="1323570712"/>
    <x v="3"/>
    <x v="1"/>
  </r>
  <r>
    <s v="EMP1756"/>
    <s v="David"/>
    <s v="Johnson"/>
    <n v="25"/>
    <x v="2"/>
    <x v="3"/>
    <s v="Pending"/>
    <s v="2022-09-30"/>
    <n v="98150.39"/>
    <s v="david.johnson@example.com"/>
    <s v="9848228500"/>
    <x v="2"/>
    <x v="0"/>
  </r>
  <r>
    <s v="EMP1757"/>
    <s v="David"/>
    <s v="Williams"/>
    <n v="40"/>
    <x v="1"/>
    <x v="1"/>
    <s v="Pending"/>
    <s v="2024-02-14"/>
    <n v="107703"/>
    <s v="david.williams@example.com"/>
    <s v="1688092549"/>
    <x v="0"/>
    <x v="1"/>
  </r>
  <r>
    <s v="EMP1758"/>
    <s v="Grace"/>
    <s v="Smith"/>
    <s v=""/>
    <x v="0"/>
    <x v="5"/>
    <s v="Pending"/>
    <s v="2023-01-03"/>
    <n v="86766.14"/>
    <s v="grace.smith@example.com"/>
    <s v="2130609068"/>
    <x v="3"/>
    <x v="0"/>
  </r>
  <r>
    <s v="EMP1759"/>
    <s v="Alice"/>
    <s v="Davis"/>
    <s v=""/>
    <x v="3"/>
    <x v="3"/>
    <s v="Inactive"/>
    <s v="2024-08-20"/>
    <n v="111443.69"/>
    <s v="alice.davis@example.com"/>
    <s v="1309810795"/>
    <x v="3"/>
    <x v="0"/>
  </r>
  <r>
    <s v="EMP1760"/>
    <s v="David"/>
    <s v="Brown"/>
    <s v=""/>
    <x v="4"/>
    <x v="3"/>
    <s v="Pending"/>
    <s v="2020-03-21"/>
    <n v="89039.07"/>
    <s v="david.brown@example.com"/>
    <s v="4967379456"/>
    <x v="2"/>
    <x v="1"/>
  </r>
  <r>
    <s v="EMP1761"/>
    <s v="Alice"/>
    <s v="Johnson"/>
    <n v="30"/>
    <x v="5"/>
    <x v="3"/>
    <s v="Inactive"/>
    <s v="2024-12-16"/>
    <n v="71318.789999999994"/>
    <s v="alice.johnson@example.com"/>
    <s v="7278532425"/>
    <x v="3"/>
    <x v="1"/>
  </r>
  <r>
    <s v="EMP1762"/>
    <s v="Heidi"/>
    <s v="Jones"/>
    <n v="30"/>
    <x v="1"/>
    <x v="0"/>
    <s v="Pending"/>
    <s v="2020-04-21"/>
    <n v="98296.71"/>
    <s v="heidi.jones@example.com"/>
    <s v="4250642075"/>
    <x v="3"/>
    <x v="1"/>
  </r>
  <r>
    <s v="EMP1763"/>
    <s v="Heidi"/>
    <s v="Johnson"/>
    <n v="40"/>
    <x v="3"/>
    <x v="2"/>
    <s v="Pending"/>
    <s v="2020-08-19"/>
    <n v="62584"/>
    <s v="heidi.johnson@example.com"/>
    <s v="8362536666"/>
    <x v="2"/>
    <x v="1"/>
  </r>
  <r>
    <s v="EMP1764"/>
    <s v="Charlie"/>
    <s v="Jones"/>
    <n v="40"/>
    <x v="1"/>
    <x v="0"/>
    <s v="Inactive"/>
    <s v="2020-02-21"/>
    <n v="62521.5"/>
    <s v="charlie.jones@example.com"/>
    <s v="7767555627"/>
    <x v="0"/>
    <x v="0"/>
  </r>
  <r>
    <s v="EMP1765"/>
    <s v="David"/>
    <s v="Williams"/>
    <n v="40"/>
    <x v="3"/>
    <x v="0"/>
    <s v="Inactive"/>
    <s v="2023-11-17"/>
    <n v="95400.35"/>
    <s v="david.williams@example.com"/>
    <s v="3333939577"/>
    <x v="3"/>
    <x v="0"/>
  </r>
  <r>
    <s v="EMP1766"/>
    <s v="Charlie"/>
    <s v="Jones"/>
    <n v="25"/>
    <x v="3"/>
    <x v="1"/>
    <s v="Pending"/>
    <s v="2022-07-09"/>
    <n v="94385.07"/>
    <s v="charlie.jones@example.com"/>
    <s v="6543627186"/>
    <x v="3"/>
    <x v="0"/>
  </r>
  <r>
    <s v="EMP1767"/>
    <s v="Grace"/>
    <s v="Garcia"/>
    <s v=""/>
    <x v="4"/>
    <x v="4"/>
    <s v="Inactive"/>
    <s v="2023-02-01"/>
    <n v="76642.490000000005"/>
    <s v="grace.garcia@example.com"/>
    <s v="4960335825"/>
    <x v="3"/>
    <x v="0"/>
  </r>
  <r>
    <s v="EMP1768"/>
    <s v="Frank"/>
    <s v="Brown"/>
    <s v=""/>
    <x v="0"/>
    <x v="4"/>
    <s v="Active"/>
    <s v="2024-11-14"/>
    <n v="60122.52"/>
    <s v="frank.brown@example.com"/>
    <s v="8627036923"/>
    <x v="1"/>
    <x v="0"/>
  </r>
  <r>
    <s v="EMP1769"/>
    <s v="Alice"/>
    <s v="Smith"/>
    <n v="40"/>
    <x v="5"/>
    <x v="0"/>
    <s v="Pending"/>
    <s v="2024-04-23"/>
    <n v="117267.63"/>
    <s v="alice.smith@example.com"/>
    <s v="9269326572"/>
    <x v="2"/>
    <x v="1"/>
  </r>
  <r>
    <s v="EMP1770"/>
    <s v="Charlie"/>
    <s v="Jones"/>
    <n v="25"/>
    <x v="2"/>
    <x v="4"/>
    <s v="Active"/>
    <s v="2023-06-29"/>
    <s v=""/>
    <s v="charlie.jones@example.com"/>
    <s v="2759980110"/>
    <x v="1"/>
    <x v="0"/>
  </r>
  <r>
    <s v="EMP1771"/>
    <s v="Heidi"/>
    <s v="Jones"/>
    <n v="40"/>
    <x v="4"/>
    <x v="1"/>
    <s v="Pending"/>
    <s v="2024-12-12"/>
    <n v="84542.68"/>
    <s v="heidi.jones@example.com"/>
    <s v="5155322"/>
    <x v="2"/>
    <x v="0"/>
  </r>
  <r>
    <s v="EMP1772"/>
    <s v="Heidi"/>
    <s v="Smith"/>
    <n v="40"/>
    <x v="1"/>
    <x v="3"/>
    <s v="Active"/>
    <s v="2023-05-16"/>
    <n v="92007.15"/>
    <s v="heidi.smith@example.com"/>
    <s v="4159597751"/>
    <x v="0"/>
    <x v="0"/>
  </r>
  <r>
    <s v="EMP1773"/>
    <s v="Eva"/>
    <s v="Brown"/>
    <s v=""/>
    <x v="0"/>
    <x v="5"/>
    <s v="Active"/>
    <s v="2020-04-10"/>
    <n v="62938.8"/>
    <s v="eva.brown@example.com"/>
    <s v="4418222617"/>
    <x v="0"/>
    <x v="1"/>
  </r>
  <r>
    <s v="EMP1774"/>
    <s v="Frank"/>
    <s v="Johnson"/>
    <n v="25"/>
    <x v="2"/>
    <x v="1"/>
    <s v="Pending"/>
    <s v="2023-03-29"/>
    <n v="108661.01"/>
    <s v="frank.johnson@example.com"/>
    <s v="9628874311"/>
    <x v="3"/>
    <x v="1"/>
  </r>
  <r>
    <s v="EMP1775"/>
    <s v="Bob"/>
    <s v="Jones"/>
    <n v="25"/>
    <x v="3"/>
    <x v="3"/>
    <s v="Active"/>
    <s v="2020-11-26"/>
    <n v="97046.33"/>
    <s v="bob.jones@example.com"/>
    <s v="7102676719"/>
    <x v="2"/>
    <x v="1"/>
  </r>
  <r>
    <s v="EMP1776"/>
    <s v="Charlie"/>
    <s v="Smith"/>
    <n v="40"/>
    <x v="0"/>
    <x v="5"/>
    <s v="Inactive"/>
    <s v="2020-03-14"/>
    <n v="56518.84"/>
    <s v="charlie.smith@example.com"/>
    <s v="9579927078"/>
    <x v="0"/>
    <x v="1"/>
  </r>
  <r>
    <s v="EMP1777"/>
    <s v="Frank"/>
    <s v="Garcia"/>
    <n v="40"/>
    <x v="3"/>
    <x v="3"/>
    <s v="Pending"/>
    <s v="2020-05-12"/>
    <n v="70498.289999999994"/>
    <s v="frank.garcia@example.com"/>
    <s v="5515122945"/>
    <x v="2"/>
    <x v="0"/>
  </r>
  <r>
    <s v="EMP1778"/>
    <s v="Eva"/>
    <s v="Garcia"/>
    <n v="35"/>
    <x v="4"/>
    <x v="3"/>
    <s v="Pending"/>
    <s v="2021-03-05"/>
    <n v="98708.06"/>
    <s v="eva.garcia@example.com"/>
    <s v="2135415969"/>
    <x v="0"/>
    <x v="0"/>
  </r>
  <r>
    <s v="EMP1779"/>
    <s v="Bob"/>
    <s v="Williams"/>
    <s v=""/>
    <x v="0"/>
    <x v="2"/>
    <s v="Pending"/>
    <s v="2020-06-28"/>
    <n v="83856.41"/>
    <s v="bob.williams@example.com"/>
    <s v="9962543847"/>
    <x v="1"/>
    <x v="1"/>
  </r>
  <r>
    <s v="EMP1780"/>
    <s v="Eva"/>
    <s v="Smith"/>
    <n v="40"/>
    <x v="4"/>
    <x v="0"/>
    <s v="Inactive"/>
    <s v="2022-12-12"/>
    <n v="90259.99"/>
    <s v="eva.smith@example.com"/>
    <s v="752034475"/>
    <x v="0"/>
    <x v="1"/>
  </r>
  <r>
    <s v="EMP1781"/>
    <s v="Charlie"/>
    <s v="Williams"/>
    <s v=""/>
    <x v="4"/>
    <x v="3"/>
    <s v="Pending"/>
    <s v="2024-02-02"/>
    <n v="94230.03"/>
    <s v="charlie.williams@example.com"/>
    <s v="5047158028"/>
    <x v="1"/>
    <x v="0"/>
  </r>
  <r>
    <s v="EMP1782"/>
    <s v="Charlie"/>
    <s v="Garcia"/>
    <s v=""/>
    <x v="2"/>
    <x v="2"/>
    <s v="Inactive"/>
    <s v="2021-01-31"/>
    <n v="50110.66"/>
    <s v="charlie.garcia@example.com"/>
    <s v="904637659"/>
    <x v="0"/>
    <x v="0"/>
  </r>
  <r>
    <s v="EMP1783"/>
    <s v="Bob"/>
    <s v="Brown"/>
    <n v="30"/>
    <x v="4"/>
    <x v="3"/>
    <s v="Inactive"/>
    <s v="2020-04-03"/>
    <n v="73365.460000000006"/>
    <s v="bob.brown@example.com"/>
    <s v="4655866524"/>
    <x v="3"/>
    <x v="1"/>
  </r>
  <r>
    <s v="EMP1784"/>
    <s v="David"/>
    <s v="Johnson"/>
    <n v="25"/>
    <x v="0"/>
    <x v="4"/>
    <s v="Pending"/>
    <s v="2021-07-30"/>
    <n v="67809.23"/>
    <s v="david.johnson@example.com"/>
    <s v="4837441714"/>
    <x v="1"/>
    <x v="1"/>
  </r>
  <r>
    <s v="EMP1785"/>
    <s v="Eva"/>
    <s v="Smith"/>
    <s v=""/>
    <x v="4"/>
    <x v="0"/>
    <s v="Active"/>
    <s v="2020-08-21"/>
    <n v="98008.51"/>
    <s v="eva.smith@example.com"/>
    <s v="8102131250"/>
    <x v="0"/>
    <x v="1"/>
  </r>
  <r>
    <s v="EMP1786"/>
    <s v="Alice"/>
    <s v="Davis"/>
    <n v="30"/>
    <x v="2"/>
    <x v="0"/>
    <s v="Inactive"/>
    <s v="2023-10-09"/>
    <n v="83537.58"/>
    <s v="alice.davis@example.com"/>
    <s v="2931100590"/>
    <x v="3"/>
    <x v="1"/>
  </r>
  <r>
    <s v="EMP1787"/>
    <s v="Alice"/>
    <s v="Garcia"/>
    <n v="30"/>
    <x v="1"/>
    <x v="4"/>
    <s v="Pending"/>
    <s v="2022-08-01"/>
    <n v="112444.08"/>
    <s v="alice.garcia@example.com"/>
    <s v="2975191022"/>
    <x v="1"/>
    <x v="0"/>
  </r>
  <r>
    <s v="EMP1788"/>
    <s v="Frank"/>
    <s v="Garcia"/>
    <n v="40"/>
    <x v="1"/>
    <x v="2"/>
    <s v="Active"/>
    <s v="2024-09-06"/>
    <n v="86475.13"/>
    <s v="frank.garcia@example.com"/>
    <s v="1211063300"/>
    <x v="3"/>
    <x v="0"/>
  </r>
  <r>
    <s v="EMP1789"/>
    <s v="Frank"/>
    <s v="Davis"/>
    <s v=""/>
    <x v="4"/>
    <x v="1"/>
    <s v="Active"/>
    <s v="2023-03-28"/>
    <n v="97984.53"/>
    <s v="frank.davis@example.com"/>
    <s v="6583737926"/>
    <x v="2"/>
    <x v="0"/>
  </r>
  <r>
    <s v="EMP1790"/>
    <s v="Frank"/>
    <s v="Miller"/>
    <n v="25"/>
    <x v="2"/>
    <x v="0"/>
    <s v="Active"/>
    <s v="2021-11-25"/>
    <n v="118853.31"/>
    <s v="frank.miller@example.com"/>
    <s v="4907280122"/>
    <x v="2"/>
    <x v="1"/>
  </r>
  <r>
    <s v="EMP1791"/>
    <s v="Charlie"/>
    <s v="Garcia"/>
    <s v=""/>
    <x v="4"/>
    <x v="3"/>
    <s v="Active"/>
    <s v="2023-05-03"/>
    <n v="58179.12"/>
    <s v="charlie.garcia@example.com"/>
    <s v="4289311324"/>
    <x v="1"/>
    <x v="1"/>
  </r>
  <r>
    <s v="EMP1792"/>
    <s v="Eva"/>
    <s v="Jones"/>
    <n v="35"/>
    <x v="0"/>
    <x v="1"/>
    <s v="Inactive"/>
    <s v="2022-04-27"/>
    <n v="56075.839999999997"/>
    <s v="eva.jones@example.com"/>
    <s v="3269496842"/>
    <x v="0"/>
    <x v="0"/>
  </r>
  <r>
    <s v="EMP1793"/>
    <s v="Frank"/>
    <s v="Brown"/>
    <n v="40"/>
    <x v="5"/>
    <x v="4"/>
    <s v="Pending"/>
    <s v="2021-09-11"/>
    <n v="62250.89"/>
    <s v="frank.brown@example.com"/>
    <s v="6453804420"/>
    <x v="1"/>
    <x v="0"/>
  </r>
  <r>
    <s v="EMP1794"/>
    <s v="Alice"/>
    <s v="Smith"/>
    <n v="30"/>
    <x v="3"/>
    <x v="3"/>
    <s v="Pending"/>
    <s v="2020-02-21"/>
    <n v="105931.77"/>
    <s v="alice.smith@example.com"/>
    <s v="175096169"/>
    <x v="3"/>
    <x v="0"/>
  </r>
  <r>
    <s v="EMP1795"/>
    <s v="Charlie"/>
    <s v="Davis"/>
    <n v="30"/>
    <x v="5"/>
    <x v="3"/>
    <s v="Pending"/>
    <s v="2024-11-24"/>
    <n v="86653.96"/>
    <s v="charlie.davis@example.com"/>
    <s v="1595919456"/>
    <x v="0"/>
    <x v="0"/>
  </r>
  <r>
    <s v="EMP1796"/>
    <s v="Charlie"/>
    <s v="Jones"/>
    <n v="25"/>
    <x v="4"/>
    <x v="2"/>
    <s v="Active"/>
    <s v="2021-02-24"/>
    <n v="100719.94"/>
    <s v="charlie.jones@example.com"/>
    <s v="5757475832"/>
    <x v="2"/>
    <x v="1"/>
  </r>
  <r>
    <s v="EMP1797"/>
    <s v="Bob"/>
    <s v="Davis"/>
    <n v="25"/>
    <x v="5"/>
    <x v="1"/>
    <s v="Pending"/>
    <s v="2024-10-02"/>
    <n v="91600.13"/>
    <s v="bob.davis@example.com"/>
    <s v="9205677566"/>
    <x v="0"/>
    <x v="0"/>
  </r>
  <r>
    <s v="EMP1798"/>
    <s v="Heidi"/>
    <s v="Smith"/>
    <n v="25"/>
    <x v="3"/>
    <x v="5"/>
    <s v="Pending"/>
    <s v="2024-03-06"/>
    <n v="71873.66"/>
    <s v="heidi.smith@example.com"/>
    <s v="7722660255"/>
    <x v="2"/>
    <x v="0"/>
  </r>
  <r>
    <s v="EMP1799"/>
    <s v="Eva"/>
    <s v="Williams"/>
    <n v="30"/>
    <x v="5"/>
    <x v="4"/>
    <s v="Active"/>
    <s v="2021-08-09"/>
    <n v="69365.47"/>
    <s v="eva.williams@example.com"/>
    <s v="2650622922"/>
    <x v="0"/>
    <x v="0"/>
  </r>
  <r>
    <s v="EMP1800"/>
    <s v="Heidi"/>
    <s v="Smith"/>
    <n v="25"/>
    <x v="5"/>
    <x v="4"/>
    <s v="Active"/>
    <s v="2021-07-14"/>
    <n v="58012.23"/>
    <s v="heidi.smith@example.com"/>
    <s v="1067245306"/>
    <x v="0"/>
    <x v="0"/>
  </r>
  <r>
    <s v="EMP1801"/>
    <s v="Bob"/>
    <s v="Miller"/>
    <n v="30"/>
    <x v="4"/>
    <x v="0"/>
    <s v="Pending"/>
    <s v="2021-10-14"/>
    <n v="68973.649999999994"/>
    <s v="bob.miller@example.com"/>
    <s v="6248433796"/>
    <x v="0"/>
    <x v="0"/>
  </r>
  <r>
    <s v="EMP1802"/>
    <s v="Eva"/>
    <s v="Smith"/>
    <s v=""/>
    <x v="2"/>
    <x v="4"/>
    <s v="Active"/>
    <s v="2021-09-29"/>
    <n v="92928.4"/>
    <s v="eva.smith@example.com"/>
    <s v="6627051156"/>
    <x v="3"/>
    <x v="0"/>
  </r>
  <r>
    <s v="EMP1803"/>
    <s v="Heidi"/>
    <s v="Smith"/>
    <n v="25"/>
    <x v="2"/>
    <x v="1"/>
    <s v="Inactive"/>
    <s v="2023-10-15"/>
    <n v="53531.92"/>
    <s v="heidi.smith@example.com"/>
    <s v="9423873669"/>
    <x v="3"/>
    <x v="0"/>
  </r>
  <r>
    <s v="EMP1804"/>
    <s v="Bob"/>
    <s v="Miller"/>
    <n v="40"/>
    <x v="1"/>
    <x v="4"/>
    <s v="Pending"/>
    <s v="2023-05-05"/>
    <n v="112389.31"/>
    <s v="bob.miller@example.com"/>
    <s v="4254969191"/>
    <x v="1"/>
    <x v="1"/>
  </r>
  <r>
    <s v="EMP1805"/>
    <s v="Heidi"/>
    <s v="Brown"/>
    <s v=""/>
    <x v="5"/>
    <x v="0"/>
    <s v="Inactive"/>
    <s v="2024-08-01"/>
    <n v="63870.3"/>
    <s v="heidi.brown@example.com"/>
    <s v="8455259709"/>
    <x v="1"/>
    <x v="1"/>
  </r>
  <r>
    <s v="EMP1806"/>
    <s v="Bob"/>
    <s v="Garcia"/>
    <n v="40"/>
    <x v="4"/>
    <x v="4"/>
    <s v="Active"/>
    <s v="2024-07-22"/>
    <n v="106164.53"/>
    <s v="bob.garcia@example.com"/>
    <s v="7563353573"/>
    <x v="2"/>
    <x v="1"/>
  </r>
  <r>
    <s v="EMP1807"/>
    <s v="Bob"/>
    <s v="Smith"/>
    <n v="40"/>
    <x v="5"/>
    <x v="2"/>
    <s v="Pending"/>
    <s v="2023-12-25"/>
    <n v="103654.54"/>
    <s v="bob.smith@example.com"/>
    <s v="8595325938"/>
    <x v="3"/>
    <x v="1"/>
  </r>
  <r>
    <s v="EMP1808"/>
    <s v="David"/>
    <s v="Miller"/>
    <n v="30"/>
    <x v="4"/>
    <x v="0"/>
    <s v="Inactive"/>
    <s v="2022-03-13"/>
    <n v="62834.720000000001"/>
    <s v="david.miller@example.com"/>
    <s v="9337970580"/>
    <x v="2"/>
    <x v="0"/>
  </r>
  <r>
    <s v="EMP1809"/>
    <s v="Frank"/>
    <s v="Jones"/>
    <n v="35"/>
    <x v="1"/>
    <x v="3"/>
    <s v="Active"/>
    <s v="2020-05-13"/>
    <n v="83273.41"/>
    <s v="frank.jones@example.com"/>
    <s v="6295187793"/>
    <x v="1"/>
    <x v="1"/>
  </r>
  <r>
    <s v="EMP1810"/>
    <s v="Heidi"/>
    <s v="Williams"/>
    <n v="30"/>
    <x v="5"/>
    <x v="0"/>
    <s v="Pending"/>
    <s v="2023-03-22"/>
    <n v="58917.58"/>
    <s v="heidi.williams@example.com"/>
    <s v="1763425072"/>
    <x v="2"/>
    <x v="1"/>
  </r>
  <r>
    <s v="EMP1811"/>
    <s v="Bob"/>
    <s v="Williams"/>
    <n v="35"/>
    <x v="4"/>
    <x v="2"/>
    <s v="Active"/>
    <s v="2024-06-10"/>
    <n v="71148.27"/>
    <s v="bob.williams@example.com"/>
    <s v="3055978244"/>
    <x v="1"/>
    <x v="0"/>
  </r>
  <r>
    <s v="EMP1812"/>
    <s v="Grace"/>
    <s v="Smith"/>
    <n v="30"/>
    <x v="4"/>
    <x v="4"/>
    <s v="Pending"/>
    <s v="2020-11-21"/>
    <n v="118172.42"/>
    <s v="grace.smith@example.com"/>
    <s v="7598339913"/>
    <x v="3"/>
    <x v="0"/>
  </r>
  <r>
    <s v="EMP1813"/>
    <s v="Frank"/>
    <s v="Brown"/>
    <n v="30"/>
    <x v="0"/>
    <x v="5"/>
    <s v="Inactive"/>
    <s v="2024-05-25"/>
    <n v="118614.37"/>
    <s v="frank.brown@example.com"/>
    <s v="388436603"/>
    <x v="0"/>
    <x v="1"/>
  </r>
  <r>
    <s v="EMP1814"/>
    <s v="Frank"/>
    <s v="Brown"/>
    <s v=""/>
    <x v="0"/>
    <x v="4"/>
    <s v="Active"/>
    <s v="2023-09-19"/>
    <n v="96872.36"/>
    <s v="frank.brown@example.com"/>
    <s v="4324006156"/>
    <x v="3"/>
    <x v="1"/>
  </r>
  <r>
    <s v="EMP1815"/>
    <s v="Heidi"/>
    <s v="Jones"/>
    <n v="25"/>
    <x v="4"/>
    <x v="5"/>
    <s v="Inactive"/>
    <s v="2021-10-28"/>
    <n v="88856.14"/>
    <s v="heidi.jones@example.com"/>
    <s v="2768297513"/>
    <x v="2"/>
    <x v="0"/>
  </r>
  <r>
    <s v="EMP1816"/>
    <s v="Charlie"/>
    <s v="Smith"/>
    <n v="35"/>
    <x v="1"/>
    <x v="1"/>
    <s v="Pending"/>
    <s v="2020-08-10"/>
    <n v="97985.61"/>
    <s v="charlie.smith@example.com"/>
    <s v="7439742924"/>
    <x v="2"/>
    <x v="1"/>
  </r>
  <r>
    <s v="EMP1817"/>
    <s v="Grace"/>
    <s v="Williams"/>
    <n v="35"/>
    <x v="1"/>
    <x v="2"/>
    <s v="Pending"/>
    <s v="2020-05-05"/>
    <n v="56337.31"/>
    <s v="grace.williams@example.com"/>
    <s v="105875255"/>
    <x v="3"/>
    <x v="0"/>
  </r>
  <r>
    <s v="EMP1818"/>
    <s v="Alice"/>
    <s v="Brown"/>
    <n v="30"/>
    <x v="0"/>
    <x v="4"/>
    <s v="Inactive"/>
    <s v="2022-12-24"/>
    <n v="70405.23"/>
    <s v="alice.brown@example.com"/>
    <s v="8065625903"/>
    <x v="3"/>
    <x v="0"/>
  </r>
  <r>
    <s v="EMP1819"/>
    <s v="Heidi"/>
    <s v="Smith"/>
    <n v="30"/>
    <x v="2"/>
    <x v="2"/>
    <s v="Inactive"/>
    <s v="2021-09-05"/>
    <n v="89919.35"/>
    <s v="heidi.smith@example.com"/>
    <s v="5990802710"/>
    <x v="1"/>
    <x v="0"/>
  </r>
  <r>
    <s v="EMP1820"/>
    <s v="Eva"/>
    <s v="Davis"/>
    <n v="40"/>
    <x v="0"/>
    <x v="0"/>
    <s v="Active"/>
    <s v="2023-04-08"/>
    <n v="50568.35"/>
    <s v="eva.davis@example.com"/>
    <s v="2218231554"/>
    <x v="2"/>
    <x v="0"/>
  </r>
  <r>
    <s v="EMP1821"/>
    <s v="Grace"/>
    <s v="Brown"/>
    <n v="30"/>
    <x v="5"/>
    <x v="1"/>
    <s v="Inactive"/>
    <s v="2023-01-29"/>
    <s v=""/>
    <s v="grace.brown@example.com"/>
    <s v="1651768085"/>
    <x v="2"/>
    <x v="1"/>
  </r>
  <r>
    <s v="EMP1822"/>
    <s v="Frank"/>
    <s v="Miller"/>
    <n v="25"/>
    <x v="5"/>
    <x v="1"/>
    <s v="Active"/>
    <s v="2022-06-03"/>
    <n v="99155.53"/>
    <s v="frank.miller@example.com"/>
    <s v="6281372142"/>
    <x v="3"/>
    <x v="0"/>
  </r>
  <r>
    <s v="EMP1823"/>
    <s v="Frank"/>
    <s v="Davis"/>
    <n v="40"/>
    <x v="1"/>
    <x v="3"/>
    <s v="Inactive"/>
    <s v="2023-01-21"/>
    <n v="64785.13"/>
    <s v="frank.davis@example.com"/>
    <s v="3080037002"/>
    <x v="0"/>
    <x v="0"/>
  </r>
  <r>
    <s v="EMP1824"/>
    <s v="Charlie"/>
    <s v="Garcia"/>
    <n v="30"/>
    <x v="4"/>
    <x v="3"/>
    <s v="Inactive"/>
    <s v="2024-09-16"/>
    <n v="79206.48"/>
    <s v="charlie.garcia@example.com"/>
    <s v="3228556607"/>
    <x v="2"/>
    <x v="1"/>
  </r>
  <r>
    <s v="EMP1825"/>
    <s v="Charlie"/>
    <s v="Brown"/>
    <n v="30"/>
    <x v="3"/>
    <x v="1"/>
    <s v="Pending"/>
    <s v="2020-02-02"/>
    <n v="60079.71"/>
    <s v="charlie.brown@example.com"/>
    <s v="4706810389"/>
    <x v="0"/>
    <x v="0"/>
  </r>
  <r>
    <s v="EMP1826"/>
    <s v="Grace"/>
    <s v="Williams"/>
    <n v="30"/>
    <x v="3"/>
    <x v="4"/>
    <s v="Pending"/>
    <s v="2024-07-08"/>
    <n v="79109.88"/>
    <s v="grace.williams@example.com"/>
    <s v="3397051957"/>
    <x v="3"/>
    <x v="1"/>
  </r>
  <r>
    <s v="EMP1827"/>
    <s v="Grace"/>
    <s v="Johnson"/>
    <s v=""/>
    <x v="2"/>
    <x v="3"/>
    <s v="Pending"/>
    <s v="2022-05-18"/>
    <n v="88643.5"/>
    <s v="grace.johnson@example.com"/>
    <s v="2632809447"/>
    <x v="3"/>
    <x v="1"/>
  </r>
  <r>
    <s v="EMP1828"/>
    <s v="Frank"/>
    <s v="Davis"/>
    <n v="30"/>
    <x v="2"/>
    <x v="3"/>
    <s v="Pending"/>
    <s v="2020-01-16"/>
    <n v="90455.7"/>
    <s v="frank.davis@example.com"/>
    <s v="5862394534"/>
    <x v="1"/>
    <x v="1"/>
  </r>
  <r>
    <s v="EMP1829"/>
    <s v="David"/>
    <s v="Garcia"/>
    <s v=""/>
    <x v="5"/>
    <x v="3"/>
    <s v="Pending"/>
    <s v="2023-03-26"/>
    <n v="75687.899999999994"/>
    <s v="david.garcia@example.com"/>
    <s v="4614707985"/>
    <x v="2"/>
    <x v="0"/>
  </r>
  <r>
    <s v="EMP1830"/>
    <s v="Heidi"/>
    <s v="Jones"/>
    <n v="35"/>
    <x v="3"/>
    <x v="5"/>
    <s v="Inactive"/>
    <s v="2023-11-15"/>
    <n v="55604.42"/>
    <s v="heidi.jones@example.com"/>
    <s v="3210613393"/>
    <x v="0"/>
    <x v="1"/>
  </r>
  <r>
    <s v="EMP1831"/>
    <s v="Eva"/>
    <s v="Jones"/>
    <n v="40"/>
    <x v="4"/>
    <x v="1"/>
    <s v="Pending"/>
    <s v="2024-12-27"/>
    <n v="92704.94"/>
    <s v="eva.jones@example.com"/>
    <s v="3945703942"/>
    <x v="1"/>
    <x v="1"/>
  </r>
  <r>
    <s v="EMP1832"/>
    <s v="Bob"/>
    <s v="Williams"/>
    <s v=""/>
    <x v="4"/>
    <x v="0"/>
    <s v="Pending"/>
    <s v="2020-04-18"/>
    <n v="113250.97"/>
    <s v="bob.williams@example.com"/>
    <s v="8040325375"/>
    <x v="2"/>
    <x v="0"/>
  </r>
  <r>
    <s v="EMP1833"/>
    <s v="Alice"/>
    <s v="Brown"/>
    <n v="40"/>
    <x v="1"/>
    <x v="5"/>
    <s v="Inactive"/>
    <s v="2023-03-21"/>
    <n v="101367.02"/>
    <s v="alice.brown@example.com"/>
    <s v="5769277893"/>
    <x v="1"/>
    <x v="1"/>
  </r>
  <r>
    <s v="EMP1834"/>
    <s v="Eva"/>
    <s v="Smith"/>
    <n v="35"/>
    <x v="2"/>
    <x v="1"/>
    <s v="Pending"/>
    <s v="2023-05-08"/>
    <n v="102459.77"/>
    <s v="eva.smith@example.com"/>
    <s v="3191009003"/>
    <x v="3"/>
    <x v="1"/>
  </r>
  <r>
    <s v="EMP1835"/>
    <s v="Eva"/>
    <s v="Brown"/>
    <n v="25"/>
    <x v="0"/>
    <x v="3"/>
    <s v="Pending"/>
    <s v="2020-12-12"/>
    <n v="90100.2"/>
    <s v="eva.brown@example.com"/>
    <s v="476921052"/>
    <x v="2"/>
    <x v="1"/>
  </r>
  <r>
    <s v="EMP1836"/>
    <s v="Eva"/>
    <s v="Williams"/>
    <s v=""/>
    <x v="3"/>
    <x v="0"/>
    <s v="Inactive"/>
    <s v="2020-06-17"/>
    <n v="58877.49"/>
    <s v="eva.williams@example.com"/>
    <s v="3651460400"/>
    <x v="1"/>
    <x v="1"/>
  </r>
  <r>
    <s v="EMP1837"/>
    <s v="Eva"/>
    <s v="Jones"/>
    <n v="35"/>
    <x v="2"/>
    <x v="5"/>
    <s v="Inactive"/>
    <s v="2021-07-17"/>
    <s v=""/>
    <s v="eva.jones@example.com"/>
    <s v="4247310719"/>
    <x v="1"/>
    <x v="1"/>
  </r>
  <r>
    <s v="EMP1838"/>
    <s v="Bob"/>
    <s v="Brown"/>
    <s v=""/>
    <x v="2"/>
    <x v="5"/>
    <s v="Pending"/>
    <s v="2020-11-05"/>
    <n v="96140.89"/>
    <s v="bob.brown@example.com"/>
    <s v="1137984408"/>
    <x v="0"/>
    <x v="0"/>
  </r>
  <r>
    <s v="EMP1839"/>
    <s v="Charlie"/>
    <s v="Jones"/>
    <n v="35"/>
    <x v="0"/>
    <x v="4"/>
    <s v="Inactive"/>
    <s v="2021-01-05"/>
    <n v="105956.04"/>
    <s v="charlie.jones@example.com"/>
    <s v="7123166006"/>
    <x v="1"/>
    <x v="1"/>
  </r>
  <r>
    <s v="EMP1840"/>
    <s v="Frank"/>
    <s v="Davis"/>
    <n v="25"/>
    <x v="2"/>
    <x v="5"/>
    <s v="Active"/>
    <s v="2024-09-11"/>
    <n v="84716.38"/>
    <s v="frank.davis@example.com"/>
    <s v="6762090143"/>
    <x v="2"/>
    <x v="1"/>
  </r>
  <r>
    <s v="EMP1841"/>
    <s v="Grace"/>
    <s v="Garcia"/>
    <n v="30"/>
    <x v="0"/>
    <x v="3"/>
    <s v="Pending"/>
    <s v="2023-07-29"/>
    <n v="61709.83"/>
    <s v="grace.garcia@example.com"/>
    <s v="7340433699"/>
    <x v="2"/>
    <x v="0"/>
  </r>
  <r>
    <s v="EMP1842"/>
    <s v="Frank"/>
    <s v="Smith"/>
    <n v="25"/>
    <x v="0"/>
    <x v="0"/>
    <s v="Active"/>
    <s v="2020-04-17"/>
    <n v="61732.03"/>
    <s v="frank.smith@example.com"/>
    <s v="9687304518"/>
    <x v="0"/>
    <x v="0"/>
  </r>
  <r>
    <s v="EMP1843"/>
    <s v="Eva"/>
    <s v="Davis"/>
    <n v="40"/>
    <x v="0"/>
    <x v="5"/>
    <s v="Active"/>
    <s v="2022-02-16"/>
    <n v="97845.7"/>
    <s v="eva.davis@example.com"/>
    <s v="5778255881"/>
    <x v="2"/>
    <x v="0"/>
  </r>
  <r>
    <s v="EMP1844"/>
    <s v="Eva"/>
    <s v="Jones"/>
    <n v="30"/>
    <x v="4"/>
    <x v="3"/>
    <s v="Active"/>
    <s v="2021-08-14"/>
    <n v="114905.58"/>
    <s v="eva.jones@example.com"/>
    <s v="5562965753"/>
    <x v="3"/>
    <x v="1"/>
  </r>
  <r>
    <s v="EMP1845"/>
    <s v="Frank"/>
    <s v="Jones"/>
    <s v=""/>
    <x v="0"/>
    <x v="1"/>
    <s v="Active"/>
    <s v="2022-12-24"/>
    <n v="94619.69"/>
    <s v="frank.jones@example.com"/>
    <s v="2786561941"/>
    <x v="2"/>
    <x v="0"/>
  </r>
  <r>
    <s v="EMP1846"/>
    <s v="Grace"/>
    <s v="Johnson"/>
    <s v=""/>
    <x v="0"/>
    <x v="0"/>
    <s v="Inactive"/>
    <s v="2021-07-07"/>
    <n v="68696.149999999994"/>
    <s v="grace.johnson@example.com"/>
    <s v="5577820581"/>
    <x v="2"/>
    <x v="1"/>
  </r>
  <r>
    <s v="EMP1847"/>
    <s v="Grace"/>
    <s v="Johnson"/>
    <n v="40"/>
    <x v="0"/>
    <x v="2"/>
    <s v="Active"/>
    <s v="2024-02-12"/>
    <n v="97032.29"/>
    <s v="grace.johnson@example.com"/>
    <s v="9582923615"/>
    <x v="1"/>
    <x v="1"/>
  </r>
  <r>
    <s v="EMP1848"/>
    <s v="Frank"/>
    <s v="Davis"/>
    <n v="30"/>
    <x v="5"/>
    <x v="5"/>
    <s v="Active"/>
    <s v="2023-10-09"/>
    <n v="50593.33"/>
    <s v="frank.davis@example.com"/>
    <s v="1880819047"/>
    <x v="1"/>
    <x v="0"/>
  </r>
  <r>
    <s v="EMP1849"/>
    <s v="Grace"/>
    <s v="Miller"/>
    <n v="25"/>
    <x v="4"/>
    <x v="1"/>
    <s v="Pending"/>
    <s v="2022-07-02"/>
    <n v="74606.149999999994"/>
    <s v="grace.miller@example.com"/>
    <s v="2357155867"/>
    <x v="2"/>
    <x v="0"/>
  </r>
  <r>
    <s v="EMP1850"/>
    <s v="Eva"/>
    <s v="Davis"/>
    <n v="30"/>
    <x v="3"/>
    <x v="1"/>
    <s v="Pending"/>
    <s v="2020-07-07"/>
    <n v="53981.73"/>
    <s v="eva.davis@example.com"/>
    <s v="6395613722"/>
    <x v="0"/>
    <x v="1"/>
  </r>
  <r>
    <s v="EMP1851"/>
    <s v="David"/>
    <s v="Johnson"/>
    <s v=""/>
    <x v="0"/>
    <x v="1"/>
    <s v="Pending"/>
    <s v="2020-09-02"/>
    <n v="56047.05"/>
    <s v="david.johnson@example.com"/>
    <s v="817214363"/>
    <x v="1"/>
    <x v="0"/>
  </r>
  <r>
    <s v="EMP1852"/>
    <s v="Grace"/>
    <s v="Jones"/>
    <s v=""/>
    <x v="2"/>
    <x v="1"/>
    <s v="Pending"/>
    <s v="2021-01-12"/>
    <n v="67733.5"/>
    <s v="grace.jones@example.com"/>
    <s v="3813000412"/>
    <x v="0"/>
    <x v="1"/>
  </r>
  <r>
    <s v="EMP1853"/>
    <s v="Bob"/>
    <s v="Williams"/>
    <n v="40"/>
    <x v="5"/>
    <x v="3"/>
    <s v="Pending"/>
    <s v="2023-09-29"/>
    <n v="103891.64"/>
    <s v="bob.williams@example.com"/>
    <s v="2114716559"/>
    <x v="2"/>
    <x v="0"/>
  </r>
  <r>
    <s v="EMP1854"/>
    <s v="Charlie"/>
    <s v="Davis"/>
    <n v="25"/>
    <x v="5"/>
    <x v="1"/>
    <s v="Inactive"/>
    <s v="2022-03-06"/>
    <n v="73285.83"/>
    <s v="charlie.davis@example.com"/>
    <s v="9456534698"/>
    <x v="2"/>
    <x v="0"/>
  </r>
  <r>
    <s v="EMP1855"/>
    <s v="Eva"/>
    <s v="Jones"/>
    <n v="30"/>
    <x v="1"/>
    <x v="1"/>
    <s v="Inactive"/>
    <s v="2021-02-14"/>
    <n v="92721.13"/>
    <s v="eva.jones@example.com"/>
    <s v="7990707549"/>
    <x v="3"/>
    <x v="0"/>
  </r>
  <r>
    <s v="EMP1856"/>
    <s v="Heidi"/>
    <s v="Williams"/>
    <n v="25"/>
    <x v="2"/>
    <x v="5"/>
    <s v="Inactive"/>
    <s v="2021-03-23"/>
    <n v="92977.64"/>
    <s v="heidi.williams@example.com"/>
    <s v="4768169956"/>
    <x v="1"/>
    <x v="1"/>
  </r>
  <r>
    <s v="EMP1857"/>
    <s v="Heidi"/>
    <s v="Williams"/>
    <n v="35"/>
    <x v="3"/>
    <x v="1"/>
    <s v="Active"/>
    <s v="2020-05-24"/>
    <n v="89994.12"/>
    <s v="heidi.williams@example.com"/>
    <s v="607174810"/>
    <x v="2"/>
    <x v="0"/>
  </r>
  <r>
    <s v="EMP1858"/>
    <s v="Heidi"/>
    <s v="Johnson"/>
    <n v="25"/>
    <x v="1"/>
    <x v="4"/>
    <s v="Pending"/>
    <s v="2023-08-04"/>
    <n v="50060.73"/>
    <s v="heidi.johnson@example.com"/>
    <s v="3176539704"/>
    <x v="3"/>
    <x v="1"/>
  </r>
  <r>
    <s v="EMP1859"/>
    <s v="Grace"/>
    <s v="Davis"/>
    <n v="35"/>
    <x v="2"/>
    <x v="2"/>
    <s v="Inactive"/>
    <s v="2022-03-12"/>
    <n v="90224.82"/>
    <s v="grace.davis@example.com"/>
    <s v="4873961028"/>
    <x v="1"/>
    <x v="1"/>
  </r>
  <r>
    <s v="EMP1860"/>
    <s v="Heidi"/>
    <s v="Brown"/>
    <n v="40"/>
    <x v="1"/>
    <x v="3"/>
    <s v="Pending"/>
    <s v="2024-05-18"/>
    <n v="106859.3"/>
    <s v="heidi.brown@example.com"/>
    <s v="871827495"/>
    <x v="2"/>
    <x v="1"/>
  </r>
  <r>
    <s v="EMP1861"/>
    <s v="David"/>
    <s v="Smith"/>
    <n v="25"/>
    <x v="1"/>
    <x v="2"/>
    <s v="Inactive"/>
    <s v="2020-09-05"/>
    <n v="89707.07"/>
    <s v="david.smith@example.com"/>
    <s v="8049187273"/>
    <x v="2"/>
    <x v="1"/>
  </r>
  <r>
    <s v="EMP1862"/>
    <s v="Frank"/>
    <s v="Johnson"/>
    <n v="35"/>
    <x v="0"/>
    <x v="0"/>
    <s v="Inactive"/>
    <s v="2020-04-23"/>
    <n v="94259.08"/>
    <s v="frank.johnson@example.com"/>
    <s v="2049561212"/>
    <x v="1"/>
    <x v="0"/>
  </r>
  <r>
    <s v="EMP1863"/>
    <s v="Bob"/>
    <s v="Johnson"/>
    <n v="35"/>
    <x v="4"/>
    <x v="0"/>
    <s v="Active"/>
    <s v="2024-09-18"/>
    <n v="82174.75"/>
    <s v="bob.johnson@example.com"/>
    <s v="7730626041"/>
    <x v="1"/>
    <x v="1"/>
  </r>
  <r>
    <s v="EMP1864"/>
    <s v="David"/>
    <s v="Brown"/>
    <n v="30"/>
    <x v="4"/>
    <x v="1"/>
    <s v="Inactive"/>
    <s v="2023-09-15"/>
    <n v="63370.22"/>
    <s v="david.brown@example.com"/>
    <s v="3597371121"/>
    <x v="1"/>
    <x v="1"/>
  </r>
  <r>
    <s v="EMP1865"/>
    <s v="Bob"/>
    <s v="Smith"/>
    <n v="35"/>
    <x v="1"/>
    <x v="1"/>
    <s v="Pending"/>
    <s v="2022-06-15"/>
    <n v="101472.69"/>
    <s v="bob.smith@example.com"/>
    <s v="2990775607"/>
    <x v="2"/>
    <x v="0"/>
  </r>
  <r>
    <s v="EMP1866"/>
    <s v="David"/>
    <s v="Jones"/>
    <n v="25"/>
    <x v="0"/>
    <x v="5"/>
    <s v="Active"/>
    <s v="2022-09-28"/>
    <n v="77213.73"/>
    <s v="david.jones@example.com"/>
    <s v="5816704685"/>
    <x v="2"/>
    <x v="1"/>
  </r>
  <r>
    <s v="EMP1867"/>
    <s v="Eva"/>
    <s v="Miller"/>
    <n v="40"/>
    <x v="4"/>
    <x v="3"/>
    <s v="Active"/>
    <s v="2020-03-16"/>
    <n v="73749.960000000006"/>
    <s v="eva.miller@example.com"/>
    <s v="1114576831"/>
    <x v="3"/>
    <x v="0"/>
  </r>
  <r>
    <s v="EMP1868"/>
    <s v="Alice"/>
    <s v="Davis"/>
    <n v="40"/>
    <x v="3"/>
    <x v="4"/>
    <s v="Pending"/>
    <s v="2023-09-28"/>
    <n v="86618.37"/>
    <s v="alice.davis@example.com"/>
    <s v="1021923784"/>
    <x v="0"/>
    <x v="1"/>
  </r>
  <r>
    <s v="EMP1869"/>
    <s v="Charlie"/>
    <s v="Miller"/>
    <s v=""/>
    <x v="2"/>
    <x v="1"/>
    <s v="Active"/>
    <s v="2024-02-15"/>
    <n v="59911.33"/>
    <s v="charlie.miller@example.com"/>
    <s v="8471296179"/>
    <x v="1"/>
    <x v="0"/>
  </r>
  <r>
    <s v="EMP1870"/>
    <s v="Heidi"/>
    <s v="Jones"/>
    <s v=""/>
    <x v="3"/>
    <x v="4"/>
    <s v="Pending"/>
    <s v="2023-08-21"/>
    <n v="59137.64"/>
    <s v="heidi.jones@example.com"/>
    <s v="3324260507"/>
    <x v="2"/>
    <x v="1"/>
  </r>
  <r>
    <s v="EMP1871"/>
    <s v="Alice"/>
    <s v="Garcia"/>
    <n v="35"/>
    <x v="3"/>
    <x v="3"/>
    <s v="Pending"/>
    <s v="2020-12-15"/>
    <n v="108474.65"/>
    <s v="alice.garcia@example.com"/>
    <s v="184980424"/>
    <x v="2"/>
    <x v="0"/>
  </r>
  <r>
    <s v="EMP1872"/>
    <s v="Bob"/>
    <s v="Johnson"/>
    <n v="25"/>
    <x v="1"/>
    <x v="5"/>
    <s v="Pending"/>
    <s v="2021-03-27"/>
    <n v="54417.71"/>
    <s v="bob.johnson@example.com"/>
    <s v="3733777311"/>
    <x v="1"/>
    <x v="1"/>
  </r>
  <r>
    <s v="EMP1873"/>
    <s v="Frank"/>
    <s v="Smith"/>
    <n v="40"/>
    <x v="5"/>
    <x v="1"/>
    <s v="Pending"/>
    <s v="2023-03-25"/>
    <n v="88211.94"/>
    <s v="frank.smith@example.com"/>
    <s v="6881228216"/>
    <x v="0"/>
    <x v="1"/>
  </r>
  <r>
    <s v="EMP1874"/>
    <s v="David"/>
    <s v="Johnson"/>
    <n v="25"/>
    <x v="4"/>
    <x v="4"/>
    <s v="Inactive"/>
    <s v="2020-05-09"/>
    <n v="58452.18"/>
    <s v="david.johnson@example.com"/>
    <s v="8192365345"/>
    <x v="1"/>
    <x v="0"/>
  </r>
  <r>
    <s v="EMP1875"/>
    <s v="Grace"/>
    <s v="Williams"/>
    <n v="30"/>
    <x v="0"/>
    <x v="0"/>
    <s v="Pending"/>
    <s v="2020-12-03"/>
    <n v="80706.28"/>
    <s v="grace.williams@example.com"/>
    <s v="605603566"/>
    <x v="0"/>
    <x v="0"/>
  </r>
  <r>
    <s v="EMP1876"/>
    <s v="Alice"/>
    <s v="Johnson"/>
    <n v="30"/>
    <x v="3"/>
    <x v="2"/>
    <s v="Pending"/>
    <s v="2022-02-09"/>
    <s v=""/>
    <s v="alice.johnson@example.com"/>
    <s v="9327986238"/>
    <x v="2"/>
    <x v="0"/>
  </r>
  <r>
    <s v="EMP1877"/>
    <s v="Heidi"/>
    <s v="Johnson"/>
    <n v="25"/>
    <x v="3"/>
    <x v="1"/>
    <s v="Active"/>
    <s v="2020-07-01"/>
    <n v="99471.89"/>
    <s v="heidi.johnson@example.com"/>
    <s v="8471690617"/>
    <x v="0"/>
    <x v="0"/>
  </r>
  <r>
    <s v="EMP1878"/>
    <s v="Eva"/>
    <s v="Jones"/>
    <n v="40"/>
    <x v="0"/>
    <x v="3"/>
    <s v="Pending"/>
    <s v="2020-09-16"/>
    <n v="64431.22"/>
    <s v="eva.jones@example.com"/>
    <s v="1205464753"/>
    <x v="3"/>
    <x v="1"/>
  </r>
  <r>
    <s v="EMP1879"/>
    <s v="Heidi"/>
    <s v="Jones"/>
    <n v="40"/>
    <x v="2"/>
    <x v="4"/>
    <s v="Pending"/>
    <s v="2023-11-17"/>
    <n v="52633.48"/>
    <s v="heidi.jones@example.com"/>
    <s v="8954787697"/>
    <x v="2"/>
    <x v="1"/>
  </r>
  <r>
    <s v="EMP1880"/>
    <s v="Heidi"/>
    <s v="Jones"/>
    <s v=""/>
    <x v="3"/>
    <x v="2"/>
    <s v="Inactive"/>
    <s v="2021-12-13"/>
    <n v="79315.009999999995"/>
    <s v="heidi.jones@example.com"/>
    <s v="9992751757"/>
    <x v="3"/>
    <x v="0"/>
  </r>
  <r>
    <s v="EMP1881"/>
    <s v="David"/>
    <s v="Miller"/>
    <n v="25"/>
    <x v="4"/>
    <x v="1"/>
    <s v="Pending"/>
    <s v="2022-01-11"/>
    <n v="110391.17"/>
    <s v="david.miller@example.com"/>
    <s v="8914444982"/>
    <x v="1"/>
    <x v="1"/>
  </r>
  <r>
    <s v="EMP1882"/>
    <s v="David"/>
    <s v="Williams"/>
    <n v="40"/>
    <x v="0"/>
    <x v="2"/>
    <s v="Active"/>
    <s v="2021-07-20"/>
    <n v="53714.83"/>
    <s v="david.williams@example.com"/>
    <s v="5539354357"/>
    <x v="1"/>
    <x v="0"/>
  </r>
  <r>
    <s v="EMP1883"/>
    <s v="Charlie"/>
    <s v="Garcia"/>
    <n v="40"/>
    <x v="1"/>
    <x v="4"/>
    <s v="Active"/>
    <s v="2023-10-04"/>
    <n v="114587.11"/>
    <s v="charlie.garcia@example.com"/>
    <s v="6449639242"/>
    <x v="1"/>
    <x v="0"/>
  </r>
  <r>
    <s v="EMP1884"/>
    <s v="Frank"/>
    <s v="Garcia"/>
    <n v="35"/>
    <x v="2"/>
    <x v="3"/>
    <s v="Inactive"/>
    <s v="2021-11-15"/>
    <n v="93177.35"/>
    <s v="frank.garcia@example.com"/>
    <s v="5885379820"/>
    <x v="0"/>
    <x v="1"/>
  </r>
  <r>
    <s v="EMP1885"/>
    <s v="Heidi"/>
    <s v="Jones"/>
    <n v="25"/>
    <x v="3"/>
    <x v="2"/>
    <s v="Active"/>
    <s v="2023-01-05"/>
    <n v="62312.13"/>
    <s v="heidi.jones@example.com"/>
    <s v="4339527535"/>
    <x v="2"/>
    <x v="1"/>
  </r>
  <r>
    <s v="EMP1886"/>
    <s v="Heidi"/>
    <s v="Smith"/>
    <s v=""/>
    <x v="3"/>
    <x v="1"/>
    <s v="Active"/>
    <s v="2024-01-17"/>
    <n v="81137.460000000006"/>
    <s v="heidi.smith@example.com"/>
    <s v="7497852490"/>
    <x v="1"/>
    <x v="1"/>
  </r>
  <r>
    <s v="EMP1887"/>
    <s v="Grace"/>
    <s v="Miller"/>
    <n v="30"/>
    <x v="0"/>
    <x v="2"/>
    <s v="Inactive"/>
    <s v="2021-04-16"/>
    <n v="104528.27"/>
    <s v="grace.miller@example.com"/>
    <s v="4168601346"/>
    <x v="1"/>
    <x v="1"/>
  </r>
  <r>
    <s v="EMP1888"/>
    <s v="Bob"/>
    <s v="Brown"/>
    <n v="30"/>
    <x v="0"/>
    <x v="3"/>
    <s v="Active"/>
    <s v="2022-02-08"/>
    <n v="112395.56"/>
    <s v="bob.brown@example.com"/>
    <s v="7894896339"/>
    <x v="2"/>
    <x v="1"/>
  </r>
  <r>
    <s v="EMP1889"/>
    <s v="Heidi"/>
    <s v="Smith"/>
    <n v="25"/>
    <x v="1"/>
    <x v="4"/>
    <s v="Active"/>
    <s v="2023-06-02"/>
    <n v="81849.36"/>
    <s v="heidi.smith@example.com"/>
    <s v="6791766511"/>
    <x v="1"/>
    <x v="1"/>
  </r>
  <r>
    <s v="EMP1890"/>
    <s v="Charlie"/>
    <s v="Davis"/>
    <n v="40"/>
    <x v="0"/>
    <x v="4"/>
    <s v="Pending"/>
    <s v="2022-01-04"/>
    <n v="118288.91"/>
    <s v="charlie.davis@example.com"/>
    <s v="2150014187"/>
    <x v="3"/>
    <x v="1"/>
  </r>
  <r>
    <s v="EMP1891"/>
    <s v="Charlie"/>
    <s v="Davis"/>
    <n v="25"/>
    <x v="0"/>
    <x v="5"/>
    <s v="Active"/>
    <s v="2021-07-28"/>
    <n v="59555.1"/>
    <s v="charlie.davis@example.com"/>
    <s v="4216309000"/>
    <x v="2"/>
    <x v="0"/>
  </r>
  <r>
    <s v="EMP1892"/>
    <s v="Heidi"/>
    <s v="Smith"/>
    <n v="40"/>
    <x v="2"/>
    <x v="0"/>
    <s v="Active"/>
    <s v="2024-12-20"/>
    <n v="70661.31"/>
    <s v="heidi.smith@example.com"/>
    <s v="5944633398"/>
    <x v="2"/>
    <x v="0"/>
  </r>
  <r>
    <s v="EMP1893"/>
    <s v="Charlie"/>
    <s v="Jones"/>
    <s v=""/>
    <x v="4"/>
    <x v="4"/>
    <s v="Active"/>
    <s v="2022-04-23"/>
    <n v="109988.16"/>
    <s v="charlie.jones@example.com"/>
    <s v="9485320894"/>
    <x v="2"/>
    <x v="0"/>
  </r>
  <r>
    <s v="EMP1894"/>
    <s v="David"/>
    <s v="Brown"/>
    <s v=""/>
    <x v="1"/>
    <x v="3"/>
    <s v="Inactive"/>
    <s v="2020-01-30"/>
    <n v="101101.24"/>
    <s v="david.brown@example.com"/>
    <s v="3263890218"/>
    <x v="3"/>
    <x v="0"/>
  </r>
  <r>
    <s v="EMP1895"/>
    <s v="David"/>
    <s v="Brown"/>
    <n v="30"/>
    <x v="5"/>
    <x v="3"/>
    <s v="Pending"/>
    <s v="2021-03-31"/>
    <n v="112427.58"/>
    <s v="david.brown@example.com"/>
    <s v="9471136336"/>
    <x v="2"/>
    <x v="0"/>
  </r>
  <r>
    <s v="EMP1896"/>
    <s v="Charlie"/>
    <s v="Miller"/>
    <s v=""/>
    <x v="3"/>
    <x v="3"/>
    <s v="Active"/>
    <s v="2020-03-23"/>
    <n v="119389.15"/>
    <s v="charlie.miller@example.com"/>
    <s v="9223410345"/>
    <x v="3"/>
    <x v="1"/>
  </r>
  <r>
    <s v="EMP1897"/>
    <s v="Alice"/>
    <s v="Brown"/>
    <n v="40"/>
    <x v="4"/>
    <x v="3"/>
    <s v="Inactive"/>
    <s v="2024-07-16"/>
    <n v="105861.23"/>
    <s v="alice.brown@example.com"/>
    <s v="9967331166"/>
    <x v="2"/>
    <x v="0"/>
  </r>
  <r>
    <s v="EMP1898"/>
    <s v="Heidi"/>
    <s v="Davis"/>
    <n v="40"/>
    <x v="2"/>
    <x v="1"/>
    <s v="Pending"/>
    <s v="2024-03-22"/>
    <n v="50869.61"/>
    <s v="heidi.davis@example.com"/>
    <s v="7269608436"/>
    <x v="0"/>
    <x v="0"/>
  </r>
  <r>
    <s v="EMP1899"/>
    <s v="David"/>
    <s v="Williams"/>
    <n v="30"/>
    <x v="5"/>
    <x v="0"/>
    <s v="Active"/>
    <s v="2023-08-19"/>
    <s v=""/>
    <s v="david.williams@example.com"/>
    <s v="6855078966"/>
    <x v="1"/>
    <x v="0"/>
  </r>
  <r>
    <s v="EMP1900"/>
    <s v="Eva"/>
    <s v="Jones"/>
    <n v="30"/>
    <x v="0"/>
    <x v="3"/>
    <s v="Pending"/>
    <s v="2024-03-10"/>
    <n v="90856.21"/>
    <s v="eva.jones@example.com"/>
    <s v="9352196262"/>
    <x v="0"/>
    <x v="0"/>
  </r>
  <r>
    <s v="EMP1901"/>
    <s v="Heidi"/>
    <s v="Brown"/>
    <n v="30"/>
    <x v="0"/>
    <x v="3"/>
    <s v="Active"/>
    <s v="2024-06-05"/>
    <n v="111008.63"/>
    <s v="heidi.brown@example.com"/>
    <s v="3556434368"/>
    <x v="1"/>
    <x v="0"/>
  </r>
  <r>
    <s v="EMP1902"/>
    <s v="Alice"/>
    <s v="Miller"/>
    <n v="25"/>
    <x v="1"/>
    <x v="2"/>
    <s v="Inactive"/>
    <s v="2022-12-23"/>
    <n v="52289.99"/>
    <s v="alice.miller@example.com"/>
    <s v="7093170694"/>
    <x v="3"/>
    <x v="0"/>
  </r>
  <r>
    <s v="EMP1903"/>
    <s v="Eva"/>
    <s v="Davis"/>
    <s v=""/>
    <x v="4"/>
    <x v="5"/>
    <s v="Active"/>
    <s v="2024-06-01"/>
    <n v="97926.56"/>
    <s v="eva.davis@example.com"/>
    <s v="5607676163"/>
    <x v="0"/>
    <x v="0"/>
  </r>
  <r>
    <s v="EMP1904"/>
    <s v="Frank"/>
    <s v="Williams"/>
    <n v="25"/>
    <x v="4"/>
    <x v="2"/>
    <s v="Inactive"/>
    <s v="2024-12-23"/>
    <n v="53609.38"/>
    <s v="frank.williams@example.com"/>
    <s v="5345472238"/>
    <x v="2"/>
    <x v="1"/>
  </r>
  <r>
    <s v="EMP1905"/>
    <s v="Heidi"/>
    <s v="Johnson"/>
    <s v=""/>
    <x v="3"/>
    <x v="0"/>
    <s v="Inactive"/>
    <s v="2020-12-24"/>
    <n v="95372.09"/>
    <s v="heidi.johnson@example.com"/>
    <s v="8983065030"/>
    <x v="1"/>
    <x v="1"/>
  </r>
  <r>
    <s v="EMP1906"/>
    <s v="David"/>
    <s v="Johnson"/>
    <n v="30"/>
    <x v="5"/>
    <x v="4"/>
    <s v="Pending"/>
    <s v="2020-08-20"/>
    <n v="95432.69"/>
    <s v="david.johnson@example.com"/>
    <s v="2198041846"/>
    <x v="1"/>
    <x v="0"/>
  </r>
  <r>
    <s v="EMP1907"/>
    <s v="David"/>
    <s v="Williams"/>
    <n v="30"/>
    <x v="5"/>
    <x v="0"/>
    <s v="Inactive"/>
    <s v="2022-10-28"/>
    <n v="97615.87"/>
    <s v="david.williams@example.com"/>
    <s v="2426423641"/>
    <x v="0"/>
    <x v="1"/>
  </r>
  <r>
    <s v="EMP1908"/>
    <s v="Bob"/>
    <s v="Davis"/>
    <n v="35"/>
    <x v="5"/>
    <x v="3"/>
    <s v="Inactive"/>
    <s v="2022-10-23"/>
    <n v="86867.78"/>
    <s v="bob.davis@example.com"/>
    <s v="8131909247"/>
    <x v="3"/>
    <x v="1"/>
  </r>
  <r>
    <s v="EMP1909"/>
    <s v="Eva"/>
    <s v="Miller"/>
    <n v="40"/>
    <x v="4"/>
    <x v="0"/>
    <s v="Pending"/>
    <s v="2023-11-20"/>
    <n v="106615.71"/>
    <s v="eva.miller@example.com"/>
    <s v="7623039110"/>
    <x v="0"/>
    <x v="1"/>
  </r>
  <r>
    <s v="EMP1910"/>
    <s v="Bob"/>
    <s v="Williams"/>
    <n v="30"/>
    <x v="1"/>
    <x v="1"/>
    <s v="Active"/>
    <s v="2022-03-11"/>
    <n v="112856.21"/>
    <s v="bob.williams@example.com"/>
    <s v="4281785227"/>
    <x v="3"/>
    <x v="1"/>
  </r>
  <r>
    <s v="EMP1911"/>
    <s v="Bob"/>
    <s v="Jones"/>
    <n v="25"/>
    <x v="2"/>
    <x v="0"/>
    <s v="Active"/>
    <s v="2023-11-28"/>
    <n v="60356.78"/>
    <s v="bob.jones@example.com"/>
    <s v="2305248087"/>
    <x v="3"/>
    <x v="0"/>
  </r>
  <r>
    <s v="EMP1912"/>
    <s v="David"/>
    <s v="Jones"/>
    <s v=""/>
    <x v="0"/>
    <x v="1"/>
    <s v="Inactive"/>
    <s v="2022-05-03"/>
    <n v="117870.22"/>
    <s v="david.jones@example.com"/>
    <s v="622072238"/>
    <x v="1"/>
    <x v="1"/>
  </r>
  <r>
    <s v="EMP1913"/>
    <s v="Charlie"/>
    <s v="Johnson"/>
    <n v="40"/>
    <x v="5"/>
    <x v="3"/>
    <s v="Inactive"/>
    <s v="2024-02-19"/>
    <n v="95127.91"/>
    <s v="charlie.johnson@example.com"/>
    <s v="5947372131"/>
    <x v="0"/>
    <x v="1"/>
  </r>
  <r>
    <s v="EMP1914"/>
    <s v="Bob"/>
    <s v="Brown"/>
    <n v="25"/>
    <x v="2"/>
    <x v="5"/>
    <s v="Pending"/>
    <s v="2021-11-18"/>
    <n v="78818.42"/>
    <s v="bob.brown@example.com"/>
    <s v="9016204786"/>
    <x v="0"/>
    <x v="1"/>
  </r>
  <r>
    <s v="EMP1915"/>
    <s v="Frank"/>
    <s v="Miller"/>
    <n v="40"/>
    <x v="4"/>
    <x v="2"/>
    <s v="Pending"/>
    <s v="2022-12-21"/>
    <n v="108933.55"/>
    <s v="frank.miller@example.com"/>
    <s v="6886878598"/>
    <x v="3"/>
    <x v="0"/>
  </r>
  <r>
    <s v="EMP1916"/>
    <s v="Eva"/>
    <s v="Johnson"/>
    <s v=""/>
    <x v="2"/>
    <x v="0"/>
    <s v="Active"/>
    <s v="2024-06-04"/>
    <n v="68200.52"/>
    <s v="eva.johnson@example.com"/>
    <s v="6486287202"/>
    <x v="0"/>
    <x v="0"/>
  </r>
  <r>
    <s v="EMP1917"/>
    <s v="Eva"/>
    <s v="Brown"/>
    <n v="25"/>
    <x v="2"/>
    <x v="0"/>
    <s v="Inactive"/>
    <s v="2022-07-22"/>
    <n v="116934.97"/>
    <s v="eva.brown@example.com"/>
    <s v="1954196663"/>
    <x v="2"/>
    <x v="0"/>
  </r>
  <r>
    <s v="EMP1918"/>
    <s v="Charlie"/>
    <s v="Brown"/>
    <s v=""/>
    <x v="5"/>
    <x v="4"/>
    <s v="Active"/>
    <s v="2024-09-14"/>
    <n v="99567.78"/>
    <s v="charlie.brown@example.com"/>
    <s v="5057303626"/>
    <x v="2"/>
    <x v="0"/>
  </r>
  <r>
    <s v="EMP1919"/>
    <s v="Charlie"/>
    <s v="Garcia"/>
    <n v="30"/>
    <x v="2"/>
    <x v="1"/>
    <s v="Active"/>
    <s v="2021-10-10"/>
    <n v="90216.76"/>
    <s v="charlie.garcia@example.com"/>
    <s v="9246320373"/>
    <x v="0"/>
    <x v="0"/>
  </r>
  <r>
    <s v="EMP1920"/>
    <s v="Frank"/>
    <s v="Jones"/>
    <n v="30"/>
    <x v="2"/>
    <x v="5"/>
    <s v="Pending"/>
    <s v="2020-03-12"/>
    <n v="96588.73"/>
    <s v="frank.jones@example.com"/>
    <s v="7677537259"/>
    <x v="0"/>
    <x v="0"/>
  </r>
  <r>
    <s v="EMP1921"/>
    <s v="Charlie"/>
    <s v="Davis"/>
    <n v="35"/>
    <x v="1"/>
    <x v="5"/>
    <s v="Active"/>
    <s v="2022-12-28"/>
    <n v="71109.179999999993"/>
    <s v="charlie.davis@example.com"/>
    <s v="3214505765"/>
    <x v="3"/>
    <x v="0"/>
  </r>
  <r>
    <s v="EMP1922"/>
    <s v="Grace"/>
    <s v="Smith"/>
    <n v="40"/>
    <x v="2"/>
    <x v="3"/>
    <s v="Inactive"/>
    <s v="2020-11-15"/>
    <n v="50300.6"/>
    <s v="grace.smith@example.com"/>
    <s v="1945887070"/>
    <x v="2"/>
    <x v="1"/>
  </r>
  <r>
    <s v="EMP1923"/>
    <s v="Frank"/>
    <s v="Davis"/>
    <n v="35"/>
    <x v="1"/>
    <x v="0"/>
    <s v="Pending"/>
    <s v="2023-09-27"/>
    <n v="60295.839999999997"/>
    <s v="frank.davis@example.com"/>
    <s v="5534820127"/>
    <x v="2"/>
    <x v="1"/>
  </r>
  <r>
    <s v="EMP1924"/>
    <s v="Heidi"/>
    <s v="Smith"/>
    <n v="35"/>
    <x v="0"/>
    <x v="1"/>
    <s v="Pending"/>
    <s v="2022-09-07"/>
    <n v="113012.21"/>
    <s v="heidi.smith@example.com"/>
    <s v="4008385075"/>
    <x v="1"/>
    <x v="1"/>
  </r>
  <r>
    <s v="EMP1925"/>
    <s v="Bob"/>
    <s v="Williams"/>
    <n v="35"/>
    <x v="3"/>
    <x v="3"/>
    <s v="Pending"/>
    <s v="2024-09-18"/>
    <n v="65425.54"/>
    <s v="bob.williams@example.com"/>
    <s v="5975954507"/>
    <x v="3"/>
    <x v="0"/>
  </r>
  <r>
    <s v="EMP1926"/>
    <s v="Frank"/>
    <s v="Jones"/>
    <n v="25"/>
    <x v="4"/>
    <x v="2"/>
    <s v="Active"/>
    <s v="2023-04-09"/>
    <n v="86850.37"/>
    <s v="frank.jones@example.com"/>
    <s v="9177680897"/>
    <x v="1"/>
    <x v="0"/>
  </r>
  <r>
    <s v="EMP1927"/>
    <s v="Eva"/>
    <s v="Brown"/>
    <n v="30"/>
    <x v="3"/>
    <x v="1"/>
    <s v="Pending"/>
    <s v="2024-10-05"/>
    <n v="81182.070000000007"/>
    <s v="eva.brown@example.com"/>
    <s v="1265742230"/>
    <x v="2"/>
    <x v="0"/>
  </r>
  <r>
    <s v="EMP1928"/>
    <s v="Bob"/>
    <s v="Miller"/>
    <s v=""/>
    <x v="1"/>
    <x v="4"/>
    <s v="Inactive"/>
    <s v="2021-10-12"/>
    <n v="92222.03"/>
    <s v="bob.miller@example.com"/>
    <s v="9646300401"/>
    <x v="3"/>
    <x v="0"/>
  </r>
  <r>
    <s v="EMP1929"/>
    <s v="Alice"/>
    <s v="Smith"/>
    <n v="35"/>
    <x v="1"/>
    <x v="4"/>
    <s v="Pending"/>
    <s v="2024-10-14"/>
    <n v="79934.83"/>
    <s v="alice.smith@example.com"/>
    <s v="3693626893"/>
    <x v="0"/>
    <x v="0"/>
  </r>
  <r>
    <s v="EMP1930"/>
    <s v="Alice"/>
    <s v="Davis"/>
    <n v="35"/>
    <x v="5"/>
    <x v="0"/>
    <s v="Inactive"/>
    <s v="2022-07-01"/>
    <n v="111201.12"/>
    <s v="alice.davis@example.com"/>
    <s v="3012047136"/>
    <x v="3"/>
    <x v="1"/>
  </r>
  <r>
    <s v="EMP1931"/>
    <s v="Heidi"/>
    <s v="Brown"/>
    <n v="40"/>
    <x v="1"/>
    <x v="0"/>
    <s v="Active"/>
    <s v="2024-07-08"/>
    <n v="100960.05"/>
    <s v="heidi.brown@example.com"/>
    <s v="2711759573"/>
    <x v="0"/>
    <x v="1"/>
  </r>
  <r>
    <s v="EMP1932"/>
    <s v="Grace"/>
    <s v="Smith"/>
    <n v="30"/>
    <x v="4"/>
    <x v="5"/>
    <s v="Active"/>
    <s v="2020-10-21"/>
    <n v="64544.87"/>
    <s v="grace.smith@example.com"/>
    <s v="9885582983"/>
    <x v="0"/>
    <x v="0"/>
  </r>
  <r>
    <s v="EMP1933"/>
    <s v="Frank"/>
    <s v="Smith"/>
    <n v="25"/>
    <x v="4"/>
    <x v="3"/>
    <s v="Active"/>
    <s v="2020-01-14"/>
    <n v="78662.240000000005"/>
    <s v="frank.smith@example.com"/>
    <s v="9330674583"/>
    <x v="3"/>
    <x v="0"/>
  </r>
  <r>
    <s v="EMP1934"/>
    <s v="Grace"/>
    <s v="Garcia"/>
    <n v="30"/>
    <x v="4"/>
    <x v="3"/>
    <s v="Pending"/>
    <s v="2023-03-09"/>
    <n v="102867.06"/>
    <s v="grace.garcia@example.com"/>
    <s v="7609441282"/>
    <x v="0"/>
    <x v="0"/>
  </r>
  <r>
    <s v="EMP1935"/>
    <s v="Charlie"/>
    <s v="Smith"/>
    <n v="40"/>
    <x v="5"/>
    <x v="5"/>
    <s v="Inactive"/>
    <s v="2020-03-27"/>
    <n v="107595.95"/>
    <s v="charlie.smith@example.com"/>
    <s v="3372188565"/>
    <x v="1"/>
    <x v="0"/>
  </r>
  <r>
    <s v="EMP1936"/>
    <s v="Eva"/>
    <s v="Miller"/>
    <n v="40"/>
    <x v="4"/>
    <x v="2"/>
    <s v="Inactive"/>
    <s v="2021-04-04"/>
    <s v=""/>
    <s v="eva.miller@example.com"/>
    <s v="6954132970"/>
    <x v="2"/>
    <x v="1"/>
  </r>
  <r>
    <s v="EMP1937"/>
    <s v="Eva"/>
    <s v="Jones"/>
    <n v="35"/>
    <x v="0"/>
    <x v="2"/>
    <s v="Inactive"/>
    <s v="2020-09-11"/>
    <n v="95766.91"/>
    <s v="eva.jones@example.com"/>
    <s v="5066626704"/>
    <x v="0"/>
    <x v="0"/>
  </r>
  <r>
    <s v="EMP1938"/>
    <s v="Grace"/>
    <s v="Miller"/>
    <n v="30"/>
    <x v="1"/>
    <x v="2"/>
    <s v="Pending"/>
    <s v="2021-05-16"/>
    <n v="51990.98"/>
    <s v="grace.miller@example.com"/>
    <s v="5143776935"/>
    <x v="1"/>
    <x v="0"/>
  </r>
  <r>
    <s v="EMP1939"/>
    <s v="Heidi"/>
    <s v="Johnson"/>
    <n v="25"/>
    <x v="4"/>
    <x v="2"/>
    <s v="Inactive"/>
    <s v="2023-04-05"/>
    <n v="83634.009999999995"/>
    <s v="heidi.johnson@example.com"/>
    <s v="6343925294"/>
    <x v="0"/>
    <x v="0"/>
  </r>
  <r>
    <s v="EMP1940"/>
    <s v="Eva"/>
    <s v="Brown"/>
    <n v="40"/>
    <x v="0"/>
    <x v="1"/>
    <s v="Inactive"/>
    <s v="2022-11-15"/>
    <s v=""/>
    <s v="eva.brown@example.com"/>
    <s v="9611110285"/>
    <x v="2"/>
    <x v="0"/>
  </r>
  <r>
    <s v="EMP1941"/>
    <s v="Eva"/>
    <s v="Jones"/>
    <n v="30"/>
    <x v="4"/>
    <x v="1"/>
    <s v="Active"/>
    <s v="2021-10-16"/>
    <n v="82273.08"/>
    <s v="eva.jones@example.com"/>
    <s v="7120072023"/>
    <x v="1"/>
    <x v="1"/>
  </r>
  <r>
    <s v="EMP1942"/>
    <s v="Frank"/>
    <s v="Garcia"/>
    <n v="30"/>
    <x v="3"/>
    <x v="0"/>
    <s v="Inactive"/>
    <s v="2022-05-09"/>
    <n v="94537.3"/>
    <s v="frank.garcia@example.com"/>
    <s v="5591024509"/>
    <x v="2"/>
    <x v="0"/>
  </r>
  <r>
    <s v="EMP1943"/>
    <s v="Alice"/>
    <s v="Jones"/>
    <n v="35"/>
    <x v="5"/>
    <x v="5"/>
    <s v="Pending"/>
    <s v="2020-06-06"/>
    <n v="85970.65"/>
    <s v="alice.jones@example.com"/>
    <s v="9109032670"/>
    <x v="2"/>
    <x v="0"/>
  </r>
  <r>
    <s v="EMP1944"/>
    <s v="Charlie"/>
    <s v="Jones"/>
    <n v="25"/>
    <x v="4"/>
    <x v="4"/>
    <s v="Pending"/>
    <s v="2021-10-22"/>
    <n v="111071.02"/>
    <s v="charlie.jones@example.com"/>
    <s v="4949819420"/>
    <x v="1"/>
    <x v="1"/>
  </r>
  <r>
    <s v="EMP1945"/>
    <s v="Eva"/>
    <s v="Davis"/>
    <n v="35"/>
    <x v="0"/>
    <x v="2"/>
    <s v="Pending"/>
    <s v="2022-01-12"/>
    <n v="56708.34"/>
    <s v="eva.davis@example.com"/>
    <s v="7942817933"/>
    <x v="1"/>
    <x v="1"/>
  </r>
  <r>
    <s v="EMP1946"/>
    <s v="Charlie"/>
    <s v="Jones"/>
    <n v="25"/>
    <x v="2"/>
    <x v="5"/>
    <s v="Inactive"/>
    <s v="2022-02-02"/>
    <n v="104516.55"/>
    <s v="charlie.jones@example.com"/>
    <s v="652775843"/>
    <x v="1"/>
    <x v="1"/>
  </r>
  <r>
    <s v="EMP1947"/>
    <s v="Charlie"/>
    <s v="Garcia"/>
    <n v="25"/>
    <x v="2"/>
    <x v="4"/>
    <s v="Pending"/>
    <s v="2021-03-28"/>
    <n v="108210.15"/>
    <s v="charlie.garcia@example.com"/>
    <s v="6634533721"/>
    <x v="3"/>
    <x v="0"/>
  </r>
  <r>
    <s v="EMP1948"/>
    <s v="Bob"/>
    <s v="Miller"/>
    <n v="40"/>
    <x v="1"/>
    <x v="1"/>
    <s v="Active"/>
    <s v="2024-08-03"/>
    <s v=""/>
    <s v="bob.miller@example.com"/>
    <s v="109121721"/>
    <x v="1"/>
    <x v="0"/>
  </r>
  <r>
    <s v="EMP1949"/>
    <s v="Frank"/>
    <s v="Jones"/>
    <n v="35"/>
    <x v="0"/>
    <x v="0"/>
    <s v="Active"/>
    <s v="2024-07-31"/>
    <n v="80935.649999999994"/>
    <s v="frank.jones@example.com"/>
    <s v="1455937660"/>
    <x v="1"/>
    <x v="1"/>
  </r>
  <r>
    <s v="EMP1950"/>
    <s v="Frank"/>
    <s v="Williams"/>
    <n v="30"/>
    <x v="0"/>
    <x v="0"/>
    <s v="Active"/>
    <s v="2024-03-04"/>
    <n v="107020.19"/>
    <s v="frank.williams@example.com"/>
    <s v="8943705262"/>
    <x v="1"/>
    <x v="1"/>
  </r>
  <r>
    <s v="EMP1951"/>
    <s v="Charlie"/>
    <s v="Brown"/>
    <n v="30"/>
    <x v="5"/>
    <x v="4"/>
    <s v="Active"/>
    <s v="2020-09-23"/>
    <n v="118677.67"/>
    <s v="charlie.brown@example.com"/>
    <s v="5100462775"/>
    <x v="1"/>
    <x v="1"/>
  </r>
  <r>
    <s v="EMP1952"/>
    <s v="Bob"/>
    <s v="Jones"/>
    <n v="25"/>
    <x v="3"/>
    <x v="3"/>
    <s v="Inactive"/>
    <s v="2020-03-28"/>
    <n v="63744.57"/>
    <s v="bob.jones@example.com"/>
    <s v="5725659201"/>
    <x v="0"/>
    <x v="1"/>
  </r>
  <r>
    <s v="EMP1953"/>
    <s v="Alice"/>
    <s v="Brown"/>
    <n v="40"/>
    <x v="3"/>
    <x v="0"/>
    <s v="Active"/>
    <s v="2020-05-15"/>
    <s v=""/>
    <s v="alice.brown@example.com"/>
    <s v="4617520237"/>
    <x v="3"/>
    <x v="1"/>
  </r>
  <r>
    <s v="EMP1954"/>
    <s v="Bob"/>
    <s v="Williams"/>
    <n v="25"/>
    <x v="4"/>
    <x v="4"/>
    <s v="Pending"/>
    <s v="2021-02-13"/>
    <n v="62934.73"/>
    <s v="bob.williams@example.com"/>
    <s v="9743260054"/>
    <x v="2"/>
    <x v="1"/>
  </r>
  <r>
    <s v="EMP1955"/>
    <s v="Bob"/>
    <s v="Williams"/>
    <n v="30"/>
    <x v="0"/>
    <x v="0"/>
    <s v="Pending"/>
    <s v="2021-12-13"/>
    <n v="74654.23"/>
    <s v="bob.williams@example.com"/>
    <s v="9550178331"/>
    <x v="1"/>
    <x v="0"/>
  </r>
  <r>
    <s v="EMP1956"/>
    <s v="David"/>
    <s v="Brown"/>
    <s v=""/>
    <x v="4"/>
    <x v="1"/>
    <s v="Active"/>
    <s v="2024-08-05"/>
    <s v=""/>
    <s v="david.brown@example.com"/>
    <s v="5848689992"/>
    <x v="0"/>
    <x v="0"/>
  </r>
  <r>
    <s v="EMP1957"/>
    <s v="David"/>
    <s v="Smith"/>
    <n v="30"/>
    <x v="5"/>
    <x v="4"/>
    <s v="Pending"/>
    <s v="2020-01-09"/>
    <n v="118150.59"/>
    <s v="david.smith@example.com"/>
    <s v="6079848703"/>
    <x v="0"/>
    <x v="0"/>
  </r>
  <r>
    <s v="EMP1958"/>
    <s v="David"/>
    <s v="Johnson"/>
    <s v=""/>
    <x v="0"/>
    <x v="3"/>
    <s v="Inactive"/>
    <s v="2023-11-30"/>
    <n v="91256.639999999999"/>
    <s v="david.johnson@example.com"/>
    <s v="5069176798"/>
    <x v="0"/>
    <x v="1"/>
  </r>
  <r>
    <s v="EMP1959"/>
    <s v="Bob"/>
    <s v="Davis"/>
    <n v="30"/>
    <x v="5"/>
    <x v="3"/>
    <s v="Inactive"/>
    <s v="2021-03-14"/>
    <n v="85997.57"/>
    <s v="bob.davis@example.com"/>
    <s v="3593744038"/>
    <x v="2"/>
    <x v="1"/>
  </r>
  <r>
    <s v="EMP1960"/>
    <s v="Frank"/>
    <s v="Smith"/>
    <n v="25"/>
    <x v="1"/>
    <x v="1"/>
    <s v="Pending"/>
    <s v="2020-10-05"/>
    <n v="84707.12"/>
    <s v="frank.smith@example.com"/>
    <s v="4640830372"/>
    <x v="1"/>
    <x v="1"/>
  </r>
  <r>
    <s v="EMP1961"/>
    <s v="Eva"/>
    <s v="Smith"/>
    <s v=""/>
    <x v="0"/>
    <x v="1"/>
    <s v="Active"/>
    <s v="2021-11-02"/>
    <n v="84559.9"/>
    <s v="eva.smith@example.com"/>
    <s v="6060148859"/>
    <x v="3"/>
    <x v="1"/>
  </r>
  <r>
    <s v="EMP1962"/>
    <s v="Heidi"/>
    <s v="Miller"/>
    <s v=""/>
    <x v="0"/>
    <x v="0"/>
    <s v="Pending"/>
    <s v="2024-09-18"/>
    <n v="81076.91"/>
    <s v="heidi.miller@example.com"/>
    <s v="8490793883"/>
    <x v="3"/>
    <x v="1"/>
  </r>
  <r>
    <s v="EMP1963"/>
    <s v="Eva"/>
    <s v="Davis"/>
    <n v="40"/>
    <x v="2"/>
    <x v="1"/>
    <s v="Inactive"/>
    <s v="2023-10-22"/>
    <s v=""/>
    <s v="eva.davis@example.com"/>
    <s v="1368528305"/>
    <x v="0"/>
    <x v="1"/>
  </r>
  <r>
    <s v="EMP1964"/>
    <s v="Heidi"/>
    <s v="Davis"/>
    <n v="25"/>
    <x v="1"/>
    <x v="3"/>
    <s v="Pending"/>
    <s v="2023-09-10"/>
    <n v="97356.31"/>
    <s v="heidi.davis@example.com"/>
    <s v="1537012423"/>
    <x v="2"/>
    <x v="0"/>
  </r>
  <r>
    <s v="EMP1965"/>
    <s v="Grace"/>
    <s v="Smith"/>
    <n v="40"/>
    <x v="0"/>
    <x v="5"/>
    <s v="Active"/>
    <s v="2024-02-27"/>
    <n v="114770.32"/>
    <s v="grace.smith@example.com"/>
    <s v="4626325143"/>
    <x v="2"/>
    <x v="0"/>
  </r>
  <r>
    <s v="EMP1966"/>
    <s v="Bob"/>
    <s v="Jones"/>
    <n v="35"/>
    <x v="2"/>
    <x v="0"/>
    <s v="Active"/>
    <s v="2023-05-03"/>
    <n v="109082.07"/>
    <s v="bob.jones@example.com"/>
    <s v="8811210313"/>
    <x v="2"/>
    <x v="1"/>
  </r>
  <r>
    <s v="EMP1967"/>
    <s v="David"/>
    <s v="Miller"/>
    <n v="40"/>
    <x v="0"/>
    <x v="3"/>
    <s v="Inactive"/>
    <s v="2024-04-15"/>
    <n v="99944.57"/>
    <s v="david.miller@example.com"/>
    <s v="2175188780"/>
    <x v="3"/>
    <x v="0"/>
  </r>
  <r>
    <s v="EMP1968"/>
    <s v="Eva"/>
    <s v="Miller"/>
    <n v="40"/>
    <x v="5"/>
    <x v="3"/>
    <s v="Pending"/>
    <s v="2023-05-20"/>
    <n v="116509.72"/>
    <s v="eva.miller@example.com"/>
    <s v="7941515262"/>
    <x v="0"/>
    <x v="1"/>
  </r>
  <r>
    <s v="EMP1969"/>
    <s v="Eva"/>
    <s v="Williams"/>
    <n v="30"/>
    <x v="1"/>
    <x v="1"/>
    <s v="Active"/>
    <s v="2021-05-28"/>
    <n v="84253.9"/>
    <s v="eva.williams@example.com"/>
    <s v="8409112251"/>
    <x v="1"/>
    <x v="0"/>
  </r>
  <r>
    <s v="EMP1970"/>
    <s v="Charlie"/>
    <s v="Garcia"/>
    <n v="25"/>
    <x v="3"/>
    <x v="2"/>
    <s v="Active"/>
    <s v="2024-08-27"/>
    <n v="54776.01"/>
    <s v="charlie.garcia@example.com"/>
    <s v="8837505660"/>
    <x v="3"/>
    <x v="1"/>
  </r>
  <r>
    <s v="EMP1971"/>
    <s v="Charlie"/>
    <s v="Davis"/>
    <n v="40"/>
    <x v="4"/>
    <x v="2"/>
    <s v="Inactive"/>
    <s v="2020-11-08"/>
    <n v="71192.679999999993"/>
    <s v="charlie.davis@example.com"/>
    <s v="8632397912"/>
    <x v="0"/>
    <x v="1"/>
  </r>
  <r>
    <s v="EMP1972"/>
    <s v="Bob"/>
    <s v="Smith"/>
    <s v=""/>
    <x v="1"/>
    <x v="3"/>
    <s v="Active"/>
    <s v="2021-08-24"/>
    <n v="96346.53"/>
    <s v="bob.smith@example.com"/>
    <s v="7876553006"/>
    <x v="0"/>
    <x v="0"/>
  </r>
  <r>
    <s v="EMP1973"/>
    <s v="Eva"/>
    <s v="Williams"/>
    <s v=""/>
    <x v="5"/>
    <x v="5"/>
    <s v="Pending"/>
    <s v="2020-02-06"/>
    <n v="116680.63"/>
    <s v="eva.williams@example.com"/>
    <s v="3095055604"/>
    <x v="1"/>
    <x v="0"/>
  </r>
  <r>
    <s v="EMP1974"/>
    <s v="Grace"/>
    <s v="Brown"/>
    <n v="25"/>
    <x v="1"/>
    <x v="3"/>
    <s v="Inactive"/>
    <s v="2024-10-12"/>
    <n v="76343.56"/>
    <s v="grace.brown@example.com"/>
    <s v="7121988191"/>
    <x v="1"/>
    <x v="1"/>
  </r>
  <r>
    <s v="EMP1975"/>
    <s v="Alice"/>
    <s v="Johnson"/>
    <n v="30"/>
    <x v="4"/>
    <x v="2"/>
    <s v="Inactive"/>
    <s v="2024-12-16"/>
    <n v="99424.14"/>
    <s v="alice.johnson@example.com"/>
    <s v="7788519052"/>
    <x v="1"/>
    <x v="1"/>
  </r>
  <r>
    <s v="EMP1976"/>
    <s v="Charlie"/>
    <s v="Garcia"/>
    <n v="35"/>
    <x v="0"/>
    <x v="3"/>
    <s v="Inactive"/>
    <s v="2024-04-13"/>
    <n v="57656.74"/>
    <s v="charlie.garcia@example.com"/>
    <s v="4864010423"/>
    <x v="2"/>
    <x v="0"/>
  </r>
  <r>
    <s v="EMP1977"/>
    <s v="Heidi"/>
    <s v="Garcia"/>
    <n v="40"/>
    <x v="4"/>
    <x v="4"/>
    <s v="Pending"/>
    <s v="2020-04-24"/>
    <n v="77396.94"/>
    <s v="heidi.garcia@example.com"/>
    <s v="6245618516"/>
    <x v="1"/>
    <x v="0"/>
  </r>
  <r>
    <s v="EMP1978"/>
    <s v="Grace"/>
    <s v="Garcia"/>
    <s v=""/>
    <x v="0"/>
    <x v="0"/>
    <s v="Inactive"/>
    <s v="2021-10-18"/>
    <n v="54299.68"/>
    <s v="grace.garcia@example.com"/>
    <s v="4460045211"/>
    <x v="0"/>
    <x v="1"/>
  </r>
  <r>
    <s v="EMP1979"/>
    <s v="Charlie"/>
    <s v="Miller"/>
    <n v="35"/>
    <x v="5"/>
    <x v="2"/>
    <s v="Pending"/>
    <s v="2020-02-25"/>
    <n v="103563.58"/>
    <s v="charlie.miller@example.com"/>
    <s v="8991511454"/>
    <x v="1"/>
    <x v="0"/>
  </r>
  <r>
    <s v="EMP1980"/>
    <s v="Grace"/>
    <s v="Brown"/>
    <n v="25"/>
    <x v="1"/>
    <x v="0"/>
    <s v="Inactive"/>
    <s v="2022-04-23"/>
    <n v="74588.850000000006"/>
    <s v="grace.brown@example.com"/>
    <s v="1293913043"/>
    <x v="0"/>
    <x v="1"/>
  </r>
  <r>
    <s v="EMP1981"/>
    <s v="David"/>
    <s v="Garcia"/>
    <n v="30"/>
    <x v="0"/>
    <x v="0"/>
    <s v="Pending"/>
    <s v="2020-06-22"/>
    <n v="113727.23"/>
    <s v="david.garcia@example.com"/>
    <s v="8818984840"/>
    <x v="3"/>
    <x v="1"/>
  </r>
  <r>
    <s v="EMP1982"/>
    <s v="Eva"/>
    <s v="Brown"/>
    <n v="25"/>
    <x v="5"/>
    <x v="4"/>
    <s v="Active"/>
    <s v="2023-01-07"/>
    <n v="72828.179999999993"/>
    <s v="eva.brown@example.com"/>
    <s v="6046154020"/>
    <x v="2"/>
    <x v="1"/>
  </r>
  <r>
    <s v="EMP1983"/>
    <s v="Grace"/>
    <s v="Jones"/>
    <s v=""/>
    <x v="4"/>
    <x v="3"/>
    <s v="Inactive"/>
    <s v="2020-02-11"/>
    <n v="98717.09"/>
    <s v="grace.jones@example.com"/>
    <s v="1901707567"/>
    <x v="3"/>
    <x v="1"/>
  </r>
  <r>
    <s v="EMP1984"/>
    <s v="Frank"/>
    <s v="Garcia"/>
    <n v="40"/>
    <x v="4"/>
    <x v="3"/>
    <s v="Inactive"/>
    <s v="2023-03-18"/>
    <n v="56840.800000000003"/>
    <s v="frank.garcia@example.com"/>
    <s v="1429831521"/>
    <x v="3"/>
    <x v="0"/>
  </r>
  <r>
    <s v="EMP1985"/>
    <s v="David"/>
    <s v="Johnson"/>
    <n v="35"/>
    <x v="1"/>
    <x v="5"/>
    <s v="Pending"/>
    <s v="2021-11-26"/>
    <n v="61663.91"/>
    <s v="david.johnson@example.com"/>
    <s v="9107322835"/>
    <x v="0"/>
    <x v="0"/>
  </r>
  <r>
    <s v="EMP1986"/>
    <s v="Grace"/>
    <s v="Brown"/>
    <n v="30"/>
    <x v="1"/>
    <x v="2"/>
    <s v="Active"/>
    <s v="2024-09-17"/>
    <n v="109523.4"/>
    <s v="grace.brown@example.com"/>
    <s v="849378305"/>
    <x v="3"/>
    <x v="0"/>
  </r>
  <r>
    <s v="EMP1987"/>
    <s v="Eva"/>
    <s v="Brown"/>
    <n v="25"/>
    <x v="5"/>
    <x v="5"/>
    <s v="Inactive"/>
    <s v="2024-07-05"/>
    <n v="65812.02"/>
    <s v="eva.brown@example.com"/>
    <s v="3963845268"/>
    <x v="0"/>
    <x v="0"/>
  </r>
  <r>
    <s v="EMP1988"/>
    <s v="Bob"/>
    <s v="Johnson"/>
    <s v=""/>
    <x v="3"/>
    <x v="5"/>
    <s v="Inactive"/>
    <s v="2021-07-13"/>
    <n v="54708.88"/>
    <s v="bob.johnson@example.com"/>
    <s v="6944391648"/>
    <x v="1"/>
    <x v="0"/>
  </r>
  <r>
    <s v="EMP1989"/>
    <s v="Heidi"/>
    <s v="Garcia"/>
    <n v="40"/>
    <x v="2"/>
    <x v="0"/>
    <s v="Active"/>
    <s v="2023-08-27"/>
    <n v="107661.73"/>
    <s v="heidi.garcia@example.com"/>
    <s v="7016934291"/>
    <x v="1"/>
    <x v="0"/>
  </r>
  <r>
    <s v="EMP1990"/>
    <s v="Eva"/>
    <s v="Johnson"/>
    <n v="40"/>
    <x v="0"/>
    <x v="5"/>
    <s v="Inactive"/>
    <s v="2021-02-13"/>
    <n v="79002"/>
    <s v="eva.johnson@example.com"/>
    <s v="9132033015"/>
    <x v="0"/>
    <x v="0"/>
  </r>
  <r>
    <s v="EMP1991"/>
    <s v="Heidi"/>
    <s v="Brown"/>
    <s v=""/>
    <x v="2"/>
    <x v="1"/>
    <s v="Pending"/>
    <s v="2023-12-11"/>
    <n v="86135.69"/>
    <s v="heidi.brown@example.com"/>
    <s v="2341903105"/>
    <x v="1"/>
    <x v="1"/>
  </r>
  <r>
    <s v="EMP1992"/>
    <s v="Heidi"/>
    <s v="Johnson"/>
    <n v="30"/>
    <x v="0"/>
    <x v="2"/>
    <s v="Inactive"/>
    <s v="2021-07-02"/>
    <n v="115601.4"/>
    <s v="heidi.johnson@example.com"/>
    <s v="1537221555"/>
    <x v="2"/>
    <x v="0"/>
  </r>
  <r>
    <s v="EMP1993"/>
    <s v="Grace"/>
    <s v="Brown"/>
    <s v=""/>
    <x v="0"/>
    <x v="2"/>
    <s v="Active"/>
    <s v="2022-12-05"/>
    <n v="64045.36"/>
    <s v="grace.brown@example.com"/>
    <s v="6847323652"/>
    <x v="3"/>
    <x v="0"/>
  </r>
  <r>
    <s v="EMP1994"/>
    <s v="David"/>
    <s v="Brown"/>
    <n v="30"/>
    <x v="0"/>
    <x v="2"/>
    <s v="Inactive"/>
    <s v="2024-09-24"/>
    <n v="80477.210000000006"/>
    <s v="david.brown@example.com"/>
    <s v="3774604066"/>
    <x v="2"/>
    <x v="1"/>
  </r>
  <r>
    <s v="EMP1995"/>
    <s v="Bob"/>
    <s v="Jones"/>
    <n v="30"/>
    <x v="1"/>
    <x v="0"/>
    <s v="Inactive"/>
    <s v="2023-08-16"/>
    <n v="61240.9"/>
    <s v="bob.jones@example.com"/>
    <s v="2007843613"/>
    <x v="3"/>
    <x v="0"/>
  </r>
  <r>
    <s v="EMP1996"/>
    <s v="David"/>
    <s v="Smith"/>
    <n v="40"/>
    <x v="2"/>
    <x v="1"/>
    <s v="Active"/>
    <s v="2021-01-28"/>
    <n v="51939.29"/>
    <s v="david.smith@example.com"/>
    <s v="2442607818"/>
    <x v="1"/>
    <x v="0"/>
  </r>
  <r>
    <s v="EMP1997"/>
    <s v="Eva"/>
    <s v="Brown"/>
    <n v="40"/>
    <x v="1"/>
    <x v="5"/>
    <s v="Inactive"/>
    <s v="2022-05-14"/>
    <n v="95284.54"/>
    <s v="eva.brown@example.com"/>
    <s v="7543734763"/>
    <x v="2"/>
    <x v="1"/>
  </r>
  <r>
    <s v="EMP1998"/>
    <s v="Charlie"/>
    <s v="Garcia"/>
    <n v="35"/>
    <x v="2"/>
    <x v="1"/>
    <s v="Inactive"/>
    <s v="2024-06-05"/>
    <n v="106247.67"/>
    <s v="charlie.garcia@example.com"/>
    <s v="2737203762"/>
    <x v="1"/>
    <x v="0"/>
  </r>
  <r>
    <s v="EMP1999"/>
    <s v="Charlie"/>
    <s v="Williams"/>
    <n v="25"/>
    <x v="0"/>
    <x v="3"/>
    <s v="Active"/>
    <s v="2020-04-23"/>
    <n v="110170.88"/>
    <s v="charlie.williams@example.com"/>
    <s v="8821458413"/>
    <x v="3"/>
    <x v="0"/>
  </r>
  <r>
    <s v="EMP2000"/>
    <s v="Charlie"/>
    <s v="Miller"/>
    <n v="25"/>
    <x v="5"/>
    <x v="2"/>
    <s v="Pending"/>
    <s v="2024-06-10"/>
    <n v="52615.44"/>
    <s v="charlie.miller@example.com"/>
    <s v="8460191343"/>
    <x v="0"/>
    <x v="0"/>
  </r>
  <r>
    <s v="EMP2001"/>
    <s v="Eva"/>
    <s v="Davis"/>
    <n v="30"/>
    <x v="0"/>
    <x v="5"/>
    <s v="Inactive"/>
    <s v="2020-04-18"/>
    <n v="82547.259999999995"/>
    <s v="eva.davis@example.com"/>
    <s v="3899827801"/>
    <x v="0"/>
    <x v="1"/>
  </r>
  <r>
    <s v="EMP2002"/>
    <s v="Bob"/>
    <s v="Smith"/>
    <n v="35"/>
    <x v="1"/>
    <x v="5"/>
    <s v="Pending"/>
    <s v="2020-06-29"/>
    <n v="63049.22"/>
    <s v="bob.smith@example.com"/>
    <s v="586950731"/>
    <x v="2"/>
    <x v="0"/>
  </r>
  <r>
    <s v="EMP2003"/>
    <s v="Frank"/>
    <s v="Smith"/>
    <n v="35"/>
    <x v="5"/>
    <x v="0"/>
    <s v="Pending"/>
    <s v="2023-02-15"/>
    <n v="115229.12"/>
    <s v="frank.smith@example.com"/>
    <s v="1464493698"/>
    <x v="1"/>
    <x v="0"/>
  </r>
  <r>
    <s v="EMP2004"/>
    <s v="Grace"/>
    <s v="Smith"/>
    <n v="25"/>
    <x v="0"/>
    <x v="5"/>
    <s v="Pending"/>
    <s v="2023-06-15"/>
    <n v="60687.63"/>
    <s v="grace.smith@example.com"/>
    <s v="9516793349"/>
    <x v="1"/>
    <x v="1"/>
  </r>
  <r>
    <s v="EMP2005"/>
    <s v="Frank"/>
    <s v="Jones"/>
    <n v="30"/>
    <x v="1"/>
    <x v="5"/>
    <s v="Inactive"/>
    <s v="2022-03-19"/>
    <n v="67492.73"/>
    <s v="frank.jones@example.com"/>
    <s v="5573857367"/>
    <x v="2"/>
    <x v="0"/>
  </r>
  <r>
    <s v="EMP2006"/>
    <s v="Grace"/>
    <s v="Brown"/>
    <s v=""/>
    <x v="5"/>
    <x v="5"/>
    <s v="Inactive"/>
    <s v="2023-10-25"/>
    <n v="77821.789999999994"/>
    <s v="grace.brown@example.com"/>
    <s v="119236036"/>
    <x v="0"/>
    <x v="1"/>
  </r>
  <r>
    <s v="EMP2007"/>
    <s v="Charlie"/>
    <s v="Jones"/>
    <n v="35"/>
    <x v="0"/>
    <x v="1"/>
    <s v="Active"/>
    <s v="2022-07-14"/>
    <n v="69146.95"/>
    <s v="charlie.jones@example.com"/>
    <s v="6811872332"/>
    <x v="3"/>
    <x v="1"/>
  </r>
  <r>
    <s v="EMP2008"/>
    <s v="Grace"/>
    <s v="Brown"/>
    <n v="35"/>
    <x v="2"/>
    <x v="2"/>
    <s v="Inactive"/>
    <s v="2022-03-12"/>
    <n v="90224.82"/>
    <s v="grace.brown@example.com"/>
    <s v="5104096148"/>
    <x v="2"/>
    <x v="0"/>
  </r>
  <r>
    <s v="EMP2009"/>
    <s v="David"/>
    <s v="Garcia"/>
    <s v=""/>
    <x v="1"/>
    <x v="5"/>
    <s v="Pending"/>
    <s v="2024-06-11"/>
    <n v="62603.98"/>
    <s v="david.garcia@example.com"/>
    <s v="7315391148"/>
    <x v="3"/>
    <x v="1"/>
  </r>
  <r>
    <s v="EMP2010"/>
    <s v="Bob"/>
    <s v="Jones"/>
    <n v="35"/>
    <x v="4"/>
    <x v="2"/>
    <s v="Active"/>
    <s v="2024-06-10"/>
    <n v="71148.27"/>
    <s v="bob.jones@example.com"/>
    <s v="8307482072"/>
    <x v="0"/>
    <x v="1"/>
  </r>
  <r>
    <s v="EMP2011"/>
    <s v="David"/>
    <s v="Jones"/>
    <n v="40"/>
    <x v="2"/>
    <x v="0"/>
    <s v="Inactive"/>
    <s v="2022-09-21"/>
    <n v="52031.74"/>
    <s v="david.jones@example.com"/>
    <s v="6511893939"/>
    <x v="1"/>
    <x v="0"/>
  </r>
  <r>
    <s v="EMP2012"/>
    <s v="Grace"/>
    <s v="Miller"/>
    <n v="35"/>
    <x v="0"/>
    <x v="3"/>
    <s v="Inactive"/>
    <s v="2023-04-15"/>
    <s v=""/>
    <s v="grace.miller@example.com"/>
    <s v="6557820189"/>
    <x v="0"/>
    <x v="1"/>
  </r>
  <r>
    <s v="EMP2013"/>
    <s v="Eva"/>
    <s v="Williams"/>
    <s v=""/>
    <x v="5"/>
    <x v="5"/>
    <s v="Pending"/>
    <s v="2020-02-06"/>
    <n v="116680.63"/>
    <s v="eva.williams@example.com"/>
    <s v="4322302332"/>
    <x v="2"/>
    <x v="1"/>
  </r>
  <r>
    <s v="EMP2014"/>
    <s v="Grace"/>
    <s v="Jones"/>
    <n v="30"/>
    <x v="1"/>
    <x v="2"/>
    <s v="Pending"/>
    <s v="2021-05-16"/>
    <n v="51990.98"/>
    <s v="grace.jones@example.com"/>
    <s v="2470739200"/>
    <x v="1"/>
    <x v="0"/>
  </r>
  <r>
    <s v="EMP2015"/>
    <s v="David"/>
    <s v="Miller"/>
    <n v="30"/>
    <x v="5"/>
    <x v="0"/>
    <s v="Active"/>
    <s v="2023-08-19"/>
    <s v=""/>
    <s v="david.miller@example.com"/>
    <s v="3546212759"/>
    <x v="2"/>
    <x v="0"/>
  </r>
  <r>
    <s v="EMP2016"/>
    <s v="David"/>
    <s v="Johnson"/>
    <n v="30"/>
    <x v="3"/>
    <x v="1"/>
    <s v="Inactive"/>
    <s v="2021-11-07"/>
    <n v="100215.06"/>
    <s v="david.johnson@example.com"/>
    <s v="2508261122"/>
    <x v="2"/>
    <x v="0"/>
  </r>
  <r>
    <s v="EMP2017"/>
    <s v="Charlie"/>
    <s v="Williams"/>
    <n v="40"/>
    <x v="1"/>
    <x v="4"/>
    <s v="Active"/>
    <s v="2023-10-04"/>
    <n v="114587.11"/>
    <s v="charlie.williams@example.com"/>
    <s v="1261632487"/>
    <x v="0"/>
    <x v="1"/>
  </r>
  <r>
    <s v="EMP2018"/>
    <s v="Alice"/>
    <s v="Garcia"/>
    <n v="30"/>
    <x v="5"/>
    <x v="3"/>
    <s v="Inactive"/>
    <s v="2024-12-16"/>
    <n v="71318.789999999994"/>
    <s v="alice.garcia@example.com"/>
    <s v="8995729892"/>
    <x v="2"/>
    <x v="0"/>
  </r>
  <r>
    <s v="EMP2019"/>
    <s v="Heidi"/>
    <s v="Jones"/>
    <n v="30"/>
    <x v="0"/>
    <x v="5"/>
    <s v="Pending"/>
    <s v="2021-02-22"/>
    <n v="77764.240000000005"/>
    <s v="heidi.jones@example.com"/>
    <s v="762974549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A5DC0-8624-4981-8E24-69AD0A652E6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location ref="E8:G15" firstHeaderRow="0" firstDataRow="1" firstDataCol="1"/>
  <pivotFields count="13">
    <pivotField dataField="1" showAll="0"/>
    <pivotField showAll="0"/>
    <pivotField showAll="0"/>
    <pivotField showAll="0"/>
    <pivotField showAll="0"/>
    <pivotField axis="axisRow" showAll="0">
      <items count="7">
        <item x="0"/>
        <item x="3"/>
        <item x="5"/>
        <item x="2"/>
        <item x="4"/>
        <item x="1"/>
        <item t="default"/>
      </items>
    </pivotField>
    <pivotField showAll="0"/>
    <pivotField showAll="0"/>
    <pivotField dataField="1" showAll="0"/>
    <pivotField showAll="0"/>
    <pivotField showAll="0"/>
    <pivotField showAll="0"/>
    <pivotField showAll="0">
      <items count="3">
        <item x="1"/>
        <item x="0"/>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Employees" fld="0" subtotal="count" baseField="0" baseItem="0"/>
    <dataField name="Payroll" fld="8" baseField="5" baseItem="0" numFmtId="164"/>
  </dataFields>
  <formats count="6">
    <format dxfId="20">
      <pivotArea type="all" dataOnly="0" outline="0" fieldPosition="0"/>
    </format>
    <format dxfId="19">
      <pivotArea outline="0" collapsedLevelsAreSubtotals="1" fieldPosition="0"/>
    </format>
    <format dxfId="18">
      <pivotArea field="5" type="button" dataOnly="0" labelOnly="1" outline="0" axis="axisRow" fieldPosition="0"/>
    </format>
    <format dxfId="17">
      <pivotArea dataOnly="0" labelOnly="1" fieldPosition="0">
        <references count="1">
          <reference field="5" count="0"/>
        </references>
      </pivotArea>
    </format>
    <format dxfId="16">
      <pivotArea dataOnly="0" labelOnly="1" grandRow="1" outline="0" fieldPosition="0"/>
    </format>
    <format dxfId="15">
      <pivotArea dataOnly="0" labelOnly="1" outline="0" fieldPosition="0">
        <references count="1">
          <reference field="4294967294" count="2">
            <x v="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8DC69-BB41-4373-8B23-198C5143746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artment">
  <location ref="A8:C15" firstHeaderRow="0" firstDataRow="1" firstDataCol="1"/>
  <pivotFields count="13">
    <pivotField dataField="1" showAll="0"/>
    <pivotField showAll="0"/>
    <pivotField showAll="0"/>
    <pivotField showAll="0"/>
    <pivotField axis="axisRow" showAll="0">
      <items count="7">
        <item x="2"/>
        <item x="3"/>
        <item x="0"/>
        <item x="1"/>
        <item x="5"/>
        <item x="4"/>
        <item t="default"/>
      </items>
    </pivotField>
    <pivotField showAll="0"/>
    <pivotField showAll="0"/>
    <pivotField showAll="0"/>
    <pivotField dataField="1" showAll="0"/>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Employees" fld="0" subtotal="count" baseField="0" baseItem="0"/>
    <dataField name="Payroll" fld="8" baseField="4" baseItem="0" numFmtId="164"/>
  </dataFields>
  <formats count="6">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15371-92D9-4F6E-BDAD-D874CD6A384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rformance Score">
  <location ref="A18:C23" firstHeaderRow="0" firstDataRow="1" firstDataCol="1"/>
  <pivotFields count="13">
    <pivotField dataField="1" showAll="0"/>
    <pivotField showAll="0"/>
    <pivotField showAll="0"/>
    <pivotField showAll="0"/>
    <pivotField showAll="0"/>
    <pivotField showAll="0"/>
    <pivotField showAll="0"/>
    <pivotField showAll="0"/>
    <pivotField dataField="1" showAll="0"/>
    <pivotField showAll="0"/>
    <pivotField showAll="0"/>
    <pivotField axis="axisRow" showAll="0">
      <items count="5">
        <item x="1"/>
        <item x="2"/>
        <item x="0"/>
        <item x="3"/>
        <item t="default"/>
      </items>
    </pivotField>
    <pivotField showAll="0">
      <items count="3">
        <item x="1"/>
        <item x="0"/>
        <item t="default"/>
      </items>
    </pivotField>
  </pivotFields>
  <rowFields count="1">
    <field x="11"/>
  </rowFields>
  <rowItems count="5">
    <i>
      <x/>
    </i>
    <i>
      <x v="1"/>
    </i>
    <i>
      <x v="2"/>
    </i>
    <i>
      <x v="3"/>
    </i>
    <i t="grand">
      <x/>
    </i>
  </rowItems>
  <colFields count="1">
    <field x="-2"/>
  </colFields>
  <colItems count="2">
    <i>
      <x/>
    </i>
    <i i="1">
      <x v="1"/>
    </i>
  </colItems>
  <dataFields count="2">
    <dataField name="Employees" fld="0" subtotal="count" baseField="0" baseItem="0"/>
    <dataField name="Payroll" fld="8" baseField="11" baseItem="0" numFmtId="164"/>
  </dataFields>
  <formats count="6">
    <format dxfId="32">
      <pivotArea type="all" dataOnly="0" outline="0" fieldPosition="0"/>
    </format>
    <format dxfId="31">
      <pivotArea outline="0" collapsedLevelsAreSubtotals="1" fieldPosition="0"/>
    </format>
    <format dxfId="30">
      <pivotArea field="11" type="button" dataOnly="0" labelOnly="1" outline="0" axis="axisRow" fieldPosition="0"/>
    </format>
    <format dxfId="29">
      <pivotArea dataOnly="0" labelOnly="1" fieldPosition="0">
        <references count="1">
          <reference field="11"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5B0146EA-BA5D-4C78-B1AB-FD1D00CD75BB}" sourceName="Remote_Work">
  <pivotTables>
    <pivotTable tabId="3" name="PivotTable4"/>
    <pivotTable tabId="3" name="PivotTable1"/>
    <pivotTable tabId="3" name="PivotTable2"/>
  </pivotTables>
  <data>
    <tabular pivotCacheId="8783056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ote_Work" xr10:uid="{BBF189B4-3430-4FE5-80FA-A02724E9F328}" cache="Slicer_Remote_Work" caption="Remote Work?"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BBB756-7AE8-4B45-937B-42393FD9746F}" name="HR_Data" displayName="HR_Data" ref="A1:M1021" totalsRowShown="0" headerRowDxfId="14" dataDxfId="13">
  <autoFilter ref="A1:M1021" xr:uid="{29BBB756-7AE8-4B45-937B-42393FD9746F}"/>
  <tableColumns count="13">
    <tableColumn id="1" xr3:uid="{0163D0BE-5253-4792-AB47-6FAB7096A1D1}" name="Employee_ID" dataDxfId="12">
      <calculatedColumnFormula>IFERROR(TRIM(Raw_Data!A2), "Review")</calculatedColumnFormula>
    </tableColumn>
    <tableColumn id="2" xr3:uid="{3719CDF7-C03E-415B-AEC3-97038A66C314}" name="First_Name" dataDxfId="11">
      <calculatedColumnFormula>IFERROR(TRIM(Raw_Data!B2), "Review")</calculatedColumnFormula>
    </tableColumn>
    <tableColumn id="3" xr3:uid="{4FF9E4FB-F62E-4E31-B68B-B10A862AF18B}" name="Last_Name" dataDxfId="10">
      <calculatedColumnFormula>IFERROR(TRIM(Raw_Data!C2), "Review")</calculatedColumnFormula>
    </tableColumn>
    <tableColumn id="4" xr3:uid="{F2F6C69F-F174-46DB-B038-84209B02A1FE}" name="Age" dataDxfId="9">
      <calculatedColumnFormula>IF(Raw_Data!D2="", "", IFERROR(VALUE(Raw_Data!D2), ""))</calculatedColumnFormula>
    </tableColumn>
    <tableColumn id="5" xr3:uid="{8184B14C-1C37-490A-9950-ED41BD8303E7}" name="Department" dataDxfId="8">
      <calculatedColumnFormula>IFERROR(LEFT(Raw_Data!E2,SEARCH("-",Raw_Data!E2)-1),"Review")</calculatedColumnFormula>
    </tableColumn>
    <tableColumn id="6" xr3:uid="{93B4D48A-E292-4D40-9B9D-7CA50D993BB9}" name="Region" dataDxfId="7">
      <calculatedColumnFormula>IFERROR(_xlfn.TEXTAFTER(Raw_Data!E2,"-"),"Review")</calculatedColumnFormula>
    </tableColumn>
    <tableColumn id="7" xr3:uid="{708077BF-7F94-4AC2-A42F-7CA32D4044A6}" name="Status" dataDxfId="6">
      <calculatedColumnFormula>IFERROR(TRIM(Raw_Data!F2), "Review")</calculatedColumnFormula>
    </tableColumn>
    <tableColumn id="8" xr3:uid="{2980C6CE-9D35-4E8F-86FD-7213C5B2DE64}" name="Join_Date" dataDxfId="5">
      <calculatedColumnFormula>IFERROR(TEXT(Raw_Data!G2, "YYYY-MM-DD"),"Review")</calculatedColumnFormula>
    </tableColumn>
    <tableColumn id="9" xr3:uid="{DF0A5A64-F1EC-4339-BC33-D59DE15F78CE}" name="Salary" dataDxfId="4">
      <calculatedColumnFormula>IF(Raw_Data!H2="", "", IFERROR(VALUE(Raw_Data!H2), ""))</calculatedColumnFormula>
    </tableColumn>
    <tableColumn id="10" xr3:uid="{1EE83ECC-8E89-45A5-BCB0-4D6B460AB281}" name="Email" dataDxfId="3">
      <calculatedColumnFormula>IF(Raw_Data!I2="", "", IF(ISNUMBER(FIND("@", Raw_Data!I2)), Raw_Data!I2, "Review"))</calculatedColumnFormula>
    </tableColumn>
    <tableColumn id="11" xr3:uid="{562A4209-0597-42A7-AA81-511F73DAB1B8}" name="Phone" dataDxfId="2">
      <calculatedColumnFormula>IFERROR(TEXT(ABS(Raw_Data!J2), "0"), "Review")</calculatedColumnFormula>
    </tableColumn>
    <tableColumn id="12" xr3:uid="{DDE06872-A350-47DD-AC81-24B21D275087}" name="Performance_Score" dataDxfId="1">
      <calculatedColumnFormula>IFERROR(TRIM(Raw_Data!K2), "Review")</calculatedColumnFormula>
    </tableColumn>
    <tableColumn id="13" xr3:uid="{827B0C52-CF5E-4EE7-86C8-A478FFC08C49}" name="Remote_Work" dataDxfId="0">
      <calculatedColumnFormula>IF(Raw_Data!L2="", "",
    IF(ISLOGICAL(Raw_Data!L2), Raw_Data!L2,
        IF(OR(UPPER(Raw_Data!L2)="TRUE", UPPER(Raw_Data!L2)="YES", UPPER(Raw_Data!L2)="1"), TRUE,
            IF(OR(UPPER(Raw_Data!L2)="FALSE", UPPER(Raw_Data!L2)="NO", UPPER(Raw_Data!L2)="0"), FALSE, "Review")
        )
    )
)</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C500-B2D4-4BAA-9CCE-4B1DB3E34894}">
  <dimension ref="A1:L1021"/>
  <sheetViews>
    <sheetView workbookViewId="0">
      <selection activeCell="Q8" sqref="Q8"/>
    </sheetView>
  </sheetViews>
  <sheetFormatPr defaultRowHeight="14.4" x14ac:dyDescent="0.3"/>
  <cols>
    <col min="1" max="1" width="12.21875" customWidth="1"/>
    <col min="2" max="2" width="10.21875" customWidth="1"/>
    <col min="3" max="3" width="10" customWidth="1"/>
    <col min="5" max="5" width="17.33203125" customWidth="1"/>
    <col min="9" max="9" width="25.44140625" customWidth="1"/>
    <col min="10" max="10" width="8.8867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25</v>
      </c>
      <c r="E2" t="s">
        <v>15</v>
      </c>
      <c r="F2" t="s">
        <v>16</v>
      </c>
      <c r="G2" s="1">
        <v>44288</v>
      </c>
      <c r="H2">
        <v>59767.65</v>
      </c>
      <c r="I2" t="s">
        <v>17</v>
      </c>
      <c r="J2">
        <v>-1651623197</v>
      </c>
      <c r="K2" t="s">
        <v>18</v>
      </c>
      <c r="L2" t="b">
        <v>1</v>
      </c>
    </row>
    <row r="3" spans="1:12" x14ac:dyDescent="0.3">
      <c r="A3" t="s">
        <v>19</v>
      </c>
      <c r="B3" t="s">
        <v>13</v>
      </c>
      <c r="C3" t="s">
        <v>20</v>
      </c>
      <c r="E3" t="s">
        <v>21</v>
      </c>
      <c r="F3" t="s">
        <v>16</v>
      </c>
      <c r="G3" s="1">
        <v>44022</v>
      </c>
      <c r="H3">
        <v>65304.66</v>
      </c>
      <c r="I3" t="s">
        <v>22</v>
      </c>
      <c r="J3">
        <v>-1898471390</v>
      </c>
      <c r="K3" t="s">
        <v>23</v>
      </c>
      <c r="L3" t="b">
        <v>1</v>
      </c>
    </row>
    <row r="4" spans="1:12" x14ac:dyDescent="0.3">
      <c r="A4" t="s">
        <v>24</v>
      </c>
      <c r="B4" t="s">
        <v>25</v>
      </c>
      <c r="C4" t="s">
        <v>26</v>
      </c>
      <c r="E4" t="s">
        <v>27</v>
      </c>
      <c r="F4" t="s">
        <v>28</v>
      </c>
      <c r="G4" s="1">
        <v>45267</v>
      </c>
      <c r="H4">
        <v>88145.9</v>
      </c>
      <c r="I4" t="s">
        <v>29</v>
      </c>
      <c r="J4">
        <v>-5596363211</v>
      </c>
      <c r="K4" t="s">
        <v>30</v>
      </c>
      <c r="L4" t="b">
        <v>1</v>
      </c>
    </row>
    <row r="5" spans="1:12" x14ac:dyDescent="0.3">
      <c r="A5" t="s">
        <v>31</v>
      </c>
      <c r="B5" t="s">
        <v>32</v>
      </c>
      <c r="C5" t="s">
        <v>14</v>
      </c>
      <c r="D5">
        <v>25</v>
      </c>
      <c r="E5" t="s">
        <v>27</v>
      </c>
      <c r="F5" t="s">
        <v>33</v>
      </c>
      <c r="G5" s="1">
        <v>44527</v>
      </c>
      <c r="H5">
        <v>69450.990000000005</v>
      </c>
      <c r="I5" t="s">
        <v>34</v>
      </c>
      <c r="J5">
        <v>-3476490784</v>
      </c>
      <c r="K5" t="s">
        <v>30</v>
      </c>
      <c r="L5" t="b">
        <v>1</v>
      </c>
    </row>
    <row r="6" spans="1:12" x14ac:dyDescent="0.3">
      <c r="A6" t="s">
        <v>35</v>
      </c>
      <c r="B6" t="s">
        <v>36</v>
      </c>
      <c r="C6" t="s">
        <v>37</v>
      </c>
      <c r="D6">
        <v>25</v>
      </c>
      <c r="E6" t="s">
        <v>38</v>
      </c>
      <c r="F6" t="s">
        <v>16</v>
      </c>
      <c r="G6" s="1">
        <v>44566</v>
      </c>
      <c r="H6">
        <v>109324.61</v>
      </c>
      <c r="I6" t="s">
        <v>39</v>
      </c>
      <c r="J6">
        <v>-1586734256</v>
      </c>
      <c r="K6" t="s">
        <v>40</v>
      </c>
      <c r="L6" t="b">
        <v>0</v>
      </c>
    </row>
    <row r="7" spans="1:12" x14ac:dyDescent="0.3">
      <c r="A7" t="s">
        <v>41</v>
      </c>
      <c r="B7" t="s">
        <v>25</v>
      </c>
      <c r="C7" t="s">
        <v>42</v>
      </c>
      <c r="D7">
        <v>40</v>
      </c>
      <c r="E7" t="s">
        <v>43</v>
      </c>
      <c r="F7" t="s">
        <v>33</v>
      </c>
      <c r="G7" s="1">
        <v>43992</v>
      </c>
      <c r="H7">
        <v>88642.84</v>
      </c>
      <c r="I7" t="s">
        <v>44</v>
      </c>
      <c r="J7">
        <v>-5409003485</v>
      </c>
      <c r="K7" t="s">
        <v>30</v>
      </c>
      <c r="L7" t="b">
        <v>0</v>
      </c>
    </row>
    <row r="8" spans="1:12" x14ac:dyDescent="0.3">
      <c r="A8" t="s">
        <v>45</v>
      </c>
      <c r="B8" t="s">
        <v>36</v>
      </c>
      <c r="C8" t="s">
        <v>26</v>
      </c>
      <c r="E8" t="s">
        <v>27</v>
      </c>
      <c r="F8" t="s">
        <v>16</v>
      </c>
      <c r="G8" s="1">
        <v>43924</v>
      </c>
      <c r="H8">
        <v>96288.43</v>
      </c>
      <c r="I8" t="s">
        <v>46</v>
      </c>
      <c r="J8">
        <v>-4518376063</v>
      </c>
      <c r="K8" t="s">
        <v>30</v>
      </c>
      <c r="L8" t="b">
        <v>0</v>
      </c>
    </row>
    <row r="9" spans="1:12" x14ac:dyDescent="0.3">
      <c r="A9" t="s">
        <v>47</v>
      </c>
      <c r="B9" t="s">
        <v>13</v>
      </c>
      <c r="C9" t="s">
        <v>26</v>
      </c>
      <c r="D9">
        <v>30</v>
      </c>
      <c r="E9" t="s">
        <v>38</v>
      </c>
      <c r="F9" t="s">
        <v>33</v>
      </c>
      <c r="G9" s="1">
        <v>44759</v>
      </c>
      <c r="H9">
        <v>94497.91</v>
      </c>
      <c r="I9" t="s">
        <v>48</v>
      </c>
      <c r="J9">
        <v>-4134327559</v>
      </c>
      <c r="K9" t="s">
        <v>18</v>
      </c>
      <c r="L9" t="b">
        <v>1</v>
      </c>
    </row>
    <row r="10" spans="1:12" x14ac:dyDescent="0.3">
      <c r="A10" t="s">
        <v>49</v>
      </c>
      <c r="B10" t="s">
        <v>36</v>
      </c>
      <c r="C10" t="s">
        <v>14</v>
      </c>
      <c r="D10">
        <v>35</v>
      </c>
      <c r="E10" t="s">
        <v>27</v>
      </c>
      <c r="F10" t="s">
        <v>33</v>
      </c>
      <c r="G10" s="1">
        <v>45268</v>
      </c>
      <c r="H10">
        <v>115565.82</v>
      </c>
      <c r="I10" t="s">
        <v>50</v>
      </c>
      <c r="J10">
        <v>-4177656123</v>
      </c>
      <c r="K10" t="s">
        <v>23</v>
      </c>
      <c r="L10" t="b">
        <v>1</v>
      </c>
    </row>
    <row r="11" spans="1:12" x14ac:dyDescent="0.3">
      <c r="A11" t="s">
        <v>51</v>
      </c>
      <c r="B11" t="s">
        <v>52</v>
      </c>
      <c r="C11" t="s">
        <v>53</v>
      </c>
      <c r="E11" t="s">
        <v>54</v>
      </c>
      <c r="F11" t="s">
        <v>16</v>
      </c>
      <c r="G11" s="1">
        <v>44777</v>
      </c>
      <c r="H11">
        <v>76561.88</v>
      </c>
      <c r="I11" t="s">
        <v>55</v>
      </c>
      <c r="J11">
        <v>-8156985699</v>
      </c>
      <c r="K11" t="s">
        <v>23</v>
      </c>
      <c r="L11" t="b">
        <v>1</v>
      </c>
    </row>
    <row r="12" spans="1:12" x14ac:dyDescent="0.3">
      <c r="A12" t="s">
        <v>56</v>
      </c>
      <c r="B12" t="s">
        <v>57</v>
      </c>
      <c r="C12" t="s">
        <v>37</v>
      </c>
      <c r="D12">
        <v>35</v>
      </c>
      <c r="E12" t="s">
        <v>58</v>
      </c>
      <c r="F12" t="s">
        <v>16</v>
      </c>
      <c r="G12" s="1">
        <v>45479</v>
      </c>
      <c r="H12">
        <v>72081.710000000006</v>
      </c>
      <c r="I12" t="s">
        <v>59</v>
      </c>
      <c r="J12">
        <v>-2720634590</v>
      </c>
      <c r="K12" t="s">
        <v>18</v>
      </c>
      <c r="L12" t="b">
        <v>0</v>
      </c>
    </row>
    <row r="13" spans="1:12" x14ac:dyDescent="0.3">
      <c r="A13" t="s">
        <v>60</v>
      </c>
      <c r="B13" t="s">
        <v>57</v>
      </c>
      <c r="C13" t="s">
        <v>14</v>
      </c>
      <c r="E13" t="s">
        <v>15</v>
      </c>
      <c r="F13" t="s">
        <v>16</v>
      </c>
      <c r="G13" s="1">
        <v>45173</v>
      </c>
      <c r="H13">
        <v>84946.19</v>
      </c>
      <c r="I13" t="s">
        <v>61</v>
      </c>
      <c r="J13">
        <v>-1238296576</v>
      </c>
      <c r="K13" t="s">
        <v>40</v>
      </c>
      <c r="L13" t="b">
        <v>1</v>
      </c>
    </row>
    <row r="14" spans="1:12" x14ac:dyDescent="0.3">
      <c r="A14" t="s">
        <v>62</v>
      </c>
      <c r="B14" t="s">
        <v>63</v>
      </c>
      <c r="C14" t="s">
        <v>37</v>
      </c>
      <c r="D14">
        <v>30</v>
      </c>
      <c r="E14" t="s">
        <v>64</v>
      </c>
      <c r="F14" t="s">
        <v>16</v>
      </c>
      <c r="G14" s="1">
        <v>45356</v>
      </c>
      <c r="H14">
        <v>89295.77</v>
      </c>
      <c r="I14" t="s">
        <v>65</v>
      </c>
      <c r="J14">
        <v>-2429543164</v>
      </c>
      <c r="K14" t="s">
        <v>23</v>
      </c>
      <c r="L14" t="b">
        <v>0</v>
      </c>
    </row>
    <row r="15" spans="1:12" x14ac:dyDescent="0.3">
      <c r="A15" t="s">
        <v>66</v>
      </c>
      <c r="B15" t="s">
        <v>67</v>
      </c>
      <c r="C15" t="s">
        <v>37</v>
      </c>
      <c r="E15" t="s">
        <v>68</v>
      </c>
      <c r="F15" t="s">
        <v>16</v>
      </c>
      <c r="G15" s="1">
        <v>44114</v>
      </c>
      <c r="H15">
        <v>85666.84</v>
      </c>
      <c r="I15" t="s">
        <v>69</v>
      </c>
      <c r="J15">
        <v>-2669300892</v>
      </c>
      <c r="K15" t="s">
        <v>30</v>
      </c>
      <c r="L15" t="b">
        <v>0</v>
      </c>
    </row>
    <row r="16" spans="1:12" x14ac:dyDescent="0.3">
      <c r="A16" t="s">
        <v>70</v>
      </c>
      <c r="B16" t="s">
        <v>25</v>
      </c>
      <c r="C16" t="s">
        <v>42</v>
      </c>
      <c r="D16">
        <v>25</v>
      </c>
      <c r="E16" t="s">
        <v>27</v>
      </c>
      <c r="F16" t="s">
        <v>16</v>
      </c>
      <c r="G16" s="1">
        <v>45453</v>
      </c>
      <c r="H16">
        <v>97633.68</v>
      </c>
      <c r="I16" t="s">
        <v>44</v>
      </c>
      <c r="J16">
        <v>-1734206968</v>
      </c>
      <c r="K16" t="s">
        <v>23</v>
      </c>
      <c r="L16" t="b">
        <v>1</v>
      </c>
    </row>
    <row r="17" spans="1:12" x14ac:dyDescent="0.3">
      <c r="A17" t="s">
        <v>71</v>
      </c>
      <c r="B17" t="s">
        <v>67</v>
      </c>
      <c r="C17" t="s">
        <v>26</v>
      </c>
      <c r="D17">
        <v>40</v>
      </c>
      <c r="E17" t="s">
        <v>72</v>
      </c>
      <c r="F17" t="s">
        <v>28</v>
      </c>
      <c r="G17" s="1">
        <v>44345</v>
      </c>
      <c r="H17">
        <v>117975.49</v>
      </c>
      <c r="I17" t="s">
        <v>73</v>
      </c>
      <c r="J17">
        <v>-4215291085</v>
      </c>
      <c r="K17" t="s">
        <v>30</v>
      </c>
      <c r="L17" t="b">
        <v>1</v>
      </c>
    </row>
    <row r="18" spans="1:12" x14ac:dyDescent="0.3">
      <c r="A18" t="s">
        <v>74</v>
      </c>
      <c r="B18" t="s">
        <v>25</v>
      </c>
      <c r="C18" t="s">
        <v>20</v>
      </c>
      <c r="D18">
        <v>25</v>
      </c>
      <c r="E18" t="s">
        <v>75</v>
      </c>
      <c r="F18" t="s">
        <v>33</v>
      </c>
      <c r="G18" s="1">
        <v>45405</v>
      </c>
      <c r="H18">
        <v>94867.33</v>
      </c>
      <c r="I18" t="s">
        <v>76</v>
      </c>
      <c r="J18">
        <v>-7713334475</v>
      </c>
      <c r="K18" t="s">
        <v>40</v>
      </c>
      <c r="L18" t="b">
        <v>0</v>
      </c>
    </row>
    <row r="19" spans="1:12" x14ac:dyDescent="0.3">
      <c r="A19" t="s">
        <v>77</v>
      </c>
      <c r="B19" t="s">
        <v>67</v>
      </c>
      <c r="C19" t="s">
        <v>42</v>
      </c>
      <c r="D19">
        <v>30</v>
      </c>
      <c r="E19" t="s">
        <v>21</v>
      </c>
      <c r="F19" t="s">
        <v>28</v>
      </c>
      <c r="G19" s="1">
        <v>45624</v>
      </c>
      <c r="H19">
        <v>100377.65</v>
      </c>
      <c r="I19" t="s">
        <v>78</v>
      </c>
      <c r="J19">
        <v>-2639343625</v>
      </c>
      <c r="K19" t="s">
        <v>18</v>
      </c>
      <c r="L19" t="b">
        <v>1</v>
      </c>
    </row>
    <row r="20" spans="1:12" x14ac:dyDescent="0.3">
      <c r="A20" t="s">
        <v>79</v>
      </c>
      <c r="B20" t="s">
        <v>52</v>
      </c>
      <c r="C20" t="s">
        <v>42</v>
      </c>
      <c r="E20" t="s">
        <v>80</v>
      </c>
      <c r="F20" t="s">
        <v>33</v>
      </c>
      <c r="G20" s="1">
        <v>45554</v>
      </c>
      <c r="H20">
        <v>94726.46</v>
      </c>
      <c r="I20" t="s">
        <v>81</v>
      </c>
      <c r="J20">
        <v>-2044397358</v>
      </c>
      <c r="K20" t="s">
        <v>23</v>
      </c>
      <c r="L20" t="b">
        <v>0</v>
      </c>
    </row>
    <row r="21" spans="1:12" x14ac:dyDescent="0.3">
      <c r="A21" t="s">
        <v>82</v>
      </c>
      <c r="B21" t="s">
        <v>52</v>
      </c>
      <c r="C21" t="s">
        <v>37</v>
      </c>
      <c r="D21">
        <v>35</v>
      </c>
      <c r="E21" t="s">
        <v>83</v>
      </c>
      <c r="F21" t="s">
        <v>28</v>
      </c>
      <c r="G21" s="1">
        <v>43832</v>
      </c>
      <c r="H21">
        <v>91926.12</v>
      </c>
      <c r="I21" t="s">
        <v>84</v>
      </c>
      <c r="J21">
        <v>-7107256365</v>
      </c>
      <c r="K21" t="s">
        <v>18</v>
      </c>
      <c r="L21" t="b">
        <v>1</v>
      </c>
    </row>
    <row r="22" spans="1:12" x14ac:dyDescent="0.3">
      <c r="A22" t="s">
        <v>85</v>
      </c>
      <c r="B22" t="s">
        <v>13</v>
      </c>
      <c r="C22" t="s">
        <v>86</v>
      </c>
      <c r="D22">
        <v>35</v>
      </c>
      <c r="E22" t="s">
        <v>64</v>
      </c>
      <c r="F22" t="s">
        <v>16</v>
      </c>
      <c r="G22" s="1">
        <v>44324</v>
      </c>
      <c r="H22">
        <v>111460.67</v>
      </c>
      <c r="I22" t="s">
        <v>87</v>
      </c>
      <c r="J22">
        <v>-9411800536</v>
      </c>
      <c r="K22" t="s">
        <v>23</v>
      </c>
      <c r="L22" t="b">
        <v>1</v>
      </c>
    </row>
    <row r="23" spans="1:12" x14ac:dyDescent="0.3">
      <c r="A23" t="s">
        <v>88</v>
      </c>
      <c r="B23" t="s">
        <v>13</v>
      </c>
      <c r="C23" t="s">
        <v>26</v>
      </c>
      <c r="D23">
        <v>40</v>
      </c>
      <c r="E23" t="s">
        <v>89</v>
      </c>
      <c r="F23" t="s">
        <v>16</v>
      </c>
      <c r="G23" s="1">
        <v>44093</v>
      </c>
      <c r="H23">
        <v>96182.56</v>
      </c>
      <c r="I23" t="s">
        <v>48</v>
      </c>
      <c r="J23">
        <v>-5990048963</v>
      </c>
      <c r="K23" t="s">
        <v>30</v>
      </c>
      <c r="L23" t="b">
        <v>0</v>
      </c>
    </row>
    <row r="24" spans="1:12" x14ac:dyDescent="0.3">
      <c r="A24" t="s">
        <v>90</v>
      </c>
      <c r="B24" t="s">
        <v>52</v>
      </c>
      <c r="C24" t="s">
        <v>53</v>
      </c>
      <c r="D24">
        <v>35</v>
      </c>
      <c r="E24" t="s">
        <v>91</v>
      </c>
      <c r="F24" t="s">
        <v>33</v>
      </c>
      <c r="G24" s="1">
        <v>44264</v>
      </c>
      <c r="H24">
        <v>115023.94</v>
      </c>
      <c r="I24" t="s">
        <v>55</v>
      </c>
      <c r="J24">
        <v>-6528092427</v>
      </c>
      <c r="K24" t="s">
        <v>18</v>
      </c>
      <c r="L24" t="b">
        <v>1</v>
      </c>
    </row>
    <row r="25" spans="1:12" x14ac:dyDescent="0.3">
      <c r="A25" t="s">
        <v>92</v>
      </c>
      <c r="B25" t="s">
        <v>57</v>
      </c>
      <c r="C25" t="s">
        <v>42</v>
      </c>
      <c r="D25">
        <v>35</v>
      </c>
      <c r="E25" t="s">
        <v>93</v>
      </c>
      <c r="F25" t="s">
        <v>28</v>
      </c>
      <c r="G25" s="1">
        <v>44595</v>
      </c>
      <c r="H25">
        <v>80667.009999999995</v>
      </c>
      <c r="I25" t="s">
        <v>94</v>
      </c>
      <c r="J25">
        <v>-7572158623</v>
      </c>
      <c r="K25" t="s">
        <v>23</v>
      </c>
      <c r="L25" t="b">
        <v>0</v>
      </c>
    </row>
    <row r="26" spans="1:12" x14ac:dyDescent="0.3">
      <c r="A26" t="s">
        <v>95</v>
      </c>
      <c r="B26" t="s">
        <v>13</v>
      </c>
      <c r="C26" t="s">
        <v>20</v>
      </c>
      <c r="D26">
        <v>30</v>
      </c>
      <c r="E26" t="s">
        <v>96</v>
      </c>
      <c r="F26" t="s">
        <v>33</v>
      </c>
      <c r="G26" s="1">
        <v>43874</v>
      </c>
      <c r="H26">
        <v>91181.61</v>
      </c>
      <c r="I26" t="s">
        <v>22</v>
      </c>
      <c r="J26">
        <v>-1502745643</v>
      </c>
      <c r="K26" t="s">
        <v>30</v>
      </c>
      <c r="L26" t="b">
        <v>1</v>
      </c>
    </row>
    <row r="27" spans="1:12" x14ac:dyDescent="0.3">
      <c r="A27" t="s">
        <v>97</v>
      </c>
      <c r="B27" t="s">
        <v>57</v>
      </c>
      <c r="C27" t="s">
        <v>86</v>
      </c>
      <c r="D27">
        <v>25</v>
      </c>
      <c r="E27" t="s">
        <v>80</v>
      </c>
      <c r="F27" t="s">
        <v>28</v>
      </c>
      <c r="G27" s="1">
        <v>43951</v>
      </c>
      <c r="H27">
        <v>66025.919999999998</v>
      </c>
      <c r="I27" t="s">
        <v>98</v>
      </c>
      <c r="J27">
        <v>-9485625727</v>
      </c>
      <c r="K27" t="s">
        <v>18</v>
      </c>
      <c r="L27" t="b">
        <v>0</v>
      </c>
    </row>
    <row r="28" spans="1:12" x14ac:dyDescent="0.3">
      <c r="A28" t="s">
        <v>99</v>
      </c>
      <c r="B28" t="s">
        <v>36</v>
      </c>
      <c r="C28" t="s">
        <v>86</v>
      </c>
      <c r="D28">
        <v>25</v>
      </c>
      <c r="E28" t="s">
        <v>100</v>
      </c>
      <c r="F28" t="s">
        <v>33</v>
      </c>
      <c r="G28" s="1">
        <v>45201</v>
      </c>
      <c r="H28">
        <v>83979.01</v>
      </c>
      <c r="I28" t="s">
        <v>101</v>
      </c>
      <c r="J28">
        <v>-7032032073</v>
      </c>
      <c r="K28" t="s">
        <v>18</v>
      </c>
      <c r="L28" t="b">
        <v>0</v>
      </c>
    </row>
    <row r="29" spans="1:12" x14ac:dyDescent="0.3">
      <c r="A29" t="s">
        <v>102</v>
      </c>
      <c r="B29" t="s">
        <v>63</v>
      </c>
      <c r="C29" t="s">
        <v>53</v>
      </c>
      <c r="D29">
        <v>30</v>
      </c>
      <c r="E29" t="s">
        <v>103</v>
      </c>
      <c r="F29" t="s">
        <v>16</v>
      </c>
      <c r="G29" s="1">
        <v>44024</v>
      </c>
      <c r="H29">
        <v>56785.16</v>
      </c>
      <c r="I29" t="s">
        <v>104</v>
      </c>
      <c r="J29">
        <v>-2761707586</v>
      </c>
      <c r="K29" t="s">
        <v>23</v>
      </c>
      <c r="L29" t="b">
        <v>1</v>
      </c>
    </row>
    <row r="30" spans="1:12" x14ac:dyDescent="0.3">
      <c r="A30" t="s">
        <v>105</v>
      </c>
      <c r="B30" t="s">
        <v>67</v>
      </c>
      <c r="C30" t="s">
        <v>42</v>
      </c>
      <c r="D30">
        <v>40</v>
      </c>
      <c r="E30" t="s">
        <v>93</v>
      </c>
      <c r="F30" t="s">
        <v>16</v>
      </c>
      <c r="G30" s="1">
        <v>45210</v>
      </c>
      <c r="H30">
        <v>95741.88</v>
      </c>
      <c r="I30" t="s">
        <v>78</v>
      </c>
      <c r="J30">
        <v>-7712151341</v>
      </c>
      <c r="K30" t="s">
        <v>23</v>
      </c>
      <c r="L30" t="b">
        <v>0</v>
      </c>
    </row>
    <row r="31" spans="1:12" x14ac:dyDescent="0.3">
      <c r="A31" t="s">
        <v>106</v>
      </c>
      <c r="B31" t="s">
        <v>25</v>
      </c>
      <c r="C31" t="s">
        <v>20</v>
      </c>
      <c r="D31">
        <v>40</v>
      </c>
      <c r="E31" t="s">
        <v>15</v>
      </c>
      <c r="F31" t="s">
        <v>16</v>
      </c>
      <c r="G31" s="1">
        <v>44340</v>
      </c>
      <c r="H31">
        <v>63411.31</v>
      </c>
      <c r="I31" t="s">
        <v>76</v>
      </c>
      <c r="J31">
        <v>-2849939088</v>
      </c>
      <c r="K31" t="s">
        <v>23</v>
      </c>
      <c r="L31" t="b">
        <v>1</v>
      </c>
    </row>
    <row r="32" spans="1:12" x14ac:dyDescent="0.3">
      <c r="A32" t="s">
        <v>107</v>
      </c>
      <c r="B32" t="s">
        <v>52</v>
      </c>
      <c r="C32" t="s">
        <v>26</v>
      </c>
      <c r="D32">
        <v>40</v>
      </c>
      <c r="E32" t="s">
        <v>108</v>
      </c>
      <c r="F32" t="s">
        <v>33</v>
      </c>
      <c r="G32" s="1">
        <v>44342</v>
      </c>
      <c r="H32">
        <v>111214.02</v>
      </c>
      <c r="I32" t="s">
        <v>109</v>
      </c>
      <c r="J32">
        <v>-2613715040</v>
      </c>
      <c r="K32" t="s">
        <v>30</v>
      </c>
      <c r="L32" t="b">
        <v>1</v>
      </c>
    </row>
    <row r="33" spans="1:12" x14ac:dyDescent="0.3">
      <c r="A33" t="s">
        <v>110</v>
      </c>
      <c r="B33" t="s">
        <v>13</v>
      </c>
      <c r="C33" t="s">
        <v>111</v>
      </c>
      <c r="D33">
        <v>25</v>
      </c>
      <c r="E33" t="s">
        <v>75</v>
      </c>
      <c r="F33" t="s">
        <v>16</v>
      </c>
      <c r="G33" s="1">
        <v>44022</v>
      </c>
      <c r="H33">
        <v>114845.69</v>
      </c>
      <c r="I33" t="s">
        <v>112</v>
      </c>
      <c r="J33">
        <v>-6591520176</v>
      </c>
      <c r="K33" t="s">
        <v>23</v>
      </c>
      <c r="L33" t="b">
        <v>1</v>
      </c>
    </row>
    <row r="34" spans="1:12" x14ac:dyDescent="0.3">
      <c r="A34" t="s">
        <v>113</v>
      </c>
      <c r="B34" t="s">
        <v>52</v>
      </c>
      <c r="C34" t="s">
        <v>20</v>
      </c>
      <c r="D34">
        <v>40</v>
      </c>
      <c r="E34" t="s">
        <v>103</v>
      </c>
      <c r="F34" t="s">
        <v>16</v>
      </c>
      <c r="G34" s="1">
        <v>45601</v>
      </c>
      <c r="H34">
        <v>78072.820000000007</v>
      </c>
      <c r="I34" t="s">
        <v>114</v>
      </c>
      <c r="J34">
        <v>-7490509758</v>
      </c>
      <c r="K34" t="s">
        <v>18</v>
      </c>
      <c r="L34" t="b">
        <v>0</v>
      </c>
    </row>
    <row r="35" spans="1:12" x14ac:dyDescent="0.3">
      <c r="A35" t="s">
        <v>115</v>
      </c>
      <c r="B35" t="s">
        <v>67</v>
      </c>
      <c r="C35" t="s">
        <v>53</v>
      </c>
      <c r="D35">
        <v>25</v>
      </c>
      <c r="E35" t="s">
        <v>68</v>
      </c>
      <c r="F35" t="s">
        <v>33</v>
      </c>
      <c r="G35" s="1">
        <v>44415</v>
      </c>
      <c r="H35">
        <v>79610.52</v>
      </c>
      <c r="I35" t="s">
        <v>116</v>
      </c>
      <c r="J35">
        <v>-2304501895</v>
      </c>
      <c r="K35" t="s">
        <v>18</v>
      </c>
      <c r="L35" t="b">
        <v>0</v>
      </c>
    </row>
    <row r="36" spans="1:12" x14ac:dyDescent="0.3">
      <c r="A36" t="s">
        <v>117</v>
      </c>
      <c r="B36" t="s">
        <v>63</v>
      </c>
      <c r="C36" t="s">
        <v>86</v>
      </c>
      <c r="D36">
        <v>30</v>
      </c>
      <c r="E36" t="s">
        <v>108</v>
      </c>
      <c r="F36" t="s">
        <v>16</v>
      </c>
      <c r="G36" s="1">
        <v>43950</v>
      </c>
      <c r="H36">
        <v>90542.62</v>
      </c>
      <c r="I36" t="s">
        <v>118</v>
      </c>
      <c r="J36">
        <v>-1642361031</v>
      </c>
      <c r="K36" t="s">
        <v>23</v>
      </c>
      <c r="L36" t="b">
        <v>1</v>
      </c>
    </row>
    <row r="37" spans="1:12" x14ac:dyDescent="0.3">
      <c r="A37" t="s">
        <v>119</v>
      </c>
      <c r="B37" t="s">
        <v>36</v>
      </c>
      <c r="C37" t="s">
        <v>26</v>
      </c>
      <c r="D37">
        <v>25</v>
      </c>
      <c r="E37" t="s">
        <v>89</v>
      </c>
      <c r="F37" t="s">
        <v>33</v>
      </c>
      <c r="G37" s="1">
        <v>44860</v>
      </c>
      <c r="H37">
        <v>114357.1</v>
      </c>
      <c r="I37" t="s">
        <v>46</v>
      </c>
      <c r="J37">
        <v>-6642147648</v>
      </c>
      <c r="K37" t="s">
        <v>23</v>
      </c>
      <c r="L37" t="b">
        <v>1</v>
      </c>
    </row>
    <row r="38" spans="1:12" x14ac:dyDescent="0.3">
      <c r="A38" t="s">
        <v>120</v>
      </c>
      <c r="B38" t="s">
        <v>25</v>
      </c>
      <c r="C38" t="s">
        <v>20</v>
      </c>
      <c r="E38" t="s">
        <v>58</v>
      </c>
      <c r="F38" t="s">
        <v>16</v>
      </c>
      <c r="G38" s="1">
        <v>45049</v>
      </c>
      <c r="H38">
        <v>54757.26</v>
      </c>
      <c r="I38" t="s">
        <v>76</v>
      </c>
      <c r="J38">
        <v>-2515837766</v>
      </c>
      <c r="K38" t="s">
        <v>40</v>
      </c>
      <c r="L38" t="b">
        <v>0</v>
      </c>
    </row>
    <row r="39" spans="1:12" x14ac:dyDescent="0.3">
      <c r="A39" t="s">
        <v>121</v>
      </c>
      <c r="B39" t="s">
        <v>67</v>
      </c>
      <c r="C39" t="s">
        <v>111</v>
      </c>
      <c r="D39">
        <v>25</v>
      </c>
      <c r="E39" t="s">
        <v>100</v>
      </c>
      <c r="F39" t="s">
        <v>28</v>
      </c>
      <c r="G39" s="1">
        <v>45048</v>
      </c>
      <c r="H39">
        <v>52781.919999999998</v>
      </c>
      <c r="I39" t="s">
        <v>122</v>
      </c>
      <c r="J39">
        <v>-4996165925</v>
      </c>
      <c r="K39" t="s">
        <v>18</v>
      </c>
      <c r="L39" t="b">
        <v>1</v>
      </c>
    </row>
    <row r="40" spans="1:12" x14ac:dyDescent="0.3">
      <c r="A40" t="s">
        <v>123</v>
      </c>
      <c r="B40" t="s">
        <v>36</v>
      </c>
      <c r="C40" t="s">
        <v>111</v>
      </c>
      <c r="D40">
        <v>35</v>
      </c>
      <c r="E40" t="s">
        <v>27</v>
      </c>
      <c r="F40" t="s">
        <v>28</v>
      </c>
      <c r="G40" s="1">
        <v>44474</v>
      </c>
      <c r="H40">
        <v>66708.02</v>
      </c>
      <c r="I40" t="s">
        <v>124</v>
      </c>
      <c r="J40">
        <v>-6108573277</v>
      </c>
      <c r="K40" t="s">
        <v>30</v>
      </c>
      <c r="L40" t="b">
        <v>1</v>
      </c>
    </row>
    <row r="41" spans="1:12" x14ac:dyDescent="0.3">
      <c r="A41" t="s">
        <v>125</v>
      </c>
      <c r="B41" t="s">
        <v>32</v>
      </c>
      <c r="C41" t="s">
        <v>37</v>
      </c>
      <c r="D41">
        <v>40</v>
      </c>
      <c r="E41" t="s">
        <v>126</v>
      </c>
      <c r="F41" t="s">
        <v>16</v>
      </c>
      <c r="G41" s="1">
        <v>44769</v>
      </c>
      <c r="H41">
        <v>93481.15</v>
      </c>
      <c r="I41" t="s">
        <v>127</v>
      </c>
      <c r="J41">
        <v>-8147617421</v>
      </c>
      <c r="K41" t="s">
        <v>40</v>
      </c>
      <c r="L41" t="b">
        <v>0</v>
      </c>
    </row>
    <row r="42" spans="1:12" x14ac:dyDescent="0.3">
      <c r="A42" t="s">
        <v>128</v>
      </c>
      <c r="B42" t="s">
        <v>13</v>
      </c>
      <c r="C42" t="s">
        <v>37</v>
      </c>
      <c r="D42">
        <v>25</v>
      </c>
      <c r="E42" t="s">
        <v>100</v>
      </c>
      <c r="F42" t="s">
        <v>28</v>
      </c>
      <c r="G42" s="1">
        <v>44374</v>
      </c>
      <c r="H42">
        <v>59271.96</v>
      </c>
      <c r="I42" t="s">
        <v>129</v>
      </c>
      <c r="J42">
        <v>-4386490809</v>
      </c>
      <c r="K42" t="s">
        <v>23</v>
      </c>
      <c r="L42" t="b">
        <v>1</v>
      </c>
    </row>
    <row r="43" spans="1:12" x14ac:dyDescent="0.3">
      <c r="A43" t="s">
        <v>130</v>
      </c>
      <c r="B43" t="s">
        <v>13</v>
      </c>
      <c r="C43" t="s">
        <v>14</v>
      </c>
      <c r="D43">
        <v>30</v>
      </c>
      <c r="E43" t="s">
        <v>131</v>
      </c>
      <c r="F43" t="s">
        <v>16</v>
      </c>
      <c r="G43" s="1">
        <v>44728</v>
      </c>
      <c r="H43">
        <v>108362.15</v>
      </c>
      <c r="I43" t="s">
        <v>17</v>
      </c>
      <c r="J43">
        <v>-8186617944</v>
      </c>
      <c r="K43" t="s">
        <v>23</v>
      </c>
      <c r="L43" t="b">
        <v>0</v>
      </c>
    </row>
    <row r="44" spans="1:12" x14ac:dyDescent="0.3">
      <c r="A44" t="s">
        <v>132</v>
      </c>
      <c r="B44" t="s">
        <v>25</v>
      </c>
      <c r="C44" t="s">
        <v>53</v>
      </c>
      <c r="E44" t="s">
        <v>133</v>
      </c>
      <c r="F44" t="s">
        <v>16</v>
      </c>
      <c r="G44" s="1">
        <v>45629</v>
      </c>
      <c r="H44">
        <v>59400.38</v>
      </c>
      <c r="I44" t="s">
        <v>134</v>
      </c>
      <c r="J44">
        <v>-4918017225</v>
      </c>
      <c r="K44" t="s">
        <v>18</v>
      </c>
      <c r="L44" t="b">
        <v>1</v>
      </c>
    </row>
    <row r="45" spans="1:12" x14ac:dyDescent="0.3">
      <c r="A45" t="s">
        <v>135</v>
      </c>
      <c r="B45" t="s">
        <v>13</v>
      </c>
      <c r="C45" t="s">
        <v>42</v>
      </c>
      <c r="E45" t="s">
        <v>108</v>
      </c>
      <c r="F45" t="s">
        <v>33</v>
      </c>
      <c r="G45" s="1">
        <v>45069</v>
      </c>
      <c r="H45">
        <v>64744.08</v>
      </c>
      <c r="I45" t="s">
        <v>136</v>
      </c>
      <c r="J45">
        <v>-164597793</v>
      </c>
      <c r="K45" t="s">
        <v>23</v>
      </c>
      <c r="L45" t="b">
        <v>0</v>
      </c>
    </row>
    <row r="46" spans="1:12" x14ac:dyDescent="0.3">
      <c r="A46" t="s">
        <v>137</v>
      </c>
      <c r="B46" t="s">
        <v>32</v>
      </c>
      <c r="C46" t="s">
        <v>20</v>
      </c>
      <c r="E46" t="s">
        <v>68</v>
      </c>
      <c r="F46" t="s">
        <v>16</v>
      </c>
      <c r="G46" s="1">
        <v>44020</v>
      </c>
      <c r="H46">
        <v>94399.91</v>
      </c>
      <c r="I46" t="s">
        <v>138</v>
      </c>
      <c r="J46">
        <v>-5232194167</v>
      </c>
      <c r="K46" t="s">
        <v>30</v>
      </c>
      <c r="L46" t="b">
        <v>1</v>
      </c>
    </row>
    <row r="47" spans="1:12" x14ac:dyDescent="0.3">
      <c r="A47" t="s">
        <v>139</v>
      </c>
      <c r="B47" t="s">
        <v>25</v>
      </c>
      <c r="C47" t="s">
        <v>20</v>
      </c>
      <c r="D47">
        <v>25</v>
      </c>
      <c r="E47" t="s">
        <v>64</v>
      </c>
      <c r="F47" t="s">
        <v>28</v>
      </c>
      <c r="G47" s="1">
        <v>44367</v>
      </c>
      <c r="H47">
        <v>61310.74</v>
      </c>
      <c r="I47" t="s">
        <v>76</v>
      </c>
      <c r="J47">
        <v>-61027768</v>
      </c>
      <c r="K47" t="s">
        <v>18</v>
      </c>
      <c r="L47" t="b">
        <v>1</v>
      </c>
    </row>
    <row r="48" spans="1:12" x14ac:dyDescent="0.3">
      <c r="A48" t="s">
        <v>140</v>
      </c>
      <c r="B48" t="s">
        <v>67</v>
      </c>
      <c r="C48" t="s">
        <v>42</v>
      </c>
      <c r="E48" t="s">
        <v>141</v>
      </c>
      <c r="F48" t="s">
        <v>16</v>
      </c>
      <c r="G48" s="1">
        <v>45639</v>
      </c>
      <c r="H48">
        <v>98371.37</v>
      </c>
      <c r="I48" t="s">
        <v>78</v>
      </c>
      <c r="J48">
        <v>-7499564121</v>
      </c>
      <c r="K48" t="s">
        <v>23</v>
      </c>
      <c r="L48" t="b">
        <v>0</v>
      </c>
    </row>
    <row r="49" spans="1:12" x14ac:dyDescent="0.3">
      <c r="A49" t="s">
        <v>142</v>
      </c>
      <c r="B49" t="s">
        <v>25</v>
      </c>
      <c r="C49" t="s">
        <v>14</v>
      </c>
      <c r="D49">
        <v>35</v>
      </c>
      <c r="E49" t="s">
        <v>91</v>
      </c>
      <c r="F49" t="s">
        <v>16</v>
      </c>
      <c r="G49" s="1">
        <v>44711</v>
      </c>
      <c r="H49">
        <v>58921.19</v>
      </c>
      <c r="I49" t="s">
        <v>143</v>
      </c>
      <c r="J49">
        <v>-310303722</v>
      </c>
      <c r="K49" t="s">
        <v>18</v>
      </c>
      <c r="L49" t="b">
        <v>1</v>
      </c>
    </row>
    <row r="50" spans="1:12" x14ac:dyDescent="0.3">
      <c r="A50" t="s">
        <v>144</v>
      </c>
      <c r="B50" t="s">
        <v>25</v>
      </c>
      <c r="C50" t="s">
        <v>86</v>
      </c>
      <c r="D50">
        <v>35</v>
      </c>
      <c r="E50" t="s">
        <v>27</v>
      </c>
      <c r="F50" t="s">
        <v>16</v>
      </c>
      <c r="G50" s="1">
        <v>45196</v>
      </c>
      <c r="H50">
        <v>57195.55</v>
      </c>
      <c r="I50" t="s">
        <v>145</v>
      </c>
      <c r="J50">
        <v>-6831472759</v>
      </c>
      <c r="K50" t="s">
        <v>23</v>
      </c>
      <c r="L50" t="b">
        <v>0</v>
      </c>
    </row>
    <row r="51" spans="1:12" x14ac:dyDescent="0.3">
      <c r="A51" t="s">
        <v>146</v>
      </c>
      <c r="B51" t="s">
        <v>67</v>
      </c>
      <c r="C51" t="s">
        <v>86</v>
      </c>
      <c r="E51" t="s">
        <v>54</v>
      </c>
      <c r="F51" t="s">
        <v>16</v>
      </c>
      <c r="G51" s="1">
        <v>45601</v>
      </c>
      <c r="H51">
        <v>61375.12</v>
      </c>
      <c r="I51" t="s">
        <v>147</v>
      </c>
      <c r="J51">
        <v>-1227770792</v>
      </c>
      <c r="K51" t="s">
        <v>23</v>
      </c>
      <c r="L51" t="b">
        <v>1</v>
      </c>
    </row>
    <row r="52" spans="1:12" x14ac:dyDescent="0.3">
      <c r="A52" t="s">
        <v>148</v>
      </c>
      <c r="B52" t="s">
        <v>52</v>
      </c>
      <c r="C52" t="s">
        <v>14</v>
      </c>
      <c r="D52">
        <v>40</v>
      </c>
      <c r="E52" t="s">
        <v>58</v>
      </c>
      <c r="F52" t="s">
        <v>28</v>
      </c>
      <c r="G52" s="1">
        <v>44511</v>
      </c>
      <c r="H52">
        <v>104767.05</v>
      </c>
      <c r="I52" t="s">
        <v>149</v>
      </c>
      <c r="J52">
        <v>-3496050165</v>
      </c>
      <c r="K52" t="s">
        <v>23</v>
      </c>
      <c r="L52" t="b">
        <v>0</v>
      </c>
    </row>
    <row r="53" spans="1:12" x14ac:dyDescent="0.3">
      <c r="A53" t="s">
        <v>150</v>
      </c>
      <c r="B53" t="s">
        <v>57</v>
      </c>
      <c r="C53" t="s">
        <v>86</v>
      </c>
      <c r="D53">
        <v>35</v>
      </c>
      <c r="E53" t="s">
        <v>27</v>
      </c>
      <c r="F53" t="s">
        <v>16</v>
      </c>
      <c r="G53" s="1">
        <v>44614</v>
      </c>
      <c r="H53">
        <v>111051.67</v>
      </c>
      <c r="I53" t="s">
        <v>98</v>
      </c>
      <c r="J53">
        <v>-7998407677</v>
      </c>
      <c r="K53" t="s">
        <v>30</v>
      </c>
      <c r="L53" t="b">
        <v>0</v>
      </c>
    </row>
    <row r="54" spans="1:12" x14ac:dyDescent="0.3">
      <c r="A54" t="s">
        <v>151</v>
      </c>
      <c r="B54" t="s">
        <v>57</v>
      </c>
      <c r="C54" t="s">
        <v>37</v>
      </c>
      <c r="D54">
        <v>30</v>
      </c>
      <c r="E54" t="s">
        <v>68</v>
      </c>
      <c r="F54" t="s">
        <v>33</v>
      </c>
      <c r="G54" s="1">
        <v>45511</v>
      </c>
      <c r="H54">
        <v>105674.18</v>
      </c>
      <c r="I54" t="s">
        <v>59</v>
      </c>
      <c r="J54">
        <v>-9973080694</v>
      </c>
      <c r="K54" t="s">
        <v>30</v>
      </c>
      <c r="L54" t="b">
        <v>0</v>
      </c>
    </row>
    <row r="55" spans="1:12" x14ac:dyDescent="0.3">
      <c r="A55" t="s">
        <v>152</v>
      </c>
      <c r="B55" t="s">
        <v>25</v>
      </c>
      <c r="C55" t="s">
        <v>20</v>
      </c>
      <c r="D55">
        <v>30</v>
      </c>
      <c r="E55" t="s">
        <v>68</v>
      </c>
      <c r="F55" t="s">
        <v>33</v>
      </c>
      <c r="G55" s="1">
        <v>45601</v>
      </c>
      <c r="H55">
        <v>54859.45</v>
      </c>
      <c r="I55" t="s">
        <v>76</v>
      </c>
      <c r="J55">
        <v>-8146717956</v>
      </c>
      <c r="K55" t="s">
        <v>18</v>
      </c>
      <c r="L55" t="b">
        <v>0</v>
      </c>
    </row>
    <row r="56" spans="1:12" x14ac:dyDescent="0.3">
      <c r="A56" t="s">
        <v>153</v>
      </c>
      <c r="B56" t="s">
        <v>36</v>
      </c>
      <c r="C56" t="s">
        <v>14</v>
      </c>
      <c r="E56" t="s">
        <v>93</v>
      </c>
      <c r="F56" t="s">
        <v>28</v>
      </c>
      <c r="G56" s="1">
        <v>44509</v>
      </c>
      <c r="H56">
        <v>115746.6</v>
      </c>
      <c r="I56" t="s">
        <v>50</v>
      </c>
      <c r="J56">
        <v>-6024375737</v>
      </c>
      <c r="K56" t="s">
        <v>23</v>
      </c>
      <c r="L56" t="b">
        <v>1</v>
      </c>
    </row>
    <row r="57" spans="1:12" x14ac:dyDescent="0.3">
      <c r="A57" t="s">
        <v>154</v>
      </c>
      <c r="B57" t="s">
        <v>32</v>
      </c>
      <c r="C57" t="s">
        <v>20</v>
      </c>
      <c r="D57">
        <v>30</v>
      </c>
      <c r="E57" t="s">
        <v>155</v>
      </c>
      <c r="F57" t="s">
        <v>16</v>
      </c>
      <c r="G57" s="1">
        <v>44053</v>
      </c>
      <c r="H57">
        <v>91759.99</v>
      </c>
      <c r="I57" t="s">
        <v>138</v>
      </c>
      <c r="J57">
        <v>-3959724664</v>
      </c>
      <c r="K57" t="s">
        <v>23</v>
      </c>
      <c r="L57" t="b">
        <v>1</v>
      </c>
    </row>
    <row r="58" spans="1:12" x14ac:dyDescent="0.3">
      <c r="A58" t="s">
        <v>156</v>
      </c>
      <c r="B58" t="s">
        <v>36</v>
      </c>
      <c r="C58" t="s">
        <v>42</v>
      </c>
      <c r="D58">
        <v>40</v>
      </c>
      <c r="E58" t="s">
        <v>91</v>
      </c>
      <c r="F58" t="s">
        <v>16</v>
      </c>
      <c r="G58" s="1">
        <v>44619</v>
      </c>
      <c r="H58">
        <v>112965.33</v>
      </c>
      <c r="I58" t="s">
        <v>157</v>
      </c>
      <c r="J58">
        <v>-7293417222</v>
      </c>
      <c r="K58" t="s">
        <v>30</v>
      </c>
      <c r="L58" t="b">
        <v>0</v>
      </c>
    </row>
    <row r="59" spans="1:12" x14ac:dyDescent="0.3">
      <c r="A59" t="s">
        <v>158</v>
      </c>
      <c r="B59" t="s">
        <v>25</v>
      </c>
      <c r="C59" t="s">
        <v>111</v>
      </c>
      <c r="D59">
        <v>40</v>
      </c>
      <c r="E59" t="s">
        <v>89</v>
      </c>
      <c r="F59" t="s">
        <v>28</v>
      </c>
      <c r="G59" s="1">
        <v>45237</v>
      </c>
      <c r="H59">
        <v>100360.1</v>
      </c>
      <c r="I59" t="s">
        <v>159</v>
      </c>
      <c r="J59">
        <v>-2971674337</v>
      </c>
      <c r="K59" t="s">
        <v>23</v>
      </c>
      <c r="L59" t="b">
        <v>0</v>
      </c>
    </row>
    <row r="60" spans="1:12" x14ac:dyDescent="0.3">
      <c r="A60" t="s">
        <v>160</v>
      </c>
      <c r="B60" t="s">
        <v>57</v>
      </c>
      <c r="C60" t="s">
        <v>37</v>
      </c>
      <c r="D60">
        <v>35</v>
      </c>
      <c r="E60" t="s">
        <v>21</v>
      </c>
      <c r="F60" t="s">
        <v>28</v>
      </c>
      <c r="G60" s="1">
        <v>44507</v>
      </c>
      <c r="H60">
        <v>93620.88</v>
      </c>
      <c r="I60" t="s">
        <v>59</v>
      </c>
      <c r="J60">
        <v>-54522800</v>
      </c>
      <c r="K60" t="s">
        <v>30</v>
      </c>
      <c r="L60" t="b">
        <v>0</v>
      </c>
    </row>
    <row r="61" spans="1:12" x14ac:dyDescent="0.3">
      <c r="A61" t="s">
        <v>161</v>
      </c>
      <c r="B61" t="s">
        <v>13</v>
      </c>
      <c r="C61" t="s">
        <v>26</v>
      </c>
      <c r="D61">
        <v>35</v>
      </c>
      <c r="E61" t="s">
        <v>155</v>
      </c>
      <c r="F61" t="s">
        <v>28</v>
      </c>
      <c r="G61" s="1">
        <v>44667</v>
      </c>
      <c r="H61">
        <v>72832.800000000003</v>
      </c>
      <c r="I61" t="s">
        <v>48</v>
      </c>
      <c r="J61">
        <v>-5619318373</v>
      </c>
      <c r="K61" t="s">
        <v>23</v>
      </c>
      <c r="L61" t="b">
        <v>1</v>
      </c>
    </row>
    <row r="62" spans="1:12" x14ac:dyDescent="0.3">
      <c r="A62" t="s">
        <v>162</v>
      </c>
      <c r="B62" t="s">
        <v>52</v>
      </c>
      <c r="C62" t="s">
        <v>37</v>
      </c>
      <c r="D62">
        <v>30</v>
      </c>
      <c r="E62" t="s">
        <v>93</v>
      </c>
      <c r="F62" t="s">
        <v>33</v>
      </c>
      <c r="G62" s="1">
        <v>45218</v>
      </c>
      <c r="H62">
        <v>102369.42</v>
      </c>
      <c r="I62" t="s">
        <v>84</v>
      </c>
      <c r="J62">
        <v>-5508428909</v>
      </c>
      <c r="K62" t="s">
        <v>18</v>
      </c>
      <c r="L62" t="b">
        <v>1</v>
      </c>
    </row>
    <row r="63" spans="1:12" x14ac:dyDescent="0.3">
      <c r="A63" t="s">
        <v>163</v>
      </c>
      <c r="B63" t="s">
        <v>32</v>
      </c>
      <c r="C63" t="s">
        <v>14</v>
      </c>
      <c r="D63">
        <v>40</v>
      </c>
      <c r="E63" t="s">
        <v>43</v>
      </c>
      <c r="F63" t="s">
        <v>33</v>
      </c>
      <c r="G63" s="1">
        <v>44418</v>
      </c>
      <c r="H63">
        <v>64712.79</v>
      </c>
      <c r="I63" t="s">
        <v>34</v>
      </c>
      <c r="J63">
        <v>-7711991807</v>
      </c>
      <c r="K63" t="s">
        <v>23</v>
      </c>
      <c r="L63" t="b">
        <v>1</v>
      </c>
    </row>
    <row r="64" spans="1:12" x14ac:dyDescent="0.3">
      <c r="A64" t="s">
        <v>164</v>
      </c>
      <c r="B64" t="s">
        <v>36</v>
      </c>
      <c r="C64" t="s">
        <v>26</v>
      </c>
      <c r="D64">
        <v>40</v>
      </c>
      <c r="E64" t="s">
        <v>103</v>
      </c>
      <c r="F64" t="s">
        <v>28</v>
      </c>
      <c r="G64" s="1">
        <v>44268</v>
      </c>
      <c r="H64">
        <v>85782.18</v>
      </c>
      <c r="I64" t="s">
        <v>46</v>
      </c>
      <c r="J64">
        <v>-1213524786</v>
      </c>
      <c r="K64" t="s">
        <v>23</v>
      </c>
      <c r="L64" t="b">
        <v>1</v>
      </c>
    </row>
    <row r="65" spans="1:12" x14ac:dyDescent="0.3">
      <c r="A65" t="s">
        <v>165</v>
      </c>
      <c r="B65" t="s">
        <v>52</v>
      </c>
      <c r="C65" t="s">
        <v>111</v>
      </c>
      <c r="D65">
        <v>25</v>
      </c>
      <c r="E65" t="s">
        <v>166</v>
      </c>
      <c r="F65" t="s">
        <v>28</v>
      </c>
      <c r="G65" s="1">
        <v>45127</v>
      </c>
      <c r="H65">
        <v>93348.26</v>
      </c>
      <c r="I65" t="s">
        <v>167</v>
      </c>
      <c r="J65">
        <v>-1255213759</v>
      </c>
      <c r="K65" t="s">
        <v>40</v>
      </c>
      <c r="L65" t="b">
        <v>0</v>
      </c>
    </row>
    <row r="66" spans="1:12" x14ac:dyDescent="0.3">
      <c r="A66" t="s">
        <v>168</v>
      </c>
      <c r="B66" t="s">
        <v>57</v>
      </c>
      <c r="C66" t="s">
        <v>14</v>
      </c>
      <c r="D66">
        <v>35</v>
      </c>
      <c r="E66" t="s">
        <v>169</v>
      </c>
      <c r="F66" t="s">
        <v>16</v>
      </c>
      <c r="G66" s="1">
        <v>43881</v>
      </c>
      <c r="H66">
        <v>53234.96</v>
      </c>
      <c r="I66" t="s">
        <v>61</v>
      </c>
      <c r="J66">
        <v>-3754821455</v>
      </c>
      <c r="K66" t="s">
        <v>30</v>
      </c>
      <c r="L66" t="b">
        <v>0</v>
      </c>
    </row>
    <row r="67" spans="1:12" x14ac:dyDescent="0.3">
      <c r="A67" t="s">
        <v>170</v>
      </c>
      <c r="B67" t="s">
        <v>13</v>
      </c>
      <c r="C67" t="s">
        <v>53</v>
      </c>
      <c r="D67">
        <v>40</v>
      </c>
      <c r="E67" t="s">
        <v>93</v>
      </c>
      <c r="F67" t="s">
        <v>28</v>
      </c>
      <c r="G67" s="1">
        <v>44229</v>
      </c>
      <c r="H67">
        <v>100284.21</v>
      </c>
      <c r="I67" t="s">
        <v>171</v>
      </c>
      <c r="J67">
        <v>-5328632665</v>
      </c>
      <c r="K67" t="s">
        <v>23</v>
      </c>
      <c r="L67" t="b">
        <v>0</v>
      </c>
    </row>
    <row r="68" spans="1:12" x14ac:dyDescent="0.3">
      <c r="A68" t="s">
        <v>172</v>
      </c>
      <c r="B68" t="s">
        <v>67</v>
      </c>
      <c r="C68" t="s">
        <v>20</v>
      </c>
      <c r="D68">
        <v>30</v>
      </c>
      <c r="E68" t="s">
        <v>27</v>
      </c>
      <c r="F68" t="s">
        <v>28</v>
      </c>
      <c r="G68" s="1">
        <v>43842</v>
      </c>
      <c r="H68">
        <v>112486.19</v>
      </c>
      <c r="I68" t="s">
        <v>173</v>
      </c>
      <c r="J68">
        <v>-7850720810</v>
      </c>
      <c r="K68" t="s">
        <v>23</v>
      </c>
      <c r="L68" t="b">
        <v>1</v>
      </c>
    </row>
    <row r="69" spans="1:12" x14ac:dyDescent="0.3">
      <c r="A69" t="s">
        <v>174</v>
      </c>
      <c r="B69" t="s">
        <v>13</v>
      </c>
      <c r="C69" t="s">
        <v>111</v>
      </c>
      <c r="D69">
        <v>40</v>
      </c>
      <c r="E69" t="s">
        <v>169</v>
      </c>
      <c r="F69" t="s">
        <v>28</v>
      </c>
      <c r="G69" s="1">
        <v>44891</v>
      </c>
      <c r="H69">
        <v>82518.490000000005</v>
      </c>
      <c r="I69" t="s">
        <v>112</v>
      </c>
      <c r="J69">
        <v>-5562606028</v>
      </c>
      <c r="K69" t="s">
        <v>40</v>
      </c>
      <c r="L69" t="b">
        <v>1</v>
      </c>
    </row>
    <row r="70" spans="1:12" x14ac:dyDescent="0.3">
      <c r="A70" t="s">
        <v>175</v>
      </c>
      <c r="B70" t="s">
        <v>13</v>
      </c>
      <c r="C70" t="s">
        <v>20</v>
      </c>
      <c r="D70">
        <v>40</v>
      </c>
      <c r="E70" t="s">
        <v>176</v>
      </c>
      <c r="F70" t="s">
        <v>28</v>
      </c>
      <c r="G70" s="1">
        <v>44918</v>
      </c>
      <c r="H70">
        <v>119152.47</v>
      </c>
      <c r="I70" t="s">
        <v>22</v>
      </c>
      <c r="J70">
        <v>-846684549</v>
      </c>
      <c r="K70" t="s">
        <v>40</v>
      </c>
      <c r="L70" t="b">
        <v>1</v>
      </c>
    </row>
    <row r="71" spans="1:12" x14ac:dyDescent="0.3">
      <c r="A71" t="s">
        <v>177</v>
      </c>
      <c r="B71" t="s">
        <v>63</v>
      </c>
      <c r="C71" t="s">
        <v>86</v>
      </c>
      <c r="E71" t="s">
        <v>75</v>
      </c>
      <c r="F71" t="s">
        <v>33</v>
      </c>
      <c r="G71" s="1">
        <v>45532</v>
      </c>
      <c r="H71">
        <v>113479.83</v>
      </c>
      <c r="I71" t="s">
        <v>118</v>
      </c>
      <c r="J71">
        <v>-4892673898</v>
      </c>
      <c r="K71" t="s">
        <v>30</v>
      </c>
      <c r="L71" t="b">
        <v>0</v>
      </c>
    </row>
    <row r="72" spans="1:12" x14ac:dyDescent="0.3">
      <c r="A72" t="s">
        <v>178</v>
      </c>
      <c r="B72" t="s">
        <v>52</v>
      </c>
      <c r="C72" t="s">
        <v>53</v>
      </c>
      <c r="D72">
        <v>40</v>
      </c>
      <c r="E72" t="s">
        <v>68</v>
      </c>
      <c r="F72" t="s">
        <v>16</v>
      </c>
      <c r="G72" s="1">
        <v>45551</v>
      </c>
      <c r="H72">
        <v>94636.3</v>
      </c>
      <c r="I72" t="s">
        <v>55</v>
      </c>
      <c r="J72">
        <v>-7563410855</v>
      </c>
      <c r="K72" t="s">
        <v>40</v>
      </c>
      <c r="L72" t="b">
        <v>0</v>
      </c>
    </row>
    <row r="73" spans="1:12" x14ac:dyDescent="0.3">
      <c r="A73" t="s">
        <v>179</v>
      </c>
      <c r="B73" t="s">
        <v>63</v>
      </c>
      <c r="C73" t="s">
        <v>53</v>
      </c>
      <c r="D73">
        <v>30</v>
      </c>
      <c r="E73" t="s">
        <v>180</v>
      </c>
      <c r="F73" t="s">
        <v>16</v>
      </c>
      <c r="G73" s="1">
        <v>45292</v>
      </c>
      <c r="H73">
        <v>70000.97</v>
      </c>
      <c r="I73" t="s">
        <v>104</v>
      </c>
      <c r="J73">
        <v>-2884318847</v>
      </c>
      <c r="K73" t="s">
        <v>18</v>
      </c>
      <c r="L73" t="b">
        <v>1</v>
      </c>
    </row>
    <row r="74" spans="1:12" x14ac:dyDescent="0.3">
      <c r="A74" t="s">
        <v>181</v>
      </c>
      <c r="B74" t="s">
        <v>36</v>
      </c>
      <c r="C74" t="s">
        <v>111</v>
      </c>
      <c r="E74" t="s">
        <v>58</v>
      </c>
      <c r="F74" t="s">
        <v>16</v>
      </c>
      <c r="G74" s="1">
        <v>44304</v>
      </c>
      <c r="H74">
        <v>76812.47</v>
      </c>
      <c r="I74" t="s">
        <v>124</v>
      </c>
      <c r="J74">
        <v>-5200894345</v>
      </c>
      <c r="K74" t="s">
        <v>40</v>
      </c>
      <c r="L74" t="b">
        <v>0</v>
      </c>
    </row>
    <row r="75" spans="1:12" x14ac:dyDescent="0.3">
      <c r="A75" t="s">
        <v>182</v>
      </c>
      <c r="B75" t="s">
        <v>57</v>
      </c>
      <c r="C75" t="s">
        <v>53</v>
      </c>
      <c r="D75">
        <v>25</v>
      </c>
      <c r="E75" t="s">
        <v>103</v>
      </c>
      <c r="F75" t="s">
        <v>33</v>
      </c>
      <c r="G75" s="1">
        <v>44942</v>
      </c>
      <c r="H75">
        <v>82614.7</v>
      </c>
      <c r="I75" t="s">
        <v>183</v>
      </c>
      <c r="J75">
        <v>-8105485100</v>
      </c>
      <c r="K75" t="s">
        <v>18</v>
      </c>
      <c r="L75" t="b">
        <v>1</v>
      </c>
    </row>
    <row r="76" spans="1:12" x14ac:dyDescent="0.3">
      <c r="A76" t="s">
        <v>184</v>
      </c>
      <c r="B76" t="s">
        <v>67</v>
      </c>
      <c r="C76" t="s">
        <v>26</v>
      </c>
      <c r="D76">
        <v>40</v>
      </c>
      <c r="E76" t="s">
        <v>185</v>
      </c>
      <c r="F76" t="s">
        <v>16</v>
      </c>
      <c r="G76" s="1">
        <v>45585</v>
      </c>
      <c r="H76">
        <v>111645.97</v>
      </c>
      <c r="I76" t="s">
        <v>73</v>
      </c>
      <c r="J76">
        <v>-7490753997</v>
      </c>
      <c r="K76" t="s">
        <v>30</v>
      </c>
      <c r="L76" t="b">
        <v>1</v>
      </c>
    </row>
    <row r="77" spans="1:12" x14ac:dyDescent="0.3">
      <c r="A77" t="s">
        <v>186</v>
      </c>
      <c r="B77" t="s">
        <v>63</v>
      </c>
      <c r="C77" t="s">
        <v>53</v>
      </c>
      <c r="D77">
        <v>25</v>
      </c>
      <c r="E77" t="s">
        <v>131</v>
      </c>
      <c r="F77" t="s">
        <v>33</v>
      </c>
      <c r="G77" s="1">
        <v>45578</v>
      </c>
      <c r="H77">
        <v>112414.91</v>
      </c>
      <c r="I77" t="s">
        <v>104</v>
      </c>
      <c r="J77">
        <v>-9354492682</v>
      </c>
      <c r="K77" t="s">
        <v>30</v>
      </c>
      <c r="L77" t="b">
        <v>0</v>
      </c>
    </row>
    <row r="78" spans="1:12" x14ac:dyDescent="0.3">
      <c r="A78" t="s">
        <v>187</v>
      </c>
      <c r="B78" t="s">
        <v>57</v>
      </c>
      <c r="C78" t="s">
        <v>20</v>
      </c>
      <c r="D78">
        <v>40</v>
      </c>
      <c r="E78" t="s">
        <v>108</v>
      </c>
      <c r="F78" t="s">
        <v>33</v>
      </c>
      <c r="G78" s="1">
        <v>44825</v>
      </c>
      <c r="H78">
        <v>52031.74</v>
      </c>
      <c r="I78" t="s">
        <v>188</v>
      </c>
      <c r="J78">
        <v>-1589357125</v>
      </c>
      <c r="K78" t="s">
        <v>30</v>
      </c>
      <c r="L78" t="b">
        <v>1</v>
      </c>
    </row>
    <row r="79" spans="1:12" x14ac:dyDescent="0.3">
      <c r="A79" t="s">
        <v>189</v>
      </c>
      <c r="B79" t="s">
        <v>67</v>
      </c>
      <c r="C79" t="s">
        <v>20</v>
      </c>
      <c r="D79">
        <v>30</v>
      </c>
      <c r="E79" t="s">
        <v>190</v>
      </c>
      <c r="F79" t="s">
        <v>28</v>
      </c>
      <c r="G79" s="1">
        <v>44924</v>
      </c>
      <c r="H79">
        <v>51887.65</v>
      </c>
      <c r="I79" t="s">
        <v>173</v>
      </c>
      <c r="J79">
        <v>-6110627370</v>
      </c>
      <c r="K79" t="s">
        <v>30</v>
      </c>
      <c r="L79" t="b">
        <v>0</v>
      </c>
    </row>
    <row r="80" spans="1:12" x14ac:dyDescent="0.3">
      <c r="A80" t="s">
        <v>191</v>
      </c>
      <c r="B80" t="s">
        <v>25</v>
      </c>
      <c r="C80" t="s">
        <v>14</v>
      </c>
      <c r="D80">
        <v>25</v>
      </c>
      <c r="E80" t="s">
        <v>192</v>
      </c>
      <c r="F80" t="s">
        <v>16</v>
      </c>
      <c r="G80" s="1">
        <v>45606</v>
      </c>
      <c r="H80">
        <v>82318.89</v>
      </c>
      <c r="I80" t="s">
        <v>143</v>
      </c>
      <c r="J80">
        <v>-5869886496</v>
      </c>
      <c r="K80" t="s">
        <v>30</v>
      </c>
      <c r="L80" t="b">
        <v>1</v>
      </c>
    </row>
    <row r="81" spans="1:12" x14ac:dyDescent="0.3">
      <c r="A81" t="s">
        <v>193</v>
      </c>
      <c r="B81" t="s">
        <v>67</v>
      </c>
      <c r="C81" t="s">
        <v>20</v>
      </c>
      <c r="D81">
        <v>35</v>
      </c>
      <c r="E81" t="s">
        <v>176</v>
      </c>
      <c r="F81" t="s">
        <v>33</v>
      </c>
      <c r="G81" s="1">
        <v>44522</v>
      </c>
      <c r="H81">
        <v>103286.08</v>
      </c>
      <c r="I81" t="s">
        <v>173</v>
      </c>
      <c r="J81">
        <v>-6776228276</v>
      </c>
      <c r="K81" t="s">
        <v>18</v>
      </c>
      <c r="L81" t="b">
        <v>0</v>
      </c>
    </row>
    <row r="82" spans="1:12" x14ac:dyDescent="0.3">
      <c r="A82" t="s">
        <v>194</v>
      </c>
      <c r="B82" t="s">
        <v>67</v>
      </c>
      <c r="C82" t="s">
        <v>14</v>
      </c>
      <c r="D82">
        <v>35</v>
      </c>
      <c r="E82" t="s">
        <v>38</v>
      </c>
      <c r="F82" t="s">
        <v>16</v>
      </c>
      <c r="G82" s="1">
        <v>45365</v>
      </c>
      <c r="H82">
        <v>87759.33</v>
      </c>
      <c r="I82" t="s">
        <v>195</v>
      </c>
      <c r="J82">
        <v>-2881377027</v>
      </c>
      <c r="K82" t="s">
        <v>18</v>
      </c>
      <c r="L82" t="b">
        <v>0</v>
      </c>
    </row>
    <row r="83" spans="1:12" x14ac:dyDescent="0.3">
      <c r="A83" t="s">
        <v>196</v>
      </c>
      <c r="B83" t="s">
        <v>36</v>
      </c>
      <c r="C83" t="s">
        <v>20</v>
      </c>
      <c r="D83">
        <v>30</v>
      </c>
      <c r="E83" t="s">
        <v>197</v>
      </c>
      <c r="F83" t="s">
        <v>28</v>
      </c>
      <c r="G83" s="1">
        <v>43913</v>
      </c>
      <c r="H83">
        <v>102796.32</v>
      </c>
      <c r="I83" t="s">
        <v>198</v>
      </c>
      <c r="J83">
        <v>-5196115939</v>
      </c>
      <c r="K83" t="s">
        <v>30</v>
      </c>
      <c r="L83" t="b">
        <v>0</v>
      </c>
    </row>
    <row r="84" spans="1:12" x14ac:dyDescent="0.3">
      <c r="A84" t="s">
        <v>199</v>
      </c>
      <c r="B84" t="s">
        <v>57</v>
      </c>
      <c r="C84" t="s">
        <v>26</v>
      </c>
      <c r="D84">
        <v>25</v>
      </c>
      <c r="E84" t="s">
        <v>100</v>
      </c>
      <c r="F84" t="s">
        <v>16</v>
      </c>
      <c r="G84" s="1">
        <v>44089</v>
      </c>
      <c r="H84">
        <v>83149.27</v>
      </c>
      <c r="I84" t="s">
        <v>200</v>
      </c>
      <c r="J84">
        <v>-8215454469</v>
      </c>
      <c r="K84" t="s">
        <v>40</v>
      </c>
      <c r="L84" t="b">
        <v>1</v>
      </c>
    </row>
    <row r="85" spans="1:12" x14ac:dyDescent="0.3">
      <c r="A85" t="s">
        <v>201</v>
      </c>
      <c r="B85" t="s">
        <v>57</v>
      </c>
      <c r="C85" t="s">
        <v>42</v>
      </c>
      <c r="D85">
        <v>40</v>
      </c>
      <c r="E85" t="s">
        <v>15</v>
      </c>
      <c r="F85" t="s">
        <v>33</v>
      </c>
      <c r="G85" s="1">
        <v>44174</v>
      </c>
      <c r="H85">
        <v>92412.49</v>
      </c>
      <c r="I85" t="s">
        <v>94</v>
      </c>
      <c r="J85">
        <v>-2296044326</v>
      </c>
      <c r="K85" t="s">
        <v>23</v>
      </c>
      <c r="L85" t="b">
        <v>1</v>
      </c>
    </row>
    <row r="86" spans="1:12" x14ac:dyDescent="0.3">
      <c r="A86" t="s">
        <v>202</v>
      </c>
      <c r="B86" t="s">
        <v>13</v>
      </c>
      <c r="C86" t="s">
        <v>14</v>
      </c>
      <c r="D86">
        <v>30</v>
      </c>
      <c r="E86" t="s">
        <v>126</v>
      </c>
      <c r="F86" t="s">
        <v>28</v>
      </c>
      <c r="G86" s="1">
        <v>43883</v>
      </c>
      <c r="H86">
        <v>115022.1</v>
      </c>
      <c r="I86" t="s">
        <v>17</v>
      </c>
      <c r="J86">
        <v>-185106793</v>
      </c>
      <c r="K86" t="s">
        <v>30</v>
      </c>
      <c r="L86" t="b">
        <v>0</v>
      </c>
    </row>
    <row r="87" spans="1:12" x14ac:dyDescent="0.3">
      <c r="A87" t="s">
        <v>203</v>
      </c>
      <c r="B87" t="s">
        <v>67</v>
      </c>
      <c r="C87" t="s">
        <v>37</v>
      </c>
      <c r="D87">
        <v>40</v>
      </c>
      <c r="E87" t="s">
        <v>54</v>
      </c>
      <c r="F87" t="s">
        <v>16</v>
      </c>
      <c r="G87" s="1">
        <v>45043</v>
      </c>
      <c r="H87">
        <v>98343.01</v>
      </c>
      <c r="I87" t="s">
        <v>69</v>
      </c>
      <c r="J87">
        <v>-9756792286</v>
      </c>
      <c r="K87" t="s">
        <v>40</v>
      </c>
      <c r="L87" t="b">
        <v>0</v>
      </c>
    </row>
    <row r="88" spans="1:12" x14ac:dyDescent="0.3">
      <c r="A88" t="s">
        <v>204</v>
      </c>
      <c r="B88" t="s">
        <v>13</v>
      </c>
      <c r="C88" t="s">
        <v>86</v>
      </c>
      <c r="D88">
        <v>35</v>
      </c>
      <c r="E88" t="s">
        <v>75</v>
      </c>
      <c r="F88" t="s">
        <v>16</v>
      </c>
      <c r="G88" s="1">
        <v>45461</v>
      </c>
      <c r="H88">
        <v>118869.1</v>
      </c>
      <c r="I88" t="s">
        <v>87</v>
      </c>
      <c r="J88">
        <v>-7725199662</v>
      </c>
      <c r="K88" t="s">
        <v>23</v>
      </c>
      <c r="L88" t="b">
        <v>1</v>
      </c>
    </row>
    <row r="89" spans="1:12" x14ac:dyDescent="0.3">
      <c r="A89" t="s">
        <v>205</v>
      </c>
      <c r="B89" t="s">
        <v>36</v>
      </c>
      <c r="C89" t="s">
        <v>111</v>
      </c>
      <c r="E89" t="s">
        <v>93</v>
      </c>
      <c r="F89" t="s">
        <v>33</v>
      </c>
      <c r="G89" s="1">
        <v>43972</v>
      </c>
      <c r="H89">
        <v>85417.26</v>
      </c>
      <c r="I89" t="s">
        <v>124</v>
      </c>
      <c r="J89">
        <v>-6580741208</v>
      </c>
      <c r="K89" t="s">
        <v>30</v>
      </c>
      <c r="L89" t="b">
        <v>1</v>
      </c>
    </row>
    <row r="90" spans="1:12" x14ac:dyDescent="0.3">
      <c r="A90" t="s">
        <v>206</v>
      </c>
      <c r="B90" t="s">
        <v>67</v>
      </c>
      <c r="C90" t="s">
        <v>20</v>
      </c>
      <c r="D90">
        <v>40</v>
      </c>
      <c r="E90" t="s">
        <v>38</v>
      </c>
      <c r="F90" t="s">
        <v>33</v>
      </c>
      <c r="G90" s="1">
        <v>45132</v>
      </c>
      <c r="H90">
        <v>112410.25</v>
      </c>
      <c r="I90" t="s">
        <v>173</v>
      </c>
      <c r="J90">
        <v>-4818139889</v>
      </c>
      <c r="K90" t="s">
        <v>30</v>
      </c>
      <c r="L90" t="b">
        <v>1</v>
      </c>
    </row>
    <row r="91" spans="1:12" x14ac:dyDescent="0.3">
      <c r="A91" t="s">
        <v>207</v>
      </c>
      <c r="B91" t="s">
        <v>52</v>
      </c>
      <c r="C91" t="s">
        <v>53</v>
      </c>
      <c r="D91">
        <v>40</v>
      </c>
      <c r="E91" t="s">
        <v>27</v>
      </c>
      <c r="F91" t="s">
        <v>28</v>
      </c>
      <c r="G91" s="1">
        <v>45163</v>
      </c>
      <c r="H91">
        <v>68905.77</v>
      </c>
      <c r="I91" t="s">
        <v>55</v>
      </c>
      <c r="J91">
        <v>-9837801819</v>
      </c>
      <c r="K91" t="s">
        <v>18</v>
      </c>
      <c r="L91" t="b">
        <v>0</v>
      </c>
    </row>
    <row r="92" spans="1:12" x14ac:dyDescent="0.3">
      <c r="A92" t="s">
        <v>208</v>
      </c>
      <c r="B92" t="s">
        <v>63</v>
      </c>
      <c r="C92" t="s">
        <v>42</v>
      </c>
      <c r="D92">
        <v>40</v>
      </c>
      <c r="E92" t="s">
        <v>93</v>
      </c>
      <c r="F92" t="s">
        <v>28</v>
      </c>
      <c r="G92" s="1">
        <v>44380</v>
      </c>
      <c r="H92">
        <v>72561.320000000007</v>
      </c>
      <c r="I92" t="s">
        <v>209</v>
      </c>
      <c r="J92">
        <v>-4339718955</v>
      </c>
      <c r="K92" t="s">
        <v>23</v>
      </c>
      <c r="L92" t="b">
        <v>1</v>
      </c>
    </row>
    <row r="93" spans="1:12" x14ac:dyDescent="0.3">
      <c r="A93" t="s">
        <v>210</v>
      </c>
      <c r="B93" t="s">
        <v>13</v>
      </c>
      <c r="C93" t="s">
        <v>20</v>
      </c>
      <c r="D93">
        <v>35</v>
      </c>
      <c r="E93" t="s">
        <v>190</v>
      </c>
      <c r="F93" t="s">
        <v>33</v>
      </c>
      <c r="G93" s="1">
        <v>44998</v>
      </c>
      <c r="H93">
        <v>92723.22</v>
      </c>
      <c r="I93" t="s">
        <v>22</v>
      </c>
      <c r="J93">
        <v>-9070562607</v>
      </c>
      <c r="K93" t="s">
        <v>23</v>
      </c>
      <c r="L93" t="b">
        <v>1</v>
      </c>
    </row>
    <row r="94" spans="1:12" x14ac:dyDescent="0.3">
      <c r="A94" t="s">
        <v>211</v>
      </c>
      <c r="B94" t="s">
        <v>25</v>
      </c>
      <c r="C94" t="s">
        <v>53</v>
      </c>
      <c r="D94">
        <v>40</v>
      </c>
      <c r="E94" t="s">
        <v>64</v>
      </c>
      <c r="F94" t="s">
        <v>33</v>
      </c>
      <c r="G94" s="1">
        <v>44265</v>
      </c>
      <c r="H94">
        <v>74837.75</v>
      </c>
      <c r="I94" t="s">
        <v>134</v>
      </c>
      <c r="J94">
        <v>-5641118241</v>
      </c>
      <c r="K94" t="s">
        <v>40</v>
      </c>
      <c r="L94" t="b">
        <v>0</v>
      </c>
    </row>
    <row r="95" spans="1:12" x14ac:dyDescent="0.3">
      <c r="A95" t="s">
        <v>212</v>
      </c>
      <c r="B95" t="s">
        <v>32</v>
      </c>
      <c r="C95" t="s">
        <v>86</v>
      </c>
      <c r="E95" t="s">
        <v>15</v>
      </c>
      <c r="F95" t="s">
        <v>28</v>
      </c>
      <c r="G95" s="1">
        <v>43851</v>
      </c>
      <c r="H95">
        <v>86163.91</v>
      </c>
      <c r="I95" t="s">
        <v>213</v>
      </c>
      <c r="J95">
        <v>-2412462094</v>
      </c>
      <c r="K95" t="s">
        <v>18</v>
      </c>
      <c r="L95" t="b">
        <v>1</v>
      </c>
    </row>
    <row r="96" spans="1:12" x14ac:dyDescent="0.3">
      <c r="A96" t="s">
        <v>214</v>
      </c>
      <c r="B96" t="s">
        <v>57</v>
      </c>
      <c r="C96" t="s">
        <v>86</v>
      </c>
      <c r="D96">
        <v>40</v>
      </c>
      <c r="E96" t="s">
        <v>215</v>
      </c>
      <c r="F96" t="s">
        <v>16</v>
      </c>
      <c r="G96" s="1">
        <v>45245</v>
      </c>
      <c r="H96">
        <v>83326.52</v>
      </c>
      <c r="I96" t="s">
        <v>98</v>
      </c>
      <c r="J96">
        <v>-2004615264</v>
      </c>
      <c r="K96" t="s">
        <v>18</v>
      </c>
      <c r="L96" t="b">
        <v>1</v>
      </c>
    </row>
    <row r="97" spans="1:12" x14ac:dyDescent="0.3">
      <c r="A97" t="s">
        <v>216</v>
      </c>
      <c r="B97" t="s">
        <v>63</v>
      </c>
      <c r="C97" t="s">
        <v>86</v>
      </c>
      <c r="D97">
        <v>25</v>
      </c>
      <c r="E97" t="s">
        <v>217</v>
      </c>
      <c r="F97" t="s">
        <v>16</v>
      </c>
      <c r="G97" s="1">
        <v>44659</v>
      </c>
      <c r="H97">
        <v>98425.1</v>
      </c>
      <c r="I97" t="s">
        <v>118</v>
      </c>
      <c r="J97">
        <v>-4610339936</v>
      </c>
      <c r="K97" t="s">
        <v>18</v>
      </c>
      <c r="L97" t="b">
        <v>1</v>
      </c>
    </row>
    <row r="98" spans="1:12" x14ac:dyDescent="0.3">
      <c r="A98" t="s">
        <v>218</v>
      </c>
      <c r="B98" t="s">
        <v>36</v>
      </c>
      <c r="C98" t="s">
        <v>53</v>
      </c>
      <c r="D98">
        <v>40</v>
      </c>
      <c r="E98" t="s">
        <v>91</v>
      </c>
      <c r="F98" t="s">
        <v>33</v>
      </c>
      <c r="G98" s="1">
        <v>44702</v>
      </c>
      <c r="H98">
        <v>119764.2</v>
      </c>
      <c r="I98" t="s">
        <v>219</v>
      </c>
      <c r="J98">
        <v>-8861405785</v>
      </c>
      <c r="K98" t="s">
        <v>18</v>
      </c>
      <c r="L98" t="b">
        <v>0</v>
      </c>
    </row>
    <row r="99" spans="1:12" x14ac:dyDescent="0.3">
      <c r="A99" t="s">
        <v>220</v>
      </c>
      <c r="B99" t="s">
        <v>36</v>
      </c>
      <c r="C99" t="s">
        <v>20</v>
      </c>
      <c r="D99">
        <v>40</v>
      </c>
      <c r="E99" t="s">
        <v>131</v>
      </c>
      <c r="F99" t="s">
        <v>33</v>
      </c>
      <c r="G99" s="1">
        <v>44303</v>
      </c>
      <c r="H99">
        <v>58445.91</v>
      </c>
      <c r="I99" t="s">
        <v>198</v>
      </c>
      <c r="J99">
        <v>-1706304890</v>
      </c>
      <c r="K99" t="s">
        <v>23</v>
      </c>
      <c r="L99" t="b">
        <v>0</v>
      </c>
    </row>
    <row r="100" spans="1:12" x14ac:dyDescent="0.3">
      <c r="A100" t="s">
        <v>221</v>
      </c>
      <c r="B100" t="s">
        <v>13</v>
      </c>
      <c r="C100" t="s">
        <v>86</v>
      </c>
      <c r="E100" t="s">
        <v>54</v>
      </c>
      <c r="F100" t="s">
        <v>16</v>
      </c>
      <c r="G100" s="1">
        <v>44274</v>
      </c>
      <c r="H100">
        <v>101702.33</v>
      </c>
      <c r="I100" t="s">
        <v>87</v>
      </c>
      <c r="J100">
        <v>-3824967182</v>
      </c>
      <c r="K100" t="s">
        <v>23</v>
      </c>
      <c r="L100" t="b">
        <v>0</v>
      </c>
    </row>
    <row r="101" spans="1:12" x14ac:dyDescent="0.3">
      <c r="A101" t="s">
        <v>222</v>
      </c>
      <c r="B101" t="s">
        <v>32</v>
      </c>
      <c r="C101" t="s">
        <v>26</v>
      </c>
      <c r="D101">
        <v>25</v>
      </c>
      <c r="E101" t="s">
        <v>108</v>
      </c>
      <c r="F101" t="s">
        <v>16</v>
      </c>
      <c r="G101" s="1">
        <v>44570</v>
      </c>
      <c r="H101" t="s">
        <v>223</v>
      </c>
      <c r="I101" t="s">
        <v>224</v>
      </c>
      <c r="J101">
        <v>-2582386869</v>
      </c>
      <c r="K101" t="s">
        <v>30</v>
      </c>
      <c r="L101" t="b">
        <v>0</v>
      </c>
    </row>
    <row r="102" spans="1:12" x14ac:dyDescent="0.3">
      <c r="A102" t="s">
        <v>225</v>
      </c>
      <c r="B102" t="s">
        <v>52</v>
      </c>
      <c r="C102" t="s">
        <v>14</v>
      </c>
      <c r="D102">
        <v>35</v>
      </c>
      <c r="E102" t="s">
        <v>141</v>
      </c>
      <c r="F102" t="s">
        <v>28</v>
      </c>
      <c r="G102" s="1">
        <v>44429</v>
      </c>
      <c r="H102">
        <v>98819.22</v>
      </c>
      <c r="I102" t="s">
        <v>149</v>
      </c>
      <c r="J102">
        <v>-794200748</v>
      </c>
      <c r="K102" t="s">
        <v>30</v>
      </c>
      <c r="L102" t="b">
        <v>0</v>
      </c>
    </row>
    <row r="103" spans="1:12" x14ac:dyDescent="0.3">
      <c r="A103" t="s">
        <v>226</v>
      </c>
      <c r="B103" t="s">
        <v>63</v>
      </c>
      <c r="C103" t="s">
        <v>53</v>
      </c>
      <c r="D103">
        <v>25</v>
      </c>
      <c r="E103" t="s">
        <v>89</v>
      </c>
      <c r="F103" t="s">
        <v>33</v>
      </c>
      <c r="G103" s="1">
        <v>44792</v>
      </c>
      <c r="H103">
        <v>83509.990000000005</v>
      </c>
      <c r="I103" t="s">
        <v>104</v>
      </c>
      <c r="J103">
        <v>-4653984027</v>
      </c>
      <c r="K103" t="s">
        <v>18</v>
      </c>
      <c r="L103" t="b">
        <v>0</v>
      </c>
    </row>
    <row r="104" spans="1:12" x14ac:dyDescent="0.3">
      <c r="A104" t="s">
        <v>227</v>
      </c>
      <c r="B104" t="s">
        <v>25</v>
      </c>
      <c r="C104" t="s">
        <v>53</v>
      </c>
      <c r="D104">
        <v>35</v>
      </c>
      <c r="E104" t="s">
        <v>21</v>
      </c>
      <c r="F104" t="s">
        <v>16</v>
      </c>
      <c r="G104" s="1">
        <v>44651</v>
      </c>
      <c r="H104">
        <v>84422.26</v>
      </c>
      <c r="I104" t="s">
        <v>134</v>
      </c>
      <c r="J104">
        <v>-9141612845</v>
      </c>
      <c r="K104" t="s">
        <v>18</v>
      </c>
      <c r="L104" t="b">
        <v>0</v>
      </c>
    </row>
    <row r="105" spans="1:12" x14ac:dyDescent="0.3">
      <c r="A105" t="s">
        <v>228</v>
      </c>
      <c r="B105" t="s">
        <v>25</v>
      </c>
      <c r="C105" t="s">
        <v>20</v>
      </c>
      <c r="D105">
        <v>30</v>
      </c>
      <c r="E105" t="s">
        <v>83</v>
      </c>
      <c r="F105" t="s">
        <v>33</v>
      </c>
      <c r="G105" s="1">
        <v>44005</v>
      </c>
      <c r="H105">
        <v>119574.27</v>
      </c>
      <c r="I105" t="s">
        <v>76</v>
      </c>
      <c r="J105">
        <v>-3985547434</v>
      </c>
      <c r="K105" t="s">
        <v>18</v>
      </c>
      <c r="L105" t="b">
        <v>1</v>
      </c>
    </row>
    <row r="106" spans="1:12" x14ac:dyDescent="0.3">
      <c r="A106" t="s">
        <v>229</v>
      </c>
      <c r="B106" t="s">
        <v>67</v>
      </c>
      <c r="C106" t="s">
        <v>53</v>
      </c>
      <c r="E106" t="s">
        <v>91</v>
      </c>
      <c r="F106" t="s">
        <v>16</v>
      </c>
      <c r="G106" s="1">
        <v>45419</v>
      </c>
      <c r="H106">
        <v>86580.08</v>
      </c>
      <c r="I106" t="s">
        <v>116</v>
      </c>
      <c r="J106">
        <v>-5379502096</v>
      </c>
      <c r="K106" t="s">
        <v>30</v>
      </c>
      <c r="L106" t="b">
        <v>1</v>
      </c>
    </row>
    <row r="107" spans="1:12" x14ac:dyDescent="0.3">
      <c r="A107" t="s">
        <v>230</v>
      </c>
      <c r="B107" t="s">
        <v>63</v>
      </c>
      <c r="C107" t="s">
        <v>53</v>
      </c>
      <c r="D107">
        <v>35</v>
      </c>
      <c r="E107" t="s">
        <v>72</v>
      </c>
      <c r="F107" t="s">
        <v>33</v>
      </c>
      <c r="G107" s="1">
        <v>44995</v>
      </c>
      <c r="H107">
        <v>93471.91</v>
      </c>
      <c r="I107" t="s">
        <v>104</v>
      </c>
      <c r="J107">
        <v>-26876810</v>
      </c>
      <c r="K107" t="s">
        <v>40</v>
      </c>
      <c r="L107" t="b">
        <v>0</v>
      </c>
    </row>
    <row r="108" spans="1:12" x14ac:dyDescent="0.3">
      <c r="A108" t="s">
        <v>231</v>
      </c>
      <c r="B108" t="s">
        <v>13</v>
      </c>
      <c r="C108" t="s">
        <v>86</v>
      </c>
      <c r="D108">
        <v>30</v>
      </c>
      <c r="E108" t="s">
        <v>54</v>
      </c>
      <c r="F108" t="s">
        <v>33</v>
      </c>
      <c r="G108" s="1">
        <v>45183</v>
      </c>
      <c r="H108">
        <v>55683.12</v>
      </c>
      <c r="I108" t="s">
        <v>87</v>
      </c>
      <c r="J108">
        <v>-8071569561</v>
      </c>
      <c r="K108" t="s">
        <v>40</v>
      </c>
      <c r="L108" t="b">
        <v>1</v>
      </c>
    </row>
    <row r="109" spans="1:12" x14ac:dyDescent="0.3">
      <c r="A109" t="s">
        <v>232</v>
      </c>
      <c r="B109" t="s">
        <v>13</v>
      </c>
      <c r="C109" t="s">
        <v>20</v>
      </c>
      <c r="D109">
        <v>30</v>
      </c>
      <c r="E109" t="s">
        <v>38</v>
      </c>
      <c r="F109" t="s">
        <v>33</v>
      </c>
      <c r="G109" s="1">
        <v>45242</v>
      </c>
      <c r="H109">
        <v>91566.78</v>
      </c>
      <c r="I109" t="s">
        <v>22</v>
      </c>
      <c r="J109">
        <v>-175370303</v>
      </c>
      <c r="K109" t="s">
        <v>30</v>
      </c>
      <c r="L109" t="b">
        <v>1</v>
      </c>
    </row>
    <row r="110" spans="1:12" x14ac:dyDescent="0.3">
      <c r="A110" t="s">
        <v>233</v>
      </c>
      <c r="B110" t="s">
        <v>57</v>
      </c>
      <c r="C110" t="s">
        <v>86</v>
      </c>
      <c r="D110">
        <v>35</v>
      </c>
      <c r="E110" t="s">
        <v>15</v>
      </c>
      <c r="F110" t="s">
        <v>28</v>
      </c>
      <c r="G110" s="1">
        <v>45591</v>
      </c>
      <c r="H110">
        <v>81782.19</v>
      </c>
      <c r="I110" t="s">
        <v>98</v>
      </c>
      <c r="J110">
        <v>-5319433749</v>
      </c>
      <c r="K110" t="s">
        <v>30</v>
      </c>
      <c r="L110" t="b">
        <v>0</v>
      </c>
    </row>
    <row r="111" spans="1:12" x14ac:dyDescent="0.3">
      <c r="A111" t="s">
        <v>234</v>
      </c>
      <c r="B111" t="s">
        <v>32</v>
      </c>
      <c r="C111" t="s">
        <v>14</v>
      </c>
      <c r="E111" t="s">
        <v>54</v>
      </c>
      <c r="F111" t="s">
        <v>33</v>
      </c>
      <c r="G111" s="1">
        <v>44066</v>
      </c>
      <c r="H111">
        <v>88119.37</v>
      </c>
      <c r="I111" t="s">
        <v>34</v>
      </c>
      <c r="J111">
        <v>-4793036148</v>
      </c>
      <c r="K111" t="s">
        <v>30</v>
      </c>
      <c r="L111" t="b">
        <v>1</v>
      </c>
    </row>
    <row r="112" spans="1:12" x14ac:dyDescent="0.3">
      <c r="A112" t="s">
        <v>235</v>
      </c>
      <c r="B112" t="s">
        <v>32</v>
      </c>
      <c r="C112" t="s">
        <v>42</v>
      </c>
      <c r="D112">
        <v>30</v>
      </c>
      <c r="E112" t="s">
        <v>141</v>
      </c>
      <c r="F112" t="s">
        <v>16</v>
      </c>
      <c r="G112" s="1">
        <v>45454</v>
      </c>
      <c r="H112">
        <v>71532.83</v>
      </c>
      <c r="I112" t="s">
        <v>236</v>
      </c>
      <c r="J112">
        <v>-8728399920</v>
      </c>
      <c r="K112" t="s">
        <v>30</v>
      </c>
      <c r="L112" t="b">
        <v>1</v>
      </c>
    </row>
    <row r="113" spans="1:12" x14ac:dyDescent="0.3">
      <c r="A113" t="s">
        <v>237</v>
      </c>
      <c r="B113" t="s">
        <v>32</v>
      </c>
      <c r="C113" t="s">
        <v>14</v>
      </c>
      <c r="D113">
        <v>40</v>
      </c>
      <c r="E113" t="s">
        <v>38</v>
      </c>
      <c r="F113" t="s">
        <v>28</v>
      </c>
      <c r="G113" s="1">
        <v>44453</v>
      </c>
      <c r="H113">
        <v>98981.36</v>
      </c>
      <c r="I113" t="s">
        <v>34</v>
      </c>
      <c r="J113">
        <v>-9212493842</v>
      </c>
      <c r="K113" t="s">
        <v>30</v>
      </c>
      <c r="L113" t="b">
        <v>1</v>
      </c>
    </row>
    <row r="114" spans="1:12" x14ac:dyDescent="0.3">
      <c r="A114" t="s">
        <v>238</v>
      </c>
      <c r="B114" t="s">
        <v>63</v>
      </c>
      <c r="C114" t="s">
        <v>42</v>
      </c>
      <c r="D114">
        <v>40</v>
      </c>
      <c r="E114" t="s">
        <v>89</v>
      </c>
      <c r="F114" t="s">
        <v>16</v>
      </c>
      <c r="G114" s="1">
        <v>45652</v>
      </c>
      <c r="H114">
        <v>80242.009999999995</v>
      </c>
      <c r="I114" t="s">
        <v>209</v>
      </c>
      <c r="J114">
        <v>-894870604</v>
      </c>
      <c r="K114" t="s">
        <v>30</v>
      </c>
      <c r="L114" t="b">
        <v>1</v>
      </c>
    </row>
    <row r="115" spans="1:12" x14ac:dyDescent="0.3">
      <c r="A115" t="s">
        <v>239</v>
      </c>
      <c r="B115" t="s">
        <v>32</v>
      </c>
      <c r="C115" t="s">
        <v>86</v>
      </c>
      <c r="D115">
        <v>25</v>
      </c>
      <c r="E115" t="s">
        <v>58</v>
      </c>
      <c r="F115" t="s">
        <v>28</v>
      </c>
      <c r="G115" s="1">
        <v>45543</v>
      </c>
      <c r="H115">
        <v>110236.18</v>
      </c>
      <c r="I115" t="s">
        <v>213</v>
      </c>
      <c r="J115">
        <v>-6641877579</v>
      </c>
      <c r="K115" t="s">
        <v>18</v>
      </c>
      <c r="L115" t="b">
        <v>1</v>
      </c>
    </row>
    <row r="116" spans="1:12" x14ac:dyDescent="0.3">
      <c r="A116" t="s">
        <v>240</v>
      </c>
      <c r="B116" t="s">
        <v>25</v>
      </c>
      <c r="C116" t="s">
        <v>14</v>
      </c>
      <c r="D116">
        <v>35</v>
      </c>
      <c r="E116" t="s">
        <v>43</v>
      </c>
      <c r="F116" t="s">
        <v>16</v>
      </c>
      <c r="G116" s="1">
        <v>44794</v>
      </c>
      <c r="H116">
        <v>86327.47</v>
      </c>
      <c r="I116" t="s">
        <v>143</v>
      </c>
      <c r="J116">
        <v>-3046875062</v>
      </c>
      <c r="K116" t="s">
        <v>18</v>
      </c>
      <c r="L116" t="b">
        <v>0</v>
      </c>
    </row>
    <row r="117" spans="1:12" x14ac:dyDescent="0.3">
      <c r="A117" t="s">
        <v>241</v>
      </c>
      <c r="B117" t="s">
        <v>32</v>
      </c>
      <c r="C117" t="s">
        <v>20</v>
      </c>
      <c r="D117">
        <v>30</v>
      </c>
      <c r="E117" t="s">
        <v>72</v>
      </c>
      <c r="F117" t="s">
        <v>28</v>
      </c>
      <c r="G117" s="1">
        <v>45498</v>
      </c>
      <c r="H117">
        <v>84420.81</v>
      </c>
      <c r="I117" t="s">
        <v>138</v>
      </c>
      <c r="J117">
        <v>-5190361331</v>
      </c>
      <c r="K117" t="s">
        <v>18</v>
      </c>
      <c r="L117" t="b">
        <v>0</v>
      </c>
    </row>
    <row r="118" spans="1:12" x14ac:dyDescent="0.3">
      <c r="A118" t="s">
        <v>242</v>
      </c>
      <c r="B118" t="s">
        <v>36</v>
      </c>
      <c r="C118" t="s">
        <v>111</v>
      </c>
      <c r="D118">
        <v>40</v>
      </c>
      <c r="E118" t="s">
        <v>131</v>
      </c>
      <c r="F118" t="s">
        <v>28</v>
      </c>
      <c r="G118" s="1">
        <v>44045</v>
      </c>
      <c r="H118">
        <v>110041.32</v>
      </c>
      <c r="I118" t="s">
        <v>124</v>
      </c>
      <c r="J118">
        <v>-5411076094</v>
      </c>
      <c r="K118" t="s">
        <v>18</v>
      </c>
      <c r="L118" t="b">
        <v>0</v>
      </c>
    </row>
    <row r="119" spans="1:12" x14ac:dyDescent="0.3">
      <c r="A119" t="s">
        <v>243</v>
      </c>
      <c r="B119" t="s">
        <v>63</v>
      </c>
      <c r="C119" t="s">
        <v>86</v>
      </c>
      <c r="D119">
        <v>35</v>
      </c>
      <c r="E119" t="s">
        <v>192</v>
      </c>
      <c r="F119" t="s">
        <v>28</v>
      </c>
      <c r="G119" s="1">
        <v>43906</v>
      </c>
      <c r="H119">
        <v>81837.81</v>
      </c>
      <c r="I119" t="s">
        <v>118</v>
      </c>
      <c r="J119">
        <v>-4317350582</v>
      </c>
      <c r="K119" t="s">
        <v>30</v>
      </c>
      <c r="L119" t="b">
        <v>1</v>
      </c>
    </row>
    <row r="120" spans="1:12" x14ac:dyDescent="0.3">
      <c r="A120" t="s">
        <v>244</v>
      </c>
      <c r="B120" t="s">
        <v>36</v>
      </c>
      <c r="C120" t="s">
        <v>42</v>
      </c>
      <c r="D120">
        <v>25</v>
      </c>
      <c r="E120" t="s">
        <v>215</v>
      </c>
      <c r="F120" t="s">
        <v>16</v>
      </c>
      <c r="G120" s="1">
        <v>45177</v>
      </c>
      <c r="H120">
        <v>110855.72</v>
      </c>
      <c r="I120" t="s">
        <v>157</v>
      </c>
      <c r="J120">
        <v>-1997179109</v>
      </c>
      <c r="K120" t="s">
        <v>40</v>
      </c>
      <c r="L120" t="b">
        <v>0</v>
      </c>
    </row>
    <row r="121" spans="1:12" x14ac:dyDescent="0.3">
      <c r="A121" t="s">
        <v>245</v>
      </c>
      <c r="B121" t="s">
        <v>25</v>
      </c>
      <c r="C121" t="s">
        <v>26</v>
      </c>
      <c r="D121">
        <v>30</v>
      </c>
      <c r="E121" t="s">
        <v>155</v>
      </c>
      <c r="F121" t="s">
        <v>28</v>
      </c>
      <c r="G121" s="1">
        <v>45380</v>
      </c>
      <c r="H121">
        <v>84894.52</v>
      </c>
      <c r="I121" t="s">
        <v>29</v>
      </c>
      <c r="J121">
        <v>-651207048</v>
      </c>
      <c r="K121" t="s">
        <v>23</v>
      </c>
      <c r="L121" t="b">
        <v>1</v>
      </c>
    </row>
    <row r="122" spans="1:12" x14ac:dyDescent="0.3">
      <c r="A122" t="s">
        <v>246</v>
      </c>
      <c r="B122" t="s">
        <v>25</v>
      </c>
      <c r="C122" t="s">
        <v>42</v>
      </c>
      <c r="D122">
        <v>30</v>
      </c>
      <c r="E122" t="s">
        <v>166</v>
      </c>
      <c r="F122" t="s">
        <v>16</v>
      </c>
      <c r="G122" s="1">
        <v>44420</v>
      </c>
      <c r="H122">
        <v>80668.13</v>
      </c>
      <c r="I122" t="s">
        <v>44</v>
      </c>
      <c r="J122">
        <v>-6110804660</v>
      </c>
      <c r="K122" t="s">
        <v>30</v>
      </c>
      <c r="L122" t="b">
        <v>1</v>
      </c>
    </row>
    <row r="123" spans="1:12" x14ac:dyDescent="0.3">
      <c r="A123" t="s">
        <v>247</v>
      </c>
      <c r="B123" t="s">
        <v>13</v>
      </c>
      <c r="C123" t="s">
        <v>26</v>
      </c>
      <c r="D123">
        <v>25</v>
      </c>
      <c r="E123" t="s">
        <v>75</v>
      </c>
      <c r="F123" t="s">
        <v>16</v>
      </c>
      <c r="G123" s="1">
        <v>45284</v>
      </c>
      <c r="H123">
        <v>61086.47</v>
      </c>
      <c r="I123" t="s">
        <v>48</v>
      </c>
      <c r="J123">
        <v>-9639907675</v>
      </c>
      <c r="K123" t="s">
        <v>23</v>
      </c>
      <c r="L123" t="b">
        <v>1</v>
      </c>
    </row>
    <row r="124" spans="1:12" x14ac:dyDescent="0.3">
      <c r="A124" t="s">
        <v>248</v>
      </c>
      <c r="B124" t="s">
        <v>67</v>
      </c>
      <c r="C124" t="s">
        <v>53</v>
      </c>
      <c r="D124">
        <v>25</v>
      </c>
      <c r="E124" t="s">
        <v>96</v>
      </c>
      <c r="F124" t="s">
        <v>33</v>
      </c>
      <c r="G124" s="1">
        <v>44071</v>
      </c>
      <c r="H124">
        <v>95339.68</v>
      </c>
      <c r="I124" t="s">
        <v>116</v>
      </c>
      <c r="J124">
        <v>-9915078592</v>
      </c>
      <c r="K124" t="s">
        <v>40</v>
      </c>
      <c r="L124" t="b">
        <v>1</v>
      </c>
    </row>
    <row r="125" spans="1:12" x14ac:dyDescent="0.3">
      <c r="A125" t="s">
        <v>249</v>
      </c>
      <c r="B125" t="s">
        <v>32</v>
      </c>
      <c r="C125" t="s">
        <v>14</v>
      </c>
      <c r="E125" t="s">
        <v>15</v>
      </c>
      <c r="F125" t="s">
        <v>33</v>
      </c>
      <c r="G125" s="1">
        <v>45540</v>
      </c>
      <c r="H125">
        <v>83774.97</v>
      </c>
      <c r="I125" t="s">
        <v>34</v>
      </c>
      <c r="J125">
        <v>-1109193927</v>
      </c>
      <c r="K125" t="s">
        <v>18</v>
      </c>
      <c r="L125" t="b">
        <v>0</v>
      </c>
    </row>
    <row r="126" spans="1:12" x14ac:dyDescent="0.3">
      <c r="A126" t="s">
        <v>250</v>
      </c>
      <c r="B126" t="s">
        <v>63</v>
      </c>
      <c r="C126" t="s">
        <v>26</v>
      </c>
      <c r="E126" t="s">
        <v>176</v>
      </c>
      <c r="F126" t="s">
        <v>16</v>
      </c>
      <c r="G126" s="1">
        <v>45058</v>
      </c>
      <c r="H126">
        <v>85576.86</v>
      </c>
      <c r="I126" t="s">
        <v>251</v>
      </c>
      <c r="J126">
        <v>-4567972319</v>
      </c>
      <c r="K126" t="s">
        <v>40</v>
      </c>
      <c r="L126" t="b">
        <v>0</v>
      </c>
    </row>
    <row r="127" spans="1:12" x14ac:dyDescent="0.3">
      <c r="A127" t="s">
        <v>252</v>
      </c>
      <c r="B127" t="s">
        <v>13</v>
      </c>
      <c r="C127" t="s">
        <v>42</v>
      </c>
      <c r="D127">
        <v>35</v>
      </c>
      <c r="E127" t="s">
        <v>68</v>
      </c>
      <c r="F127" t="s">
        <v>28</v>
      </c>
      <c r="G127" s="1">
        <v>44378</v>
      </c>
      <c r="H127">
        <v>107438.46</v>
      </c>
      <c r="I127" t="s">
        <v>136</v>
      </c>
      <c r="J127">
        <v>-249685497</v>
      </c>
      <c r="K127" t="s">
        <v>30</v>
      </c>
      <c r="L127" t="b">
        <v>1</v>
      </c>
    </row>
    <row r="128" spans="1:12" x14ac:dyDescent="0.3">
      <c r="A128" t="s">
        <v>253</v>
      </c>
      <c r="B128" t="s">
        <v>32</v>
      </c>
      <c r="C128" t="s">
        <v>53</v>
      </c>
      <c r="E128" t="s">
        <v>185</v>
      </c>
      <c r="F128" t="s">
        <v>33</v>
      </c>
      <c r="G128" s="1">
        <v>45603</v>
      </c>
      <c r="H128">
        <v>60401.68</v>
      </c>
      <c r="I128" t="s">
        <v>254</v>
      </c>
      <c r="J128">
        <v>-2274954507</v>
      </c>
      <c r="K128" t="s">
        <v>18</v>
      </c>
      <c r="L128" t="b">
        <v>0</v>
      </c>
    </row>
    <row r="129" spans="1:12" x14ac:dyDescent="0.3">
      <c r="A129" t="s">
        <v>255</v>
      </c>
      <c r="B129" t="s">
        <v>36</v>
      </c>
      <c r="C129" t="s">
        <v>111</v>
      </c>
      <c r="D129">
        <v>35</v>
      </c>
      <c r="E129" t="s">
        <v>91</v>
      </c>
      <c r="F129" t="s">
        <v>33</v>
      </c>
      <c r="G129" s="1">
        <v>44763</v>
      </c>
      <c r="H129">
        <v>115299.66</v>
      </c>
      <c r="I129" t="s">
        <v>124</v>
      </c>
      <c r="J129">
        <v>-9203880652</v>
      </c>
      <c r="K129" t="s">
        <v>30</v>
      </c>
      <c r="L129" t="b">
        <v>1</v>
      </c>
    </row>
    <row r="130" spans="1:12" x14ac:dyDescent="0.3">
      <c r="A130" t="s">
        <v>256</v>
      </c>
      <c r="B130" t="s">
        <v>57</v>
      </c>
      <c r="C130" t="s">
        <v>20</v>
      </c>
      <c r="E130" t="s">
        <v>190</v>
      </c>
      <c r="F130" t="s">
        <v>33</v>
      </c>
      <c r="G130" s="1">
        <v>43920</v>
      </c>
      <c r="H130">
        <v>72272.34</v>
      </c>
      <c r="I130" t="s">
        <v>188</v>
      </c>
      <c r="J130">
        <v>-3315377958</v>
      </c>
      <c r="K130" t="s">
        <v>18</v>
      </c>
      <c r="L130" t="b">
        <v>0</v>
      </c>
    </row>
    <row r="131" spans="1:12" x14ac:dyDescent="0.3">
      <c r="A131" t="s">
        <v>257</v>
      </c>
      <c r="B131" t="s">
        <v>67</v>
      </c>
      <c r="C131" t="s">
        <v>20</v>
      </c>
      <c r="D131">
        <v>40</v>
      </c>
      <c r="E131" t="s">
        <v>258</v>
      </c>
      <c r="F131" t="s">
        <v>16</v>
      </c>
      <c r="G131" s="1">
        <v>44845</v>
      </c>
      <c r="H131">
        <v>117537.71</v>
      </c>
      <c r="I131" t="s">
        <v>173</v>
      </c>
      <c r="J131">
        <v>-9594652169</v>
      </c>
      <c r="K131" t="s">
        <v>23</v>
      </c>
      <c r="L131" t="b">
        <v>0</v>
      </c>
    </row>
    <row r="132" spans="1:12" x14ac:dyDescent="0.3">
      <c r="A132" t="s">
        <v>259</v>
      </c>
      <c r="B132" t="s">
        <v>36</v>
      </c>
      <c r="C132" t="s">
        <v>20</v>
      </c>
      <c r="D132">
        <v>25</v>
      </c>
      <c r="E132" t="s">
        <v>21</v>
      </c>
      <c r="F132" t="s">
        <v>28</v>
      </c>
      <c r="G132" s="1">
        <v>44766</v>
      </c>
      <c r="H132">
        <v>51074.33</v>
      </c>
      <c r="I132" t="s">
        <v>198</v>
      </c>
      <c r="J132">
        <v>-7303379336</v>
      </c>
      <c r="K132" t="s">
        <v>23</v>
      </c>
      <c r="L132" t="b">
        <v>1</v>
      </c>
    </row>
    <row r="133" spans="1:12" x14ac:dyDescent="0.3">
      <c r="A133" t="s">
        <v>260</v>
      </c>
      <c r="B133" t="s">
        <v>52</v>
      </c>
      <c r="C133" t="s">
        <v>26</v>
      </c>
      <c r="D133">
        <v>25</v>
      </c>
      <c r="E133" t="s">
        <v>68</v>
      </c>
      <c r="F133" t="s">
        <v>33</v>
      </c>
      <c r="G133" s="1">
        <v>45107</v>
      </c>
      <c r="H133">
        <v>98489.32</v>
      </c>
      <c r="I133" t="s">
        <v>109</v>
      </c>
      <c r="J133">
        <v>-5636205014</v>
      </c>
      <c r="K133" t="s">
        <v>23</v>
      </c>
      <c r="L133" t="b">
        <v>0</v>
      </c>
    </row>
    <row r="134" spans="1:12" x14ac:dyDescent="0.3">
      <c r="A134" t="s">
        <v>261</v>
      </c>
      <c r="B134" t="s">
        <v>36</v>
      </c>
      <c r="C134" t="s">
        <v>111</v>
      </c>
      <c r="E134" t="s">
        <v>68</v>
      </c>
      <c r="F134" t="s">
        <v>28</v>
      </c>
      <c r="G134" s="1">
        <v>45302</v>
      </c>
      <c r="H134">
        <v>112120.71</v>
      </c>
      <c r="I134" t="s">
        <v>124</v>
      </c>
      <c r="J134">
        <v>-812473949</v>
      </c>
      <c r="K134" t="s">
        <v>40</v>
      </c>
      <c r="L134" t="b">
        <v>1</v>
      </c>
    </row>
    <row r="135" spans="1:12" x14ac:dyDescent="0.3">
      <c r="A135" t="s">
        <v>262</v>
      </c>
      <c r="B135" t="s">
        <v>25</v>
      </c>
      <c r="C135" t="s">
        <v>26</v>
      </c>
      <c r="E135" t="s">
        <v>58</v>
      </c>
      <c r="F135" t="s">
        <v>28</v>
      </c>
      <c r="G135" s="1">
        <v>45232</v>
      </c>
      <c r="H135">
        <v>114465.04</v>
      </c>
      <c r="I135" t="s">
        <v>29</v>
      </c>
      <c r="J135">
        <v>-334234257</v>
      </c>
      <c r="K135" t="s">
        <v>30</v>
      </c>
      <c r="L135" t="b">
        <v>0</v>
      </c>
    </row>
    <row r="136" spans="1:12" x14ac:dyDescent="0.3">
      <c r="A136" t="s">
        <v>263</v>
      </c>
      <c r="B136" t="s">
        <v>13</v>
      </c>
      <c r="C136" t="s">
        <v>14</v>
      </c>
      <c r="D136">
        <v>40</v>
      </c>
      <c r="E136" t="s">
        <v>80</v>
      </c>
      <c r="F136" t="s">
        <v>28</v>
      </c>
      <c r="G136" s="1">
        <v>45618</v>
      </c>
      <c r="H136">
        <v>57035.51</v>
      </c>
      <c r="I136" t="s">
        <v>17</v>
      </c>
      <c r="J136">
        <v>-3230241025</v>
      </c>
      <c r="K136" t="s">
        <v>40</v>
      </c>
      <c r="L136" t="b">
        <v>1</v>
      </c>
    </row>
    <row r="137" spans="1:12" x14ac:dyDescent="0.3">
      <c r="A137" t="s">
        <v>264</v>
      </c>
      <c r="B137" t="s">
        <v>32</v>
      </c>
      <c r="C137" t="s">
        <v>26</v>
      </c>
      <c r="D137">
        <v>25</v>
      </c>
      <c r="E137" t="s">
        <v>217</v>
      </c>
      <c r="F137" t="s">
        <v>16</v>
      </c>
      <c r="G137" s="1">
        <v>44431</v>
      </c>
      <c r="H137">
        <v>75092.429999999993</v>
      </c>
      <c r="I137" t="s">
        <v>224</v>
      </c>
      <c r="J137">
        <v>-1534735527</v>
      </c>
      <c r="K137" t="s">
        <v>23</v>
      </c>
      <c r="L137" t="b">
        <v>1</v>
      </c>
    </row>
    <row r="138" spans="1:12" x14ac:dyDescent="0.3">
      <c r="A138" t="s">
        <v>265</v>
      </c>
      <c r="B138" t="s">
        <v>57</v>
      </c>
      <c r="C138" t="s">
        <v>111</v>
      </c>
      <c r="E138" t="s">
        <v>215</v>
      </c>
      <c r="F138" t="s">
        <v>28</v>
      </c>
      <c r="G138" s="1">
        <v>45454</v>
      </c>
      <c r="H138">
        <v>62603.98</v>
      </c>
      <c r="I138" t="s">
        <v>266</v>
      </c>
      <c r="J138">
        <v>-9611223385</v>
      </c>
      <c r="K138" t="s">
        <v>30</v>
      </c>
      <c r="L138" t="b">
        <v>0</v>
      </c>
    </row>
    <row r="139" spans="1:12" x14ac:dyDescent="0.3">
      <c r="A139" t="s">
        <v>267</v>
      </c>
      <c r="B139" t="s">
        <v>67</v>
      </c>
      <c r="C139" t="s">
        <v>111</v>
      </c>
      <c r="E139" t="s">
        <v>54</v>
      </c>
      <c r="F139" t="s">
        <v>33</v>
      </c>
      <c r="G139" s="1">
        <v>45025</v>
      </c>
      <c r="H139">
        <v>60018.239999999998</v>
      </c>
      <c r="I139" t="s">
        <v>122</v>
      </c>
      <c r="J139">
        <v>-5596309937</v>
      </c>
      <c r="K139" t="s">
        <v>23</v>
      </c>
      <c r="L139" t="b">
        <v>0</v>
      </c>
    </row>
    <row r="140" spans="1:12" x14ac:dyDescent="0.3">
      <c r="A140" t="s">
        <v>268</v>
      </c>
      <c r="B140" t="s">
        <v>32</v>
      </c>
      <c r="C140" t="s">
        <v>14</v>
      </c>
      <c r="D140">
        <v>40</v>
      </c>
      <c r="E140" t="s">
        <v>133</v>
      </c>
      <c r="F140" t="s">
        <v>16</v>
      </c>
      <c r="G140" s="1">
        <v>45478</v>
      </c>
      <c r="H140">
        <v>82567.73</v>
      </c>
      <c r="I140" t="s">
        <v>34</v>
      </c>
      <c r="J140">
        <v>-4253042896</v>
      </c>
      <c r="K140" t="s">
        <v>40</v>
      </c>
      <c r="L140" t="b">
        <v>1</v>
      </c>
    </row>
    <row r="141" spans="1:12" x14ac:dyDescent="0.3">
      <c r="A141" t="s">
        <v>269</v>
      </c>
      <c r="B141" t="s">
        <v>52</v>
      </c>
      <c r="C141" t="s">
        <v>111</v>
      </c>
      <c r="D141">
        <v>25</v>
      </c>
      <c r="E141" t="s">
        <v>68</v>
      </c>
      <c r="F141" t="s">
        <v>28</v>
      </c>
      <c r="G141" s="1">
        <v>44443</v>
      </c>
      <c r="H141">
        <v>94725.71</v>
      </c>
      <c r="I141" t="s">
        <v>167</v>
      </c>
      <c r="J141">
        <v>-3179128684</v>
      </c>
      <c r="K141" t="s">
        <v>40</v>
      </c>
      <c r="L141" t="b">
        <v>0</v>
      </c>
    </row>
    <row r="142" spans="1:12" x14ac:dyDescent="0.3">
      <c r="A142" t="s">
        <v>270</v>
      </c>
      <c r="B142" t="s">
        <v>32</v>
      </c>
      <c r="C142" t="s">
        <v>42</v>
      </c>
      <c r="D142">
        <v>40</v>
      </c>
      <c r="E142" t="s">
        <v>64</v>
      </c>
      <c r="F142" t="s">
        <v>33</v>
      </c>
      <c r="G142" s="1">
        <v>45578</v>
      </c>
      <c r="H142">
        <v>83824.56</v>
      </c>
      <c r="I142" t="s">
        <v>236</v>
      </c>
      <c r="J142">
        <v>-7872558776</v>
      </c>
      <c r="K142" t="s">
        <v>40</v>
      </c>
      <c r="L142" t="b">
        <v>0</v>
      </c>
    </row>
    <row r="143" spans="1:12" x14ac:dyDescent="0.3">
      <c r="A143" t="s">
        <v>271</v>
      </c>
      <c r="B143" t="s">
        <v>36</v>
      </c>
      <c r="C143" t="s">
        <v>111</v>
      </c>
      <c r="E143" t="s">
        <v>133</v>
      </c>
      <c r="F143" t="s">
        <v>33</v>
      </c>
      <c r="G143" s="1">
        <v>43875</v>
      </c>
      <c r="H143">
        <v>118456.11</v>
      </c>
      <c r="I143" t="s">
        <v>124</v>
      </c>
      <c r="J143">
        <v>-4969033372</v>
      </c>
      <c r="K143" t="s">
        <v>23</v>
      </c>
      <c r="L143" t="b">
        <v>1</v>
      </c>
    </row>
    <row r="144" spans="1:12" x14ac:dyDescent="0.3">
      <c r="A144" t="s">
        <v>272</v>
      </c>
      <c r="B144" t="s">
        <v>32</v>
      </c>
      <c r="C144" t="s">
        <v>20</v>
      </c>
      <c r="D144">
        <v>25</v>
      </c>
      <c r="E144" t="s">
        <v>185</v>
      </c>
      <c r="F144" t="s">
        <v>28</v>
      </c>
      <c r="G144" s="1">
        <v>43931</v>
      </c>
      <c r="H144">
        <v>113743.19</v>
      </c>
      <c r="I144" t="s">
        <v>138</v>
      </c>
      <c r="J144">
        <v>-6346692547</v>
      </c>
      <c r="K144" t="s">
        <v>30</v>
      </c>
      <c r="L144" t="b">
        <v>1</v>
      </c>
    </row>
    <row r="145" spans="1:12" x14ac:dyDescent="0.3">
      <c r="A145" t="s">
        <v>273</v>
      </c>
      <c r="B145" t="s">
        <v>32</v>
      </c>
      <c r="C145" t="s">
        <v>42</v>
      </c>
      <c r="D145">
        <v>30</v>
      </c>
      <c r="E145" t="s">
        <v>155</v>
      </c>
      <c r="F145" t="s">
        <v>16</v>
      </c>
      <c r="G145" s="1">
        <v>45134</v>
      </c>
      <c r="H145">
        <v>63309.24</v>
      </c>
      <c r="I145" t="s">
        <v>236</v>
      </c>
      <c r="J145">
        <v>-1214785389</v>
      </c>
      <c r="K145" t="s">
        <v>30</v>
      </c>
      <c r="L145" t="b">
        <v>0</v>
      </c>
    </row>
    <row r="146" spans="1:12" x14ac:dyDescent="0.3">
      <c r="A146" t="s">
        <v>274</v>
      </c>
      <c r="B146" t="s">
        <v>52</v>
      </c>
      <c r="C146" t="s">
        <v>42</v>
      </c>
      <c r="D146">
        <v>25</v>
      </c>
      <c r="E146" t="s">
        <v>258</v>
      </c>
      <c r="F146" t="s">
        <v>16</v>
      </c>
      <c r="G146" s="1">
        <v>44463</v>
      </c>
      <c r="H146">
        <v>105202.73</v>
      </c>
      <c r="I146" t="s">
        <v>81</v>
      </c>
      <c r="J146">
        <v>-7895677664</v>
      </c>
      <c r="K146" t="s">
        <v>23</v>
      </c>
      <c r="L146" t="b">
        <v>1</v>
      </c>
    </row>
    <row r="147" spans="1:12" x14ac:dyDescent="0.3">
      <c r="A147" t="s">
        <v>275</v>
      </c>
      <c r="B147" t="s">
        <v>36</v>
      </c>
      <c r="C147" t="s">
        <v>14</v>
      </c>
      <c r="D147">
        <v>30</v>
      </c>
      <c r="E147" t="s">
        <v>217</v>
      </c>
      <c r="F147" t="s">
        <v>33</v>
      </c>
      <c r="G147" s="1">
        <v>45361</v>
      </c>
      <c r="H147">
        <v>79085.22</v>
      </c>
      <c r="I147" t="s">
        <v>50</v>
      </c>
      <c r="J147">
        <v>-7546027340</v>
      </c>
      <c r="K147" t="s">
        <v>30</v>
      </c>
      <c r="L147" t="b">
        <v>1</v>
      </c>
    </row>
    <row r="148" spans="1:12" x14ac:dyDescent="0.3">
      <c r="A148" t="s">
        <v>276</v>
      </c>
      <c r="B148" t="s">
        <v>36</v>
      </c>
      <c r="C148" t="s">
        <v>37</v>
      </c>
      <c r="E148" t="s">
        <v>155</v>
      </c>
      <c r="F148" t="s">
        <v>16</v>
      </c>
      <c r="G148" s="1">
        <v>44357</v>
      </c>
      <c r="H148">
        <v>113983.43</v>
      </c>
      <c r="I148" t="s">
        <v>39</v>
      </c>
      <c r="J148">
        <v>-5148881430</v>
      </c>
      <c r="K148" t="s">
        <v>23</v>
      </c>
      <c r="L148" t="b">
        <v>1</v>
      </c>
    </row>
    <row r="149" spans="1:12" x14ac:dyDescent="0.3">
      <c r="A149" t="s">
        <v>277</v>
      </c>
      <c r="B149" t="s">
        <v>32</v>
      </c>
      <c r="C149" t="s">
        <v>37</v>
      </c>
      <c r="D149">
        <v>35</v>
      </c>
      <c r="E149" t="s">
        <v>38</v>
      </c>
      <c r="F149" t="s">
        <v>16</v>
      </c>
      <c r="G149" s="1">
        <v>44119</v>
      </c>
      <c r="H149">
        <v>102790.6</v>
      </c>
      <c r="I149" t="s">
        <v>127</v>
      </c>
      <c r="J149">
        <v>-1150835353</v>
      </c>
      <c r="K149" t="s">
        <v>30</v>
      </c>
      <c r="L149" t="b">
        <v>0</v>
      </c>
    </row>
    <row r="150" spans="1:12" x14ac:dyDescent="0.3">
      <c r="A150" t="s">
        <v>278</v>
      </c>
      <c r="B150" t="s">
        <v>67</v>
      </c>
      <c r="C150" t="s">
        <v>111</v>
      </c>
      <c r="E150" t="s">
        <v>126</v>
      </c>
      <c r="F150" t="s">
        <v>33</v>
      </c>
      <c r="G150" s="1">
        <v>43859</v>
      </c>
      <c r="H150">
        <v>68512.100000000006</v>
      </c>
      <c r="I150" t="s">
        <v>122</v>
      </c>
      <c r="J150">
        <v>-4439284043</v>
      </c>
      <c r="K150" t="s">
        <v>18</v>
      </c>
      <c r="L150" t="b">
        <v>0</v>
      </c>
    </row>
    <row r="151" spans="1:12" x14ac:dyDescent="0.3">
      <c r="A151" t="s">
        <v>279</v>
      </c>
      <c r="B151" t="s">
        <v>36</v>
      </c>
      <c r="C151" t="s">
        <v>42</v>
      </c>
      <c r="D151">
        <v>35</v>
      </c>
      <c r="E151" t="s">
        <v>72</v>
      </c>
      <c r="F151" t="s">
        <v>28</v>
      </c>
      <c r="G151" s="1">
        <v>44591</v>
      </c>
      <c r="H151">
        <v>57584.23</v>
      </c>
      <c r="I151" t="s">
        <v>157</v>
      </c>
      <c r="J151">
        <v>-5669078262</v>
      </c>
      <c r="K151" t="s">
        <v>18</v>
      </c>
      <c r="L151" t="b">
        <v>1</v>
      </c>
    </row>
    <row r="152" spans="1:12" x14ac:dyDescent="0.3">
      <c r="A152" t="s">
        <v>280</v>
      </c>
      <c r="B152" t="s">
        <v>25</v>
      </c>
      <c r="C152" t="s">
        <v>37</v>
      </c>
      <c r="E152" t="s">
        <v>155</v>
      </c>
      <c r="F152" t="s">
        <v>28</v>
      </c>
      <c r="G152" s="1">
        <v>44284</v>
      </c>
      <c r="H152">
        <v>95335.67</v>
      </c>
      <c r="I152" t="s">
        <v>281</v>
      </c>
      <c r="J152">
        <v>-3373898774</v>
      </c>
      <c r="K152" t="s">
        <v>40</v>
      </c>
      <c r="L152" t="b">
        <v>0</v>
      </c>
    </row>
    <row r="153" spans="1:12" x14ac:dyDescent="0.3">
      <c r="A153" t="s">
        <v>282</v>
      </c>
      <c r="B153" t="s">
        <v>63</v>
      </c>
      <c r="C153" t="s">
        <v>37</v>
      </c>
      <c r="D153">
        <v>35</v>
      </c>
      <c r="E153" t="s">
        <v>192</v>
      </c>
      <c r="F153" t="s">
        <v>16</v>
      </c>
      <c r="G153" s="1">
        <v>44117</v>
      </c>
      <c r="H153">
        <v>53174.28</v>
      </c>
      <c r="I153" t="s">
        <v>65</v>
      </c>
      <c r="J153">
        <v>-1536637779</v>
      </c>
      <c r="K153" t="s">
        <v>18</v>
      </c>
      <c r="L153" t="b">
        <v>1</v>
      </c>
    </row>
    <row r="154" spans="1:12" x14ac:dyDescent="0.3">
      <c r="A154" t="s">
        <v>283</v>
      </c>
      <c r="B154" t="s">
        <v>63</v>
      </c>
      <c r="C154" t="s">
        <v>111</v>
      </c>
      <c r="D154">
        <v>25</v>
      </c>
      <c r="E154" t="s">
        <v>58</v>
      </c>
      <c r="F154" t="s">
        <v>28</v>
      </c>
      <c r="G154" s="1">
        <v>44108</v>
      </c>
      <c r="H154">
        <v>77205.210000000006</v>
      </c>
      <c r="I154" t="s">
        <v>284</v>
      </c>
      <c r="J154">
        <v>-5292407552</v>
      </c>
      <c r="K154" t="s">
        <v>18</v>
      </c>
      <c r="L154" t="b">
        <v>0</v>
      </c>
    </row>
    <row r="155" spans="1:12" x14ac:dyDescent="0.3">
      <c r="A155" t="s">
        <v>285</v>
      </c>
      <c r="B155" t="s">
        <v>67</v>
      </c>
      <c r="C155" t="s">
        <v>37</v>
      </c>
      <c r="E155" t="s">
        <v>258</v>
      </c>
      <c r="F155" t="s">
        <v>16</v>
      </c>
      <c r="G155" s="1">
        <v>45644</v>
      </c>
      <c r="H155">
        <v>79041.919999999998</v>
      </c>
      <c r="I155" t="s">
        <v>69</v>
      </c>
      <c r="J155">
        <v>-6668459089</v>
      </c>
      <c r="K155" t="s">
        <v>18</v>
      </c>
      <c r="L155" t="b">
        <v>1</v>
      </c>
    </row>
    <row r="156" spans="1:12" x14ac:dyDescent="0.3">
      <c r="A156" t="s">
        <v>286</v>
      </c>
      <c r="B156" t="s">
        <v>63</v>
      </c>
      <c r="C156" t="s">
        <v>26</v>
      </c>
      <c r="E156" t="s">
        <v>68</v>
      </c>
      <c r="F156" t="s">
        <v>16</v>
      </c>
      <c r="G156" s="1">
        <v>45244</v>
      </c>
      <c r="H156">
        <v>75937.100000000006</v>
      </c>
      <c r="I156" t="s">
        <v>251</v>
      </c>
      <c r="J156">
        <v>-2259999662</v>
      </c>
      <c r="K156" t="s">
        <v>23</v>
      </c>
      <c r="L156" t="b">
        <v>1</v>
      </c>
    </row>
    <row r="157" spans="1:12" x14ac:dyDescent="0.3">
      <c r="A157" t="s">
        <v>287</v>
      </c>
      <c r="B157" t="s">
        <v>57</v>
      </c>
      <c r="C157" t="s">
        <v>53</v>
      </c>
      <c r="D157">
        <v>35</v>
      </c>
      <c r="E157" t="s">
        <v>80</v>
      </c>
      <c r="F157" t="s">
        <v>33</v>
      </c>
      <c r="G157" s="1">
        <v>44946</v>
      </c>
      <c r="H157">
        <v>113118.73</v>
      </c>
      <c r="I157" t="s">
        <v>183</v>
      </c>
      <c r="J157">
        <v>-6186371596</v>
      </c>
      <c r="K157" t="s">
        <v>18</v>
      </c>
      <c r="L157" t="b">
        <v>0</v>
      </c>
    </row>
    <row r="158" spans="1:12" x14ac:dyDescent="0.3">
      <c r="A158" t="s">
        <v>288</v>
      </c>
      <c r="B158" t="s">
        <v>25</v>
      </c>
      <c r="C158" t="s">
        <v>14</v>
      </c>
      <c r="D158">
        <v>40</v>
      </c>
      <c r="E158" t="s">
        <v>64</v>
      </c>
      <c r="F158" t="s">
        <v>16</v>
      </c>
      <c r="G158" s="1">
        <v>45567</v>
      </c>
      <c r="H158">
        <v>107693.38</v>
      </c>
      <c r="I158" t="s">
        <v>143</v>
      </c>
      <c r="J158">
        <v>-4121820969</v>
      </c>
      <c r="K158" t="s">
        <v>18</v>
      </c>
      <c r="L158" t="b">
        <v>1</v>
      </c>
    </row>
    <row r="159" spans="1:12" x14ac:dyDescent="0.3">
      <c r="A159" t="s">
        <v>289</v>
      </c>
      <c r="B159" t="s">
        <v>57</v>
      </c>
      <c r="C159" t="s">
        <v>53</v>
      </c>
      <c r="E159" t="s">
        <v>141</v>
      </c>
      <c r="F159" t="s">
        <v>33</v>
      </c>
      <c r="G159" s="1">
        <v>44329</v>
      </c>
      <c r="H159">
        <v>119217.46</v>
      </c>
      <c r="I159" t="s">
        <v>183</v>
      </c>
      <c r="J159">
        <v>-2316433480</v>
      </c>
      <c r="K159" t="s">
        <v>40</v>
      </c>
      <c r="L159" t="b">
        <v>0</v>
      </c>
    </row>
    <row r="160" spans="1:12" x14ac:dyDescent="0.3">
      <c r="A160" t="s">
        <v>290</v>
      </c>
      <c r="B160" t="s">
        <v>57</v>
      </c>
      <c r="C160" t="s">
        <v>111</v>
      </c>
      <c r="D160">
        <v>25</v>
      </c>
      <c r="E160" t="s">
        <v>100</v>
      </c>
      <c r="F160" t="s">
        <v>28</v>
      </c>
      <c r="G160" s="1">
        <v>44273</v>
      </c>
      <c r="H160">
        <v>106913.71</v>
      </c>
      <c r="I160" t="s">
        <v>266</v>
      </c>
      <c r="J160">
        <v>-7058025661</v>
      </c>
      <c r="K160" t="s">
        <v>18</v>
      </c>
      <c r="L160" t="b">
        <v>0</v>
      </c>
    </row>
    <row r="161" spans="1:12" x14ac:dyDescent="0.3">
      <c r="A161" t="s">
        <v>291</v>
      </c>
      <c r="B161" t="s">
        <v>52</v>
      </c>
      <c r="C161" t="s">
        <v>20</v>
      </c>
      <c r="E161" t="s">
        <v>217</v>
      </c>
      <c r="F161" t="s">
        <v>16</v>
      </c>
      <c r="G161" s="1">
        <v>44097</v>
      </c>
      <c r="H161">
        <v>87815.08</v>
      </c>
      <c r="I161" t="s">
        <v>114</v>
      </c>
      <c r="J161">
        <v>-1286716322</v>
      </c>
      <c r="K161" t="s">
        <v>18</v>
      </c>
      <c r="L161" t="b">
        <v>1</v>
      </c>
    </row>
    <row r="162" spans="1:12" x14ac:dyDescent="0.3">
      <c r="A162" t="s">
        <v>292</v>
      </c>
      <c r="B162" t="s">
        <v>13</v>
      </c>
      <c r="C162" t="s">
        <v>14</v>
      </c>
      <c r="D162">
        <v>25</v>
      </c>
      <c r="E162" t="s">
        <v>96</v>
      </c>
      <c r="F162" t="s">
        <v>33</v>
      </c>
      <c r="G162" s="1">
        <v>45448</v>
      </c>
      <c r="H162">
        <v>105190.21</v>
      </c>
      <c r="I162" t="s">
        <v>17</v>
      </c>
      <c r="J162">
        <v>-4672994937</v>
      </c>
      <c r="K162" t="s">
        <v>30</v>
      </c>
      <c r="L162" t="b">
        <v>1</v>
      </c>
    </row>
    <row r="163" spans="1:12" x14ac:dyDescent="0.3">
      <c r="A163" t="s">
        <v>293</v>
      </c>
      <c r="B163" t="s">
        <v>25</v>
      </c>
      <c r="C163" t="s">
        <v>111</v>
      </c>
      <c r="D163">
        <v>30</v>
      </c>
      <c r="E163" t="s">
        <v>126</v>
      </c>
      <c r="F163" t="s">
        <v>16</v>
      </c>
      <c r="G163" s="1">
        <v>45350</v>
      </c>
      <c r="H163">
        <v>79467.240000000005</v>
      </c>
      <c r="I163" t="s">
        <v>159</v>
      </c>
      <c r="J163">
        <v>-7430271692</v>
      </c>
      <c r="K163" t="s">
        <v>40</v>
      </c>
      <c r="L163" t="b">
        <v>0</v>
      </c>
    </row>
    <row r="164" spans="1:12" x14ac:dyDescent="0.3">
      <c r="A164" t="s">
        <v>294</v>
      </c>
      <c r="B164" t="s">
        <v>13</v>
      </c>
      <c r="C164" t="s">
        <v>42</v>
      </c>
      <c r="D164">
        <v>40</v>
      </c>
      <c r="E164" t="s">
        <v>68</v>
      </c>
      <c r="F164" t="s">
        <v>28</v>
      </c>
      <c r="G164" s="1">
        <v>45046</v>
      </c>
      <c r="H164">
        <v>57633.78</v>
      </c>
      <c r="I164" t="s">
        <v>136</v>
      </c>
      <c r="J164">
        <v>-8597779013</v>
      </c>
      <c r="K164" t="s">
        <v>40</v>
      </c>
      <c r="L164" t="b">
        <v>1</v>
      </c>
    </row>
    <row r="165" spans="1:12" x14ac:dyDescent="0.3">
      <c r="A165" t="s">
        <v>295</v>
      </c>
      <c r="B165" t="s">
        <v>25</v>
      </c>
      <c r="C165" t="s">
        <v>20</v>
      </c>
      <c r="E165" t="s">
        <v>180</v>
      </c>
      <c r="F165" t="s">
        <v>28</v>
      </c>
      <c r="G165" s="1">
        <v>43894</v>
      </c>
      <c r="H165">
        <v>54257.78</v>
      </c>
      <c r="I165" t="s">
        <v>76</v>
      </c>
      <c r="J165">
        <v>-7546926328</v>
      </c>
      <c r="K165" t="s">
        <v>40</v>
      </c>
      <c r="L165" t="b">
        <v>1</v>
      </c>
    </row>
    <row r="166" spans="1:12" x14ac:dyDescent="0.3">
      <c r="A166" t="s">
        <v>296</v>
      </c>
      <c r="B166" t="s">
        <v>67</v>
      </c>
      <c r="C166" t="s">
        <v>53</v>
      </c>
      <c r="D166">
        <v>40</v>
      </c>
      <c r="E166" t="s">
        <v>197</v>
      </c>
      <c r="F166" t="s">
        <v>33</v>
      </c>
      <c r="G166" s="1">
        <v>45289</v>
      </c>
      <c r="H166">
        <v>113679.06</v>
      </c>
      <c r="I166" t="s">
        <v>116</v>
      </c>
      <c r="J166">
        <v>-6762916031</v>
      </c>
      <c r="K166" t="s">
        <v>40</v>
      </c>
      <c r="L166" t="b">
        <v>1</v>
      </c>
    </row>
    <row r="167" spans="1:12" x14ac:dyDescent="0.3">
      <c r="A167" t="s">
        <v>297</v>
      </c>
      <c r="B167" t="s">
        <v>13</v>
      </c>
      <c r="C167" t="s">
        <v>111</v>
      </c>
      <c r="D167">
        <v>35</v>
      </c>
      <c r="E167" t="s">
        <v>100</v>
      </c>
      <c r="F167" t="s">
        <v>16</v>
      </c>
      <c r="G167" s="1">
        <v>44089</v>
      </c>
      <c r="H167">
        <v>69251.12</v>
      </c>
      <c r="I167" t="s">
        <v>112</v>
      </c>
      <c r="J167">
        <v>-4841376814</v>
      </c>
      <c r="K167" t="s">
        <v>40</v>
      </c>
      <c r="L167" t="b">
        <v>1</v>
      </c>
    </row>
    <row r="168" spans="1:12" x14ac:dyDescent="0.3">
      <c r="A168" t="s">
        <v>298</v>
      </c>
      <c r="B168" t="s">
        <v>36</v>
      </c>
      <c r="C168" t="s">
        <v>42</v>
      </c>
      <c r="D168">
        <v>40</v>
      </c>
      <c r="E168" t="s">
        <v>91</v>
      </c>
      <c r="F168" t="s">
        <v>33</v>
      </c>
      <c r="G168" s="1">
        <v>44760</v>
      </c>
      <c r="H168">
        <v>85388.58</v>
      </c>
      <c r="I168" t="s">
        <v>157</v>
      </c>
      <c r="J168">
        <v>-1185672437</v>
      </c>
      <c r="K168" t="s">
        <v>40</v>
      </c>
      <c r="L168" t="b">
        <v>1</v>
      </c>
    </row>
    <row r="169" spans="1:12" x14ac:dyDescent="0.3">
      <c r="A169" t="s">
        <v>299</v>
      </c>
      <c r="B169" t="s">
        <v>13</v>
      </c>
      <c r="C169" t="s">
        <v>14</v>
      </c>
      <c r="E169" t="s">
        <v>54</v>
      </c>
      <c r="F169" t="s">
        <v>33</v>
      </c>
      <c r="G169" s="1">
        <v>44755</v>
      </c>
      <c r="H169">
        <v>112166.37</v>
      </c>
      <c r="I169" t="s">
        <v>17</v>
      </c>
      <c r="J169">
        <v>-701765635</v>
      </c>
      <c r="K169" t="s">
        <v>23</v>
      </c>
      <c r="L169" t="b">
        <v>0</v>
      </c>
    </row>
    <row r="170" spans="1:12" x14ac:dyDescent="0.3">
      <c r="A170" t="s">
        <v>300</v>
      </c>
      <c r="B170" t="s">
        <v>63</v>
      </c>
      <c r="C170" t="s">
        <v>14</v>
      </c>
      <c r="D170">
        <v>40</v>
      </c>
      <c r="E170" t="s">
        <v>93</v>
      </c>
      <c r="F170" t="s">
        <v>16</v>
      </c>
      <c r="G170" s="1">
        <v>44471</v>
      </c>
      <c r="H170">
        <v>79873.48</v>
      </c>
      <c r="I170" t="s">
        <v>301</v>
      </c>
      <c r="J170">
        <v>-41257770</v>
      </c>
      <c r="K170" t="s">
        <v>18</v>
      </c>
      <c r="L170" t="b">
        <v>0</v>
      </c>
    </row>
    <row r="171" spans="1:12" x14ac:dyDescent="0.3">
      <c r="A171" t="s">
        <v>302</v>
      </c>
      <c r="B171" t="s">
        <v>36</v>
      </c>
      <c r="C171" t="s">
        <v>86</v>
      </c>
      <c r="D171">
        <v>30</v>
      </c>
      <c r="E171" t="s">
        <v>192</v>
      </c>
      <c r="F171" t="s">
        <v>16</v>
      </c>
      <c r="G171" s="1">
        <v>44017</v>
      </c>
      <c r="H171">
        <v>108224.03</v>
      </c>
      <c r="I171" t="s">
        <v>101</v>
      </c>
      <c r="J171">
        <v>-1837274219</v>
      </c>
      <c r="K171" t="s">
        <v>40</v>
      </c>
      <c r="L171" t="b">
        <v>1</v>
      </c>
    </row>
    <row r="172" spans="1:12" x14ac:dyDescent="0.3">
      <c r="A172" t="s">
        <v>303</v>
      </c>
      <c r="B172" t="s">
        <v>13</v>
      </c>
      <c r="C172" t="s">
        <v>42</v>
      </c>
      <c r="D172">
        <v>35</v>
      </c>
      <c r="E172" t="s">
        <v>83</v>
      </c>
      <c r="F172" t="s">
        <v>16</v>
      </c>
      <c r="G172" s="1">
        <v>45032</v>
      </c>
      <c r="H172">
        <v>116963.72</v>
      </c>
      <c r="I172" t="s">
        <v>136</v>
      </c>
      <c r="J172">
        <v>-9124186209</v>
      </c>
      <c r="K172" t="s">
        <v>18</v>
      </c>
      <c r="L172" t="b">
        <v>1</v>
      </c>
    </row>
    <row r="173" spans="1:12" x14ac:dyDescent="0.3">
      <c r="A173" t="s">
        <v>304</v>
      </c>
      <c r="B173" t="s">
        <v>13</v>
      </c>
      <c r="C173" t="s">
        <v>26</v>
      </c>
      <c r="D173">
        <v>40</v>
      </c>
      <c r="E173" t="s">
        <v>133</v>
      </c>
      <c r="F173" t="s">
        <v>33</v>
      </c>
      <c r="G173" s="1">
        <v>45608</v>
      </c>
      <c r="H173">
        <v>114109.06</v>
      </c>
      <c r="I173" t="s">
        <v>48</v>
      </c>
      <c r="J173">
        <v>-4275230836</v>
      </c>
      <c r="K173" t="s">
        <v>18</v>
      </c>
      <c r="L173" t="b">
        <v>1</v>
      </c>
    </row>
    <row r="174" spans="1:12" x14ac:dyDescent="0.3">
      <c r="A174" t="s">
        <v>305</v>
      </c>
      <c r="B174" t="s">
        <v>32</v>
      </c>
      <c r="C174" t="s">
        <v>37</v>
      </c>
      <c r="E174" t="s">
        <v>131</v>
      </c>
      <c r="F174" t="s">
        <v>16</v>
      </c>
      <c r="G174" s="1">
        <v>45014</v>
      </c>
      <c r="H174">
        <v>85518.88</v>
      </c>
      <c r="I174" t="s">
        <v>127</v>
      </c>
      <c r="J174">
        <v>-816470899</v>
      </c>
      <c r="K174" t="s">
        <v>23</v>
      </c>
      <c r="L174" t="b">
        <v>0</v>
      </c>
    </row>
    <row r="175" spans="1:12" x14ac:dyDescent="0.3">
      <c r="A175" t="s">
        <v>306</v>
      </c>
      <c r="B175" t="s">
        <v>63</v>
      </c>
      <c r="C175" t="s">
        <v>20</v>
      </c>
      <c r="D175">
        <v>30</v>
      </c>
      <c r="E175" t="s">
        <v>217</v>
      </c>
      <c r="F175" t="s">
        <v>28</v>
      </c>
      <c r="G175" s="1">
        <v>44583</v>
      </c>
      <c r="H175">
        <v>58041.97</v>
      </c>
      <c r="I175" t="s">
        <v>307</v>
      </c>
      <c r="J175">
        <v>-6335331059</v>
      </c>
      <c r="K175" t="s">
        <v>40</v>
      </c>
      <c r="L175" t="b">
        <v>1</v>
      </c>
    </row>
    <row r="176" spans="1:12" x14ac:dyDescent="0.3">
      <c r="A176" t="s">
        <v>308</v>
      </c>
      <c r="B176" t="s">
        <v>57</v>
      </c>
      <c r="C176" t="s">
        <v>42</v>
      </c>
      <c r="D176">
        <v>40</v>
      </c>
      <c r="E176" t="s">
        <v>91</v>
      </c>
      <c r="F176" t="s">
        <v>28</v>
      </c>
      <c r="G176" s="1">
        <v>45213</v>
      </c>
      <c r="H176">
        <v>94988.94</v>
      </c>
      <c r="I176" t="s">
        <v>94</v>
      </c>
      <c r="J176">
        <v>-531312205</v>
      </c>
      <c r="K176" t="s">
        <v>30</v>
      </c>
      <c r="L176" t="b">
        <v>0</v>
      </c>
    </row>
    <row r="177" spans="1:12" x14ac:dyDescent="0.3">
      <c r="A177" t="s">
        <v>309</v>
      </c>
      <c r="B177" t="s">
        <v>32</v>
      </c>
      <c r="C177" t="s">
        <v>86</v>
      </c>
      <c r="D177">
        <v>25</v>
      </c>
      <c r="E177" t="s">
        <v>108</v>
      </c>
      <c r="F177" t="s">
        <v>28</v>
      </c>
      <c r="G177" s="1">
        <v>45392</v>
      </c>
      <c r="H177">
        <v>71628.929999999993</v>
      </c>
      <c r="I177" t="s">
        <v>213</v>
      </c>
      <c r="J177">
        <v>-8155839385</v>
      </c>
      <c r="K177" t="s">
        <v>23</v>
      </c>
      <c r="L177" t="b">
        <v>0</v>
      </c>
    </row>
    <row r="178" spans="1:12" x14ac:dyDescent="0.3">
      <c r="A178" t="s">
        <v>310</v>
      </c>
      <c r="B178" t="s">
        <v>25</v>
      </c>
      <c r="C178" t="s">
        <v>37</v>
      </c>
      <c r="D178">
        <v>30</v>
      </c>
      <c r="E178" t="s">
        <v>83</v>
      </c>
      <c r="F178" t="s">
        <v>28</v>
      </c>
      <c r="G178" s="1">
        <v>44651</v>
      </c>
      <c r="H178">
        <v>54870.98</v>
      </c>
      <c r="I178" t="s">
        <v>281</v>
      </c>
      <c r="J178">
        <v>-6133155205</v>
      </c>
      <c r="K178" t="s">
        <v>30</v>
      </c>
      <c r="L178" t="b">
        <v>0</v>
      </c>
    </row>
    <row r="179" spans="1:12" x14ac:dyDescent="0.3">
      <c r="A179" t="s">
        <v>311</v>
      </c>
      <c r="B179" t="s">
        <v>25</v>
      </c>
      <c r="C179" t="s">
        <v>37</v>
      </c>
      <c r="D179">
        <v>25</v>
      </c>
      <c r="E179" t="s">
        <v>75</v>
      </c>
      <c r="F179" t="s">
        <v>16</v>
      </c>
      <c r="G179" s="1">
        <v>44601</v>
      </c>
      <c r="H179">
        <v>79388.27</v>
      </c>
      <c r="I179" t="s">
        <v>281</v>
      </c>
      <c r="J179">
        <v>-5063731494</v>
      </c>
      <c r="K179" t="s">
        <v>18</v>
      </c>
      <c r="L179" t="b">
        <v>1</v>
      </c>
    </row>
    <row r="180" spans="1:12" x14ac:dyDescent="0.3">
      <c r="A180" t="s">
        <v>312</v>
      </c>
      <c r="B180" t="s">
        <v>36</v>
      </c>
      <c r="C180" t="s">
        <v>111</v>
      </c>
      <c r="D180">
        <v>35</v>
      </c>
      <c r="E180" t="s">
        <v>15</v>
      </c>
      <c r="F180" t="s">
        <v>28</v>
      </c>
      <c r="G180" s="1">
        <v>45052</v>
      </c>
      <c r="H180">
        <v>55946.99</v>
      </c>
      <c r="I180" t="s">
        <v>124</v>
      </c>
      <c r="J180">
        <v>-136497188</v>
      </c>
      <c r="K180" t="s">
        <v>18</v>
      </c>
      <c r="L180" t="b">
        <v>0</v>
      </c>
    </row>
    <row r="181" spans="1:12" x14ac:dyDescent="0.3">
      <c r="A181" t="s">
        <v>313</v>
      </c>
      <c r="B181" t="s">
        <v>52</v>
      </c>
      <c r="C181" t="s">
        <v>37</v>
      </c>
      <c r="E181" t="s">
        <v>80</v>
      </c>
      <c r="F181" t="s">
        <v>16</v>
      </c>
      <c r="G181" s="1">
        <v>44388</v>
      </c>
      <c r="H181">
        <v>81017.91</v>
      </c>
      <c r="I181" t="s">
        <v>84</v>
      </c>
      <c r="J181">
        <v>-2419562524</v>
      </c>
      <c r="K181" t="s">
        <v>23</v>
      </c>
      <c r="L181" t="b">
        <v>1</v>
      </c>
    </row>
    <row r="182" spans="1:12" x14ac:dyDescent="0.3">
      <c r="A182" t="s">
        <v>314</v>
      </c>
      <c r="B182" t="s">
        <v>63</v>
      </c>
      <c r="C182" t="s">
        <v>26</v>
      </c>
      <c r="D182">
        <v>40</v>
      </c>
      <c r="E182" t="s">
        <v>64</v>
      </c>
      <c r="F182" t="s">
        <v>28</v>
      </c>
      <c r="G182" s="1">
        <v>44064</v>
      </c>
      <c r="H182">
        <v>74162.100000000006</v>
      </c>
      <c r="I182" t="s">
        <v>251</v>
      </c>
      <c r="J182">
        <v>-7150997682</v>
      </c>
      <c r="K182" t="s">
        <v>23</v>
      </c>
      <c r="L182" t="b">
        <v>0</v>
      </c>
    </row>
    <row r="183" spans="1:12" x14ac:dyDescent="0.3">
      <c r="A183" t="s">
        <v>315</v>
      </c>
      <c r="B183" t="s">
        <v>63</v>
      </c>
      <c r="C183" t="s">
        <v>14</v>
      </c>
      <c r="E183" t="s">
        <v>15</v>
      </c>
      <c r="F183" t="s">
        <v>16</v>
      </c>
      <c r="G183" s="1">
        <v>44282</v>
      </c>
      <c r="H183">
        <v>77668.44</v>
      </c>
      <c r="I183" t="s">
        <v>301</v>
      </c>
      <c r="J183">
        <v>-8903091435</v>
      </c>
      <c r="K183" t="s">
        <v>30</v>
      </c>
      <c r="L183" t="b">
        <v>1</v>
      </c>
    </row>
    <row r="184" spans="1:12" x14ac:dyDescent="0.3">
      <c r="A184" t="s">
        <v>316</v>
      </c>
      <c r="B184" t="s">
        <v>25</v>
      </c>
      <c r="C184" t="s">
        <v>86</v>
      </c>
      <c r="D184">
        <v>30</v>
      </c>
      <c r="E184" t="s">
        <v>64</v>
      </c>
      <c r="F184" t="s">
        <v>16</v>
      </c>
      <c r="G184" s="1">
        <v>45396</v>
      </c>
      <c r="H184">
        <v>67886.37</v>
      </c>
      <c r="I184" t="s">
        <v>145</v>
      </c>
      <c r="J184">
        <v>-3910257431</v>
      </c>
      <c r="K184" t="s">
        <v>40</v>
      </c>
      <c r="L184" t="b">
        <v>0</v>
      </c>
    </row>
    <row r="185" spans="1:12" x14ac:dyDescent="0.3">
      <c r="A185" t="s">
        <v>317</v>
      </c>
      <c r="B185" t="s">
        <v>25</v>
      </c>
      <c r="C185" t="s">
        <v>37</v>
      </c>
      <c r="D185">
        <v>40</v>
      </c>
      <c r="E185" t="s">
        <v>192</v>
      </c>
      <c r="F185" t="s">
        <v>16</v>
      </c>
      <c r="G185" s="1">
        <v>44095</v>
      </c>
      <c r="H185">
        <v>76614.52</v>
      </c>
      <c r="I185" t="s">
        <v>281</v>
      </c>
      <c r="J185">
        <v>-6303975244</v>
      </c>
      <c r="K185" t="s">
        <v>30</v>
      </c>
      <c r="L185" t="b">
        <v>1</v>
      </c>
    </row>
    <row r="186" spans="1:12" x14ac:dyDescent="0.3">
      <c r="A186" t="s">
        <v>318</v>
      </c>
      <c r="B186" t="s">
        <v>36</v>
      </c>
      <c r="C186" t="s">
        <v>111</v>
      </c>
      <c r="D186">
        <v>25</v>
      </c>
      <c r="E186" t="s">
        <v>93</v>
      </c>
      <c r="F186" t="s">
        <v>16</v>
      </c>
      <c r="G186" s="1">
        <v>44724</v>
      </c>
      <c r="H186">
        <v>51311.91</v>
      </c>
      <c r="I186" t="s">
        <v>124</v>
      </c>
      <c r="J186">
        <v>-864035532</v>
      </c>
      <c r="K186" t="s">
        <v>23</v>
      </c>
      <c r="L186" t="b">
        <v>0</v>
      </c>
    </row>
    <row r="187" spans="1:12" x14ac:dyDescent="0.3">
      <c r="A187" t="s">
        <v>319</v>
      </c>
      <c r="B187" t="s">
        <v>36</v>
      </c>
      <c r="C187" t="s">
        <v>26</v>
      </c>
      <c r="E187" t="s">
        <v>215</v>
      </c>
      <c r="F187" t="s">
        <v>33</v>
      </c>
      <c r="G187" s="1">
        <v>45284</v>
      </c>
      <c r="H187">
        <v>94809.919999999998</v>
      </c>
      <c r="I187" t="s">
        <v>46</v>
      </c>
      <c r="J187">
        <v>-8033968526</v>
      </c>
      <c r="K187" t="s">
        <v>30</v>
      </c>
      <c r="L187" t="b">
        <v>1</v>
      </c>
    </row>
    <row r="188" spans="1:12" x14ac:dyDescent="0.3">
      <c r="A188" t="s">
        <v>320</v>
      </c>
      <c r="B188" t="s">
        <v>67</v>
      </c>
      <c r="C188" t="s">
        <v>53</v>
      </c>
      <c r="D188">
        <v>25</v>
      </c>
      <c r="E188" t="s">
        <v>64</v>
      </c>
      <c r="F188" t="s">
        <v>28</v>
      </c>
      <c r="G188" s="1">
        <v>44773</v>
      </c>
      <c r="H188">
        <v>108241.81</v>
      </c>
      <c r="I188" t="s">
        <v>116</v>
      </c>
      <c r="J188">
        <v>-171302320</v>
      </c>
      <c r="K188" t="s">
        <v>23</v>
      </c>
      <c r="L188" t="b">
        <v>1</v>
      </c>
    </row>
    <row r="189" spans="1:12" x14ac:dyDescent="0.3">
      <c r="A189" t="s">
        <v>321</v>
      </c>
      <c r="B189" t="s">
        <v>13</v>
      </c>
      <c r="C189" t="s">
        <v>14</v>
      </c>
      <c r="D189">
        <v>40</v>
      </c>
      <c r="E189" t="s">
        <v>58</v>
      </c>
      <c r="F189" t="s">
        <v>33</v>
      </c>
      <c r="G189" s="1">
        <v>45037</v>
      </c>
      <c r="H189">
        <v>78031.490000000005</v>
      </c>
      <c r="I189" t="s">
        <v>17</v>
      </c>
      <c r="J189">
        <v>-2983381673</v>
      </c>
      <c r="K189" t="s">
        <v>30</v>
      </c>
      <c r="L189" t="b">
        <v>1</v>
      </c>
    </row>
    <row r="190" spans="1:12" x14ac:dyDescent="0.3">
      <c r="A190" t="s">
        <v>322</v>
      </c>
      <c r="B190" t="s">
        <v>32</v>
      </c>
      <c r="C190" t="s">
        <v>14</v>
      </c>
      <c r="D190">
        <v>35</v>
      </c>
      <c r="E190" t="s">
        <v>108</v>
      </c>
      <c r="F190" t="s">
        <v>16</v>
      </c>
      <c r="G190" s="1">
        <v>43987</v>
      </c>
      <c r="H190">
        <v>85733.83</v>
      </c>
      <c r="I190" t="s">
        <v>34</v>
      </c>
      <c r="J190">
        <v>-2336293448</v>
      </c>
      <c r="K190" t="s">
        <v>23</v>
      </c>
      <c r="L190" t="b">
        <v>1</v>
      </c>
    </row>
    <row r="191" spans="1:12" x14ac:dyDescent="0.3">
      <c r="A191" t="s">
        <v>323</v>
      </c>
      <c r="B191" t="s">
        <v>57</v>
      </c>
      <c r="C191" t="s">
        <v>86</v>
      </c>
      <c r="D191">
        <v>35</v>
      </c>
      <c r="E191" t="s">
        <v>133</v>
      </c>
      <c r="F191" t="s">
        <v>28</v>
      </c>
      <c r="G191" s="1">
        <v>45500</v>
      </c>
      <c r="H191">
        <v>60338.29</v>
      </c>
      <c r="I191" t="s">
        <v>98</v>
      </c>
      <c r="J191">
        <v>-7347156626</v>
      </c>
      <c r="K191" t="s">
        <v>23</v>
      </c>
      <c r="L191" t="b">
        <v>0</v>
      </c>
    </row>
    <row r="192" spans="1:12" x14ac:dyDescent="0.3">
      <c r="A192" t="s">
        <v>324</v>
      </c>
      <c r="B192" t="s">
        <v>32</v>
      </c>
      <c r="C192" t="s">
        <v>14</v>
      </c>
      <c r="D192">
        <v>30</v>
      </c>
      <c r="E192" t="s">
        <v>83</v>
      </c>
      <c r="F192" t="s">
        <v>16</v>
      </c>
      <c r="G192" s="1">
        <v>45387</v>
      </c>
      <c r="H192">
        <v>103140.67</v>
      </c>
      <c r="I192" t="s">
        <v>34</v>
      </c>
      <c r="J192">
        <v>-7689627065</v>
      </c>
      <c r="K192" t="s">
        <v>23</v>
      </c>
      <c r="L192" t="b">
        <v>0</v>
      </c>
    </row>
    <row r="193" spans="1:12" x14ac:dyDescent="0.3">
      <c r="A193" t="s">
        <v>325</v>
      </c>
      <c r="B193" t="s">
        <v>63</v>
      </c>
      <c r="C193" t="s">
        <v>37</v>
      </c>
      <c r="D193">
        <v>40</v>
      </c>
      <c r="E193" t="s">
        <v>91</v>
      </c>
      <c r="F193" t="s">
        <v>33</v>
      </c>
      <c r="G193" s="1">
        <v>45225</v>
      </c>
      <c r="H193">
        <v>114690.8</v>
      </c>
      <c r="I193" t="s">
        <v>65</v>
      </c>
      <c r="J193">
        <v>-1498282466</v>
      </c>
      <c r="K193" t="s">
        <v>40</v>
      </c>
      <c r="L193" t="b">
        <v>1</v>
      </c>
    </row>
    <row r="194" spans="1:12" x14ac:dyDescent="0.3">
      <c r="A194" t="s">
        <v>326</v>
      </c>
      <c r="B194" t="s">
        <v>36</v>
      </c>
      <c r="C194" t="s">
        <v>111</v>
      </c>
      <c r="D194">
        <v>35</v>
      </c>
      <c r="E194" t="s">
        <v>176</v>
      </c>
      <c r="F194" t="s">
        <v>16</v>
      </c>
      <c r="G194" s="1">
        <v>44791</v>
      </c>
      <c r="H194">
        <v>80954.559999999998</v>
      </c>
      <c r="I194" t="s">
        <v>124</v>
      </c>
      <c r="J194">
        <v>-4746897151</v>
      </c>
      <c r="K194" t="s">
        <v>30</v>
      </c>
      <c r="L194" t="b">
        <v>0</v>
      </c>
    </row>
    <row r="195" spans="1:12" x14ac:dyDescent="0.3">
      <c r="A195" t="s">
        <v>327</v>
      </c>
      <c r="B195" t="s">
        <v>32</v>
      </c>
      <c r="C195" t="s">
        <v>14</v>
      </c>
      <c r="E195" t="s">
        <v>217</v>
      </c>
      <c r="F195" t="s">
        <v>28</v>
      </c>
      <c r="G195" s="1">
        <v>43982</v>
      </c>
      <c r="H195">
        <v>71728.55</v>
      </c>
      <c r="I195" t="s">
        <v>34</v>
      </c>
      <c r="J195">
        <v>-7323008575</v>
      </c>
      <c r="K195" t="s">
        <v>30</v>
      </c>
      <c r="L195" t="b">
        <v>1</v>
      </c>
    </row>
    <row r="196" spans="1:12" x14ac:dyDescent="0.3">
      <c r="A196" t="s">
        <v>328</v>
      </c>
      <c r="B196" t="s">
        <v>25</v>
      </c>
      <c r="C196" t="s">
        <v>14</v>
      </c>
      <c r="D196">
        <v>35</v>
      </c>
      <c r="E196" t="s">
        <v>126</v>
      </c>
      <c r="F196" t="s">
        <v>28</v>
      </c>
      <c r="G196" s="1">
        <v>45600</v>
      </c>
      <c r="H196">
        <v>118415.8</v>
      </c>
      <c r="I196" t="s">
        <v>143</v>
      </c>
      <c r="J196">
        <v>-6656749159</v>
      </c>
      <c r="K196" t="s">
        <v>30</v>
      </c>
      <c r="L196" t="b">
        <v>1</v>
      </c>
    </row>
    <row r="197" spans="1:12" x14ac:dyDescent="0.3">
      <c r="A197" t="s">
        <v>329</v>
      </c>
      <c r="B197" t="s">
        <v>67</v>
      </c>
      <c r="C197" t="s">
        <v>53</v>
      </c>
      <c r="D197">
        <v>40</v>
      </c>
      <c r="E197" t="s">
        <v>91</v>
      </c>
      <c r="F197" t="s">
        <v>28</v>
      </c>
      <c r="G197" s="1">
        <v>43915</v>
      </c>
      <c r="H197">
        <v>81481.36</v>
      </c>
      <c r="I197" t="s">
        <v>116</v>
      </c>
      <c r="J197">
        <v>-1692364586</v>
      </c>
      <c r="K197" t="s">
        <v>23</v>
      </c>
      <c r="L197" t="b">
        <v>0</v>
      </c>
    </row>
    <row r="198" spans="1:12" x14ac:dyDescent="0.3">
      <c r="A198" t="s">
        <v>330</v>
      </c>
      <c r="B198" t="s">
        <v>57</v>
      </c>
      <c r="C198" t="s">
        <v>53</v>
      </c>
      <c r="D198">
        <v>35</v>
      </c>
      <c r="E198" t="s">
        <v>72</v>
      </c>
      <c r="F198" t="s">
        <v>28</v>
      </c>
      <c r="G198" s="1">
        <v>44139</v>
      </c>
      <c r="H198">
        <v>117040.57</v>
      </c>
      <c r="I198" t="s">
        <v>183</v>
      </c>
      <c r="J198">
        <v>-5066337049</v>
      </c>
      <c r="K198" t="s">
        <v>30</v>
      </c>
      <c r="L198" t="b">
        <v>1</v>
      </c>
    </row>
    <row r="199" spans="1:12" x14ac:dyDescent="0.3">
      <c r="A199" t="s">
        <v>331</v>
      </c>
      <c r="B199" t="s">
        <v>36</v>
      </c>
      <c r="C199" t="s">
        <v>20</v>
      </c>
      <c r="D199">
        <v>25</v>
      </c>
      <c r="E199" t="s">
        <v>185</v>
      </c>
      <c r="F199" t="s">
        <v>16</v>
      </c>
      <c r="G199" s="1">
        <v>43911</v>
      </c>
      <c r="H199">
        <v>67342.06</v>
      </c>
      <c r="I199" t="s">
        <v>198</v>
      </c>
      <c r="J199">
        <v>-2497243991</v>
      </c>
      <c r="K199" t="s">
        <v>30</v>
      </c>
      <c r="L199" t="b">
        <v>1</v>
      </c>
    </row>
    <row r="200" spans="1:12" x14ac:dyDescent="0.3">
      <c r="A200" t="s">
        <v>332</v>
      </c>
      <c r="B200" t="s">
        <v>63</v>
      </c>
      <c r="C200" t="s">
        <v>26</v>
      </c>
      <c r="E200" t="s">
        <v>91</v>
      </c>
      <c r="F200" t="s">
        <v>16</v>
      </c>
      <c r="G200" s="1">
        <v>44576</v>
      </c>
      <c r="H200">
        <v>76099.64</v>
      </c>
      <c r="I200" t="s">
        <v>251</v>
      </c>
      <c r="J200">
        <v>-116691835</v>
      </c>
      <c r="K200" t="s">
        <v>23</v>
      </c>
      <c r="L200" t="b">
        <v>0</v>
      </c>
    </row>
    <row r="201" spans="1:12" x14ac:dyDescent="0.3">
      <c r="A201" t="s">
        <v>333</v>
      </c>
      <c r="B201" t="s">
        <v>67</v>
      </c>
      <c r="C201" t="s">
        <v>37</v>
      </c>
      <c r="D201">
        <v>35</v>
      </c>
      <c r="E201" t="s">
        <v>75</v>
      </c>
      <c r="F201" t="s">
        <v>16</v>
      </c>
      <c r="G201" s="1">
        <v>45447</v>
      </c>
      <c r="H201">
        <v>94162.06</v>
      </c>
      <c r="I201" t="s">
        <v>69</v>
      </c>
      <c r="J201">
        <v>-2644886945</v>
      </c>
      <c r="K201" t="s">
        <v>18</v>
      </c>
      <c r="L201" t="b">
        <v>1</v>
      </c>
    </row>
    <row r="202" spans="1:12" x14ac:dyDescent="0.3">
      <c r="A202" t="s">
        <v>334</v>
      </c>
      <c r="B202" t="s">
        <v>36</v>
      </c>
      <c r="C202" t="s">
        <v>14</v>
      </c>
      <c r="D202">
        <v>25</v>
      </c>
      <c r="E202" t="s">
        <v>185</v>
      </c>
      <c r="F202" t="s">
        <v>33</v>
      </c>
      <c r="G202" s="1">
        <v>44412</v>
      </c>
      <c r="H202">
        <v>67639.7</v>
      </c>
      <c r="I202" t="s">
        <v>50</v>
      </c>
      <c r="J202">
        <v>-1195243639</v>
      </c>
      <c r="K202" t="s">
        <v>23</v>
      </c>
      <c r="L202" t="b">
        <v>1</v>
      </c>
    </row>
    <row r="203" spans="1:12" x14ac:dyDescent="0.3">
      <c r="A203" t="s">
        <v>335</v>
      </c>
      <c r="B203" t="s">
        <v>52</v>
      </c>
      <c r="C203" t="s">
        <v>42</v>
      </c>
      <c r="D203">
        <v>35</v>
      </c>
      <c r="E203" t="s">
        <v>89</v>
      </c>
      <c r="F203" t="s">
        <v>28</v>
      </c>
      <c r="G203" s="1">
        <v>44120</v>
      </c>
      <c r="H203">
        <v>114172.25</v>
      </c>
      <c r="I203" t="s">
        <v>81</v>
      </c>
      <c r="J203">
        <v>-2701168645</v>
      </c>
      <c r="K203" t="s">
        <v>30</v>
      </c>
      <c r="L203" t="b">
        <v>1</v>
      </c>
    </row>
    <row r="204" spans="1:12" x14ac:dyDescent="0.3">
      <c r="A204" t="s">
        <v>336</v>
      </c>
      <c r="B204" t="s">
        <v>67</v>
      </c>
      <c r="C204" t="s">
        <v>14</v>
      </c>
      <c r="D204">
        <v>30</v>
      </c>
      <c r="E204" t="s">
        <v>185</v>
      </c>
      <c r="F204" t="s">
        <v>16</v>
      </c>
      <c r="G204" s="1">
        <v>44465</v>
      </c>
      <c r="H204">
        <v>89124.54</v>
      </c>
      <c r="I204" t="s">
        <v>195</v>
      </c>
      <c r="J204">
        <v>-2252237280</v>
      </c>
      <c r="K204" t="s">
        <v>23</v>
      </c>
      <c r="L204" t="b">
        <v>1</v>
      </c>
    </row>
    <row r="205" spans="1:12" x14ac:dyDescent="0.3">
      <c r="A205" t="s">
        <v>337</v>
      </c>
      <c r="B205" t="s">
        <v>36</v>
      </c>
      <c r="C205" t="s">
        <v>111</v>
      </c>
      <c r="D205">
        <v>30</v>
      </c>
      <c r="E205" t="s">
        <v>258</v>
      </c>
      <c r="F205" t="s">
        <v>28</v>
      </c>
      <c r="G205" s="1">
        <v>45234</v>
      </c>
      <c r="H205">
        <v>113871.36</v>
      </c>
      <c r="I205" t="s">
        <v>124</v>
      </c>
      <c r="J205">
        <v>-7932302345</v>
      </c>
      <c r="K205" t="s">
        <v>18</v>
      </c>
      <c r="L205" t="b">
        <v>0</v>
      </c>
    </row>
    <row r="206" spans="1:12" x14ac:dyDescent="0.3">
      <c r="A206" t="s">
        <v>338</v>
      </c>
      <c r="B206" t="s">
        <v>67</v>
      </c>
      <c r="C206" t="s">
        <v>20</v>
      </c>
      <c r="E206" t="s">
        <v>126</v>
      </c>
      <c r="F206" t="s">
        <v>33</v>
      </c>
      <c r="G206" s="1">
        <v>44463</v>
      </c>
      <c r="H206">
        <v>62618.400000000001</v>
      </c>
      <c r="I206" t="s">
        <v>173</v>
      </c>
      <c r="J206">
        <v>-7912141613</v>
      </c>
      <c r="K206" t="s">
        <v>23</v>
      </c>
      <c r="L206" t="b">
        <v>0</v>
      </c>
    </row>
    <row r="207" spans="1:12" x14ac:dyDescent="0.3">
      <c r="A207" t="s">
        <v>339</v>
      </c>
      <c r="B207" t="s">
        <v>63</v>
      </c>
      <c r="C207" t="s">
        <v>26</v>
      </c>
      <c r="D207">
        <v>30</v>
      </c>
      <c r="E207" t="s">
        <v>169</v>
      </c>
      <c r="F207" t="s">
        <v>16</v>
      </c>
      <c r="G207" s="1">
        <v>43989</v>
      </c>
      <c r="H207">
        <v>70705.45</v>
      </c>
      <c r="I207" t="s">
        <v>251</v>
      </c>
      <c r="J207">
        <v>-1509377099</v>
      </c>
      <c r="K207" t="s">
        <v>30</v>
      </c>
      <c r="L207" t="b">
        <v>0</v>
      </c>
    </row>
    <row r="208" spans="1:12" x14ac:dyDescent="0.3">
      <c r="A208" t="s">
        <v>340</v>
      </c>
      <c r="B208" t="s">
        <v>25</v>
      </c>
      <c r="C208" t="s">
        <v>42</v>
      </c>
      <c r="D208">
        <v>35</v>
      </c>
      <c r="E208" t="s">
        <v>100</v>
      </c>
      <c r="F208" t="s">
        <v>28</v>
      </c>
      <c r="G208" s="1">
        <v>44602</v>
      </c>
      <c r="H208">
        <v>60797.69</v>
      </c>
      <c r="I208" t="s">
        <v>44</v>
      </c>
      <c r="J208">
        <v>-4090138068</v>
      </c>
      <c r="K208" t="s">
        <v>18</v>
      </c>
      <c r="L208" t="b">
        <v>1</v>
      </c>
    </row>
    <row r="209" spans="1:12" x14ac:dyDescent="0.3">
      <c r="A209" t="s">
        <v>341</v>
      </c>
      <c r="B209" t="s">
        <v>52</v>
      </c>
      <c r="C209" t="s">
        <v>20</v>
      </c>
      <c r="D209">
        <v>40</v>
      </c>
      <c r="E209" t="s">
        <v>38</v>
      </c>
      <c r="F209" t="s">
        <v>33</v>
      </c>
      <c r="G209" s="1">
        <v>45216</v>
      </c>
      <c r="H209">
        <v>100371</v>
      </c>
      <c r="I209" t="s">
        <v>114</v>
      </c>
      <c r="J209">
        <v>-8477596554</v>
      </c>
      <c r="K209" t="s">
        <v>40</v>
      </c>
      <c r="L209" t="b">
        <v>1</v>
      </c>
    </row>
    <row r="210" spans="1:12" x14ac:dyDescent="0.3">
      <c r="A210" t="s">
        <v>342</v>
      </c>
      <c r="B210" t="s">
        <v>32</v>
      </c>
      <c r="C210" t="s">
        <v>86</v>
      </c>
      <c r="D210">
        <v>40</v>
      </c>
      <c r="E210" t="s">
        <v>83</v>
      </c>
      <c r="F210" t="s">
        <v>16</v>
      </c>
      <c r="G210" s="1">
        <v>44464</v>
      </c>
      <c r="H210">
        <v>117591.76</v>
      </c>
      <c r="I210" t="s">
        <v>213</v>
      </c>
      <c r="J210">
        <v>-5356690550</v>
      </c>
      <c r="K210" t="s">
        <v>30</v>
      </c>
      <c r="L210" t="b">
        <v>0</v>
      </c>
    </row>
    <row r="211" spans="1:12" x14ac:dyDescent="0.3">
      <c r="A211" t="s">
        <v>343</v>
      </c>
      <c r="B211" t="s">
        <v>57</v>
      </c>
      <c r="C211" t="s">
        <v>26</v>
      </c>
      <c r="D211">
        <v>35</v>
      </c>
      <c r="E211" t="s">
        <v>75</v>
      </c>
      <c r="F211" t="s">
        <v>33</v>
      </c>
      <c r="G211" s="1">
        <v>44776</v>
      </c>
      <c r="H211">
        <v>103860.7</v>
      </c>
      <c r="I211" t="s">
        <v>200</v>
      </c>
      <c r="J211">
        <v>-762091842</v>
      </c>
      <c r="K211" t="s">
        <v>18</v>
      </c>
      <c r="L211" t="b">
        <v>1</v>
      </c>
    </row>
    <row r="212" spans="1:12" x14ac:dyDescent="0.3">
      <c r="A212" t="s">
        <v>344</v>
      </c>
      <c r="B212" t="s">
        <v>67</v>
      </c>
      <c r="C212" t="s">
        <v>14</v>
      </c>
      <c r="D212">
        <v>30</v>
      </c>
      <c r="E212" t="s">
        <v>83</v>
      </c>
      <c r="F212" t="s">
        <v>16</v>
      </c>
      <c r="G212" s="1">
        <v>45618</v>
      </c>
      <c r="H212">
        <v>67500.22</v>
      </c>
      <c r="I212" t="s">
        <v>195</v>
      </c>
      <c r="J212">
        <v>-5797863049</v>
      </c>
      <c r="K212" t="s">
        <v>18</v>
      </c>
      <c r="L212" t="b">
        <v>1</v>
      </c>
    </row>
    <row r="213" spans="1:12" x14ac:dyDescent="0.3">
      <c r="A213" t="s">
        <v>345</v>
      </c>
      <c r="B213" t="s">
        <v>36</v>
      </c>
      <c r="C213" t="s">
        <v>14</v>
      </c>
      <c r="E213" t="s">
        <v>80</v>
      </c>
      <c r="F213" t="s">
        <v>28</v>
      </c>
      <c r="G213" s="1">
        <v>45574</v>
      </c>
      <c r="H213">
        <v>58727.44</v>
      </c>
      <c r="I213" t="s">
        <v>50</v>
      </c>
      <c r="J213">
        <v>-5057397690</v>
      </c>
      <c r="K213" t="s">
        <v>40</v>
      </c>
      <c r="L213" t="b">
        <v>1</v>
      </c>
    </row>
    <row r="214" spans="1:12" x14ac:dyDescent="0.3">
      <c r="A214" t="s">
        <v>346</v>
      </c>
      <c r="B214" t="s">
        <v>52</v>
      </c>
      <c r="C214" t="s">
        <v>26</v>
      </c>
      <c r="D214">
        <v>35</v>
      </c>
      <c r="E214" t="s">
        <v>215</v>
      </c>
      <c r="F214" t="s">
        <v>16</v>
      </c>
      <c r="G214" s="1">
        <v>45532</v>
      </c>
      <c r="H214">
        <v>80623.08</v>
      </c>
      <c r="I214" t="s">
        <v>109</v>
      </c>
      <c r="J214">
        <v>-5671649327</v>
      </c>
      <c r="K214" t="s">
        <v>23</v>
      </c>
      <c r="L214" t="b">
        <v>1</v>
      </c>
    </row>
    <row r="215" spans="1:12" x14ac:dyDescent="0.3">
      <c r="A215" t="s">
        <v>347</v>
      </c>
      <c r="B215" t="s">
        <v>57</v>
      </c>
      <c r="C215" t="s">
        <v>14</v>
      </c>
      <c r="D215">
        <v>40</v>
      </c>
      <c r="E215" t="s">
        <v>126</v>
      </c>
      <c r="F215" t="s">
        <v>33</v>
      </c>
      <c r="G215" s="1">
        <v>43940</v>
      </c>
      <c r="H215">
        <v>77751.78</v>
      </c>
      <c r="I215" t="s">
        <v>61</v>
      </c>
      <c r="J215">
        <v>-9802714871</v>
      </c>
      <c r="K215" t="s">
        <v>23</v>
      </c>
      <c r="L215" t="b">
        <v>0</v>
      </c>
    </row>
    <row r="216" spans="1:12" x14ac:dyDescent="0.3">
      <c r="A216" t="s">
        <v>348</v>
      </c>
      <c r="B216" t="s">
        <v>67</v>
      </c>
      <c r="C216" t="s">
        <v>37</v>
      </c>
      <c r="D216">
        <v>25</v>
      </c>
      <c r="E216" t="s">
        <v>64</v>
      </c>
      <c r="F216" t="s">
        <v>16</v>
      </c>
      <c r="G216" s="1">
        <v>44483</v>
      </c>
      <c r="H216">
        <v>115157.81</v>
      </c>
      <c r="I216" t="s">
        <v>69</v>
      </c>
      <c r="J216">
        <v>-7178333210</v>
      </c>
      <c r="K216" t="s">
        <v>30</v>
      </c>
      <c r="L216" t="b">
        <v>0</v>
      </c>
    </row>
    <row r="217" spans="1:12" x14ac:dyDescent="0.3">
      <c r="A217" t="s">
        <v>349</v>
      </c>
      <c r="B217" t="s">
        <v>36</v>
      </c>
      <c r="C217" t="s">
        <v>26</v>
      </c>
      <c r="D217">
        <v>30</v>
      </c>
      <c r="E217" t="s">
        <v>96</v>
      </c>
      <c r="F217" t="s">
        <v>33</v>
      </c>
      <c r="G217" s="1">
        <v>45530</v>
      </c>
      <c r="H217">
        <v>83071.850000000006</v>
      </c>
      <c r="I217" t="s">
        <v>46</v>
      </c>
      <c r="J217">
        <v>-6025643470</v>
      </c>
      <c r="K217" t="s">
        <v>40</v>
      </c>
      <c r="L217" t="b">
        <v>0</v>
      </c>
    </row>
    <row r="218" spans="1:12" x14ac:dyDescent="0.3">
      <c r="A218" t="s">
        <v>350</v>
      </c>
      <c r="B218" t="s">
        <v>63</v>
      </c>
      <c r="C218" t="s">
        <v>20</v>
      </c>
      <c r="D218">
        <v>40</v>
      </c>
      <c r="E218" t="s">
        <v>43</v>
      </c>
      <c r="F218" t="s">
        <v>16</v>
      </c>
      <c r="G218" s="1">
        <v>43869</v>
      </c>
      <c r="H218">
        <v>67914.67</v>
      </c>
      <c r="I218" t="s">
        <v>307</v>
      </c>
      <c r="J218">
        <v>-2871539914</v>
      </c>
      <c r="K218" t="s">
        <v>23</v>
      </c>
      <c r="L218" t="b">
        <v>1</v>
      </c>
    </row>
    <row r="219" spans="1:12" x14ac:dyDescent="0.3">
      <c r="A219" t="s">
        <v>351</v>
      </c>
      <c r="B219" t="s">
        <v>67</v>
      </c>
      <c r="C219" t="s">
        <v>26</v>
      </c>
      <c r="D219">
        <v>25</v>
      </c>
      <c r="E219" t="s">
        <v>64</v>
      </c>
      <c r="F219" t="s">
        <v>33</v>
      </c>
      <c r="G219" s="1">
        <v>44080</v>
      </c>
      <c r="H219">
        <v>53342.46</v>
      </c>
      <c r="I219" t="s">
        <v>73</v>
      </c>
      <c r="J219">
        <v>-6686334140</v>
      </c>
      <c r="K219" t="s">
        <v>40</v>
      </c>
      <c r="L219" t="b">
        <v>0</v>
      </c>
    </row>
    <row r="220" spans="1:12" x14ac:dyDescent="0.3">
      <c r="A220" t="s">
        <v>352</v>
      </c>
      <c r="B220" t="s">
        <v>63</v>
      </c>
      <c r="C220" t="s">
        <v>42</v>
      </c>
      <c r="D220">
        <v>25</v>
      </c>
      <c r="E220" t="s">
        <v>38</v>
      </c>
      <c r="F220" t="s">
        <v>28</v>
      </c>
      <c r="G220" s="1">
        <v>44928</v>
      </c>
      <c r="H220">
        <v>51150.47</v>
      </c>
      <c r="I220" t="s">
        <v>209</v>
      </c>
      <c r="J220">
        <v>-1159319524</v>
      </c>
      <c r="K220" t="s">
        <v>23</v>
      </c>
      <c r="L220" t="b">
        <v>0</v>
      </c>
    </row>
    <row r="221" spans="1:12" x14ac:dyDescent="0.3">
      <c r="A221" t="s">
        <v>353</v>
      </c>
      <c r="B221" t="s">
        <v>57</v>
      </c>
      <c r="C221" t="s">
        <v>14</v>
      </c>
      <c r="D221">
        <v>30</v>
      </c>
      <c r="E221" t="s">
        <v>180</v>
      </c>
      <c r="F221" t="s">
        <v>16</v>
      </c>
      <c r="G221" s="1">
        <v>45090</v>
      </c>
      <c r="H221">
        <v>74697.119999999995</v>
      </c>
      <c r="I221" t="s">
        <v>61</v>
      </c>
      <c r="J221">
        <v>-6904098365</v>
      </c>
      <c r="K221" t="s">
        <v>18</v>
      </c>
      <c r="L221" t="b">
        <v>1</v>
      </c>
    </row>
    <row r="222" spans="1:12" x14ac:dyDescent="0.3">
      <c r="A222" t="s">
        <v>354</v>
      </c>
      <c r="B222" t="s">
        <v>52</v>
      </c>
      <c r="C222" t="s">
        <v>37</v>
      </c>
      <c r="D222">
        <v>25</v>
      </c>
      <c r="E222" t="s">
        <v>155</v>
      </c>
      <c r="F222" t="s">
        <v>16</v>
      </c>
      <c r="G222" s="1">
        <v>44908</v>
      </c>
      <c r="H222">
        <v>88085.74</v>
      </c>
      <c r="I222" t="s">
        <v>84</v>
      </c>
      <c r="J222">
        <v>-5528993159</v>
      </c>
      <c r="K222" t="s">
        <v>23</v>
      </c>
      <c r="L222" t="b">
        <v>1</v>
      </c>
    </row>
    <row r="223" spans="1:12" x14ac:dyDescent="0.3">
      <c r="A223" t="s">
        <v>355</v>
      </c>
      <c r="B223" t="s">
        <v>25</v>
      </c>
      <c r="C223" t="s">
        <v>37</v>
      </c>
      <c r="D223">
        <v>40</v>
      </c>
      <c r="E223" t="s">
        <v>21</v>
      </c>
      <c r="F223" t="s">
        <v>28</v>
      </c>
      <c r="G223" s="1">
        <v>44623</v>
      </c>
      <c r="H223">
        <v>118672.76</v>
      </c>
      <c r="I223" t="s">
        <v>281</v>
      </c>
      <c r="J223">
        <v>-8752437728</v>
      </c>
      <c r="K223" t="s">
        <v>40</v>
      </c>
      <c r="L223" t="b">
        <v>0</v>
      </c>
    </row>
    <row r="224" spans="1:12" x14ac:dyDescent="0.3">
      <c r="A224" t="s">
        <v>356</v>
      </c>
      <c r="B224" t="s">
        <v>25</v>
      </c>
      <c r="C224" t="s">
        <v>86</v>
      </c>
      <c r="D224">
        <v>35</v>
      </c>
      <c r="E224" t="s">
        <v>217</v>
      </c>
      <c r="F224" t="s">
        <v>16</v>
      </c>
      <c r="G224" s="1">
        <v>45332</v>
      </c>
      <c r="H224">
        <v>95997.31</v>
      </c>
      <c r="I224" t="s">
        <v>145</v>
      </c>
      <c r="J224">
        <v>-4209548148</v>
      </c>
      <c r="K224" t="s">
        <v>18</v>
      </c>
      <c r="L224" t="b">
        <v>0</v>
      </c>
    </row>
    <row r="225" spans="1:12" x14ac:dyDescent="0.3">
      <c r="A225" t="s">
        <v>357</v>
      </c>
      <c r="B225" t="s">
        <v>36</v>
      </c>
      <c r="C225" t="s">
        <v>20</v>
      </c>
      <c r="D225">
        <v>30</v>
      </c>
      <c r="E225" t="s">
        <v>217</v>
      </c>
      <c r="F225" t="s">
        <v>28</v>
      </c>
      <c r="G225" s="1">
        <v>44524</v>
      </c>
      <c r="H225">
        <v>106945.62</v>
      </c>
      <c r="I225" t="s">
        <v>198</v>
      </c>
      <c r="J225">
        <v>-7374605232</v>
      </c>
      <c r="K225" t="s">
        <v>18</v>
      </c>
      <c r="L225" t="b">
        <v>0</v>
      </c>
    </row>
    <row r="226" spans="1:12" x14ac:dyDescent="0.3">
      <c r="A226" t="s">
        <v>358</v>
      </c>
      <c r="B226" t="s">
        <v>63</v>
      </c>
      <c r="C226" t="s">
        <v>53</v>
      </c>
      <c r="D226">
        <v>40</v>
      </c>
      <c r="E226" t="s">
        <v>54</v>
      </c>
      <c r="F226" t="s">
        <v>16</v>
      </c>
      <c r="G226" s="1">
        <v>43960</v>
      </c>
      <c r="H226">
        <v>100123.15</v>
      </c>
      <c r="I226" t="s">
        <v>104</v>
      </c>
      <c r="J226">
        <v>-276420864</v>
      </c>
      <c r="K226" t="s">
        <v>18</v>
      </c>
      <c r="L226" t="b">
        <v>0</v>
      </c>
    </row>
    <row r="227" spans="1:12" x14ac:dyDescent="0.3">
      <c r="A227" t="s">
        <v>359</v>
      </c>
      <c r="B227" t="s">
        <v>25</v>
      </c>
      <c r="C227" t="s">
        <v>53</v>
      </c>
      <c r="D227">
        <v>35</v>
      </c>
      <c r="E227" t="s">
        <v>96</v>
      </c>
      <c r="F227" t="s">
        <v>16</v>
      </c>
      <c r="G227" s="1">
        <v>45645</v>
      </c>
      <c r="H227">
        <v>52933.42</v>
      </c>
      <c r="I227" t="s">
        <v>134</v>
      </c>
      <c r="J227">
        <v>-6756618442</v>
      </c>
      <c r="K227" t="s">
        <v>40</v>
      </c>
      <c r="L227" t="b">
        <v>1</v>
      </c>
    </row>
    <row r="228" spans="1:12" x14ac:dyDescent="0.3">
      <c r="A228" t="s">
        <v>360</v>
      </c>
      <c r="B228" t="s">
        <v>67</v>
      </c>
      <c r="C228" t="s">
        <v>26</v>
      </c>
      <c r="E228" t="s">
        <v>68</v>
      </c>
      <c r="F228" t="s">
        <v>16</v>
      </c>
      <c r="G228" s="1">
        <v>45373</v>
      </c>
      <c r="H228">
        <v>95283.03</v>
      </c>
      <c r="I228" t="s">
        <v>73</v>
      </c>
      <c r="J228">
        <v>-8612590471</v>
      </c>
      <c r="K228" t="s">
        <v>30</v>
      </c>
      <c r="L228" t="b">
        <v>0</v>
      </c>
    </row>
    <row r="229" spans="1:12" x14ac:dyDescent="0.3">
      <c r="A229" t="s">
        <v>361</v>
      </c>
      <c r="B229" t="s">
        <v>25</v>
      </c>
      <c r="C229" t="s">
        <v>86</v>
      </c>
      <c r="D229">
        <v>35</v>
      </c>
      <c r="E229" t="s">
        <v>126</v>
      </c>
      <c r="F229" t="s">
        <v>33</v>
      </c>
      <c r="G229" s="1">
        <v>44725</v>
      </c>
      <c r="H229">
        <v>112264.06</v>
      </c>
      <c r="I229" t="s">
        <v>145</v>
      </c>
      <c r="J229">
        <v>-9277423329</v>
      </c>
      <c r="K229" t="s">
        <v>30</v>
      </c>
      <c r="L229" t="b">
        <v>0</v>
      </c>
    </row>
    <row r="230" spans="1:12" x14ac:dyDescent="0.3">
      <c r="A230" t="s">
        <v>362</v>
      </c>
      <c r="B230" t="s">
        <v>67</v>
      </c>
      <c r="C230" t="s">
        <v>111</v>
      </c>
      <c r="D230">
        <v>35</v>
      </c>
      <c r="E230" t="s">
        <v>176</v>
      </c>
      <c r="F230" t="s">
        <v>28</v>
      </c>
      <c r="G230" s="1">
        <v>44849</v>
      </c>
      <c r="H230">
        <v>75714.28</v>
      </c>
      <c r="I230" t="s">
        <v>122</v>
      </c>
      <c r="J230">
        <v>-5912662014</v>
      </c>
      <c r="K230" t="s">
        <v>30</v>
      </c>
      <c r="L230" t="b">
        <v>1</v>
      </c>
    </row>
    <row r="231" spans="1:12" x14ac:dyDescent="0.3">
      <c r="A231" t="s">
        <v>363</v>
      </c>
      <c r="B231" t="s">
        <v>32</v>
      </c>
      <c r="C231" t="s">
        <v>26</v>
      </c>
      <c r="D231">
        <v>25</v>
      </c>
      <c r="E231" t="s">
        <v>192</v>
      </c>
      <c r="F231" t="s">
        <v>16</v>
      </c>
      <c r="G231" s="1">
        <v>44712</v>
      </c>
      <c r="H231">
        <v>92171.73</v>
      </c>
      <c r="I231" t="s">
        <v>224</v>
      </c>
      <c r="J231">
        <v>-7201859625</v>
      </c>
      <c r="K231" t="s">
        <v>40</v>
      </c>
      <c r="L231" t="b">
        <v>0</v>
      </c>
    </row>
    <row r="232" spans="1:12" x14ac:dyDescent="0.3">
      <c r="A232" t="s">
        <v>364</v>
      </c>
      <c r="B232" t="s">
        <v>32</v>
      </c>
      <c r="C232" t="s">
        <v>86</v>
      </c>
      <c r="D232">
        <v>35</v>
      </c>
      <c r="E232" t="s">
        <v>141</v>
      </c>
      <c r="F232" t="s">
        <v>33</v>
      </c>
      <c r="G232" s="1">
        <v>45184</v>
      </c>
      <c r="H232">
        <v>70694.8</v>
      </c>
      <c r="I232" t="s">
        <v>213</v>
      </c>
      <c r="J232">
        <v>-3013674925</v>
      </c>
      <c r="K232" t="s">
        <v>18</v>
      </c>
      <c r="L232" t="b">
        <v>1</v>
      </c>
    </row>
    <row r="233" spans="1:12" x14ac:dyDescent="0.3">
      <c r="A233" t="s">
        <v>365</v>
      </c>
      <c r="B233" t="s">
        <v>67</v>
      </c>
      <c r="C233" t="s">
        <v>20</v>
      </c>
      <c r="D233">
        <v>30</v>
      </c>
      <c r="E233" t="s">
        <v>192</v>
      </c>
      <c r="F233" t="s">
        <v>33</v>
      </c>
      <c r="G233" s="1">
        <v>44746</v>
      </c>
      <c r="H233">
        <v>52964.86</v>
      </c>
      <c r="I233" t="s">
        <v>173</v>
      </c>
      <c r="J233">
        <v>-1764750110</v>
      </c>
      <c r="K233" t="s">
        <v>30</v>
      </c>
      <c r="L233" t="b">
        <v>1</v>
      </c>
    </row>
    <row r="234" spans="1:12" x14ac:dyDescent="0.3">
      <c r="A234" t="s">
        <v>366</v>
      </c>
      <c r="B234" t="s">
        <v>36</v>
      </c>
      <c r="C234" t="s">
        <v>20</v>
      </c>
      <c r="E234" t="s">
        <v>68</v>
      </c>
      <c r="F234" t="s">
        <v>28</v>
      </c>
      <c r="G234" s="1">
        <v>45451</v>
      </c>
      <c r="H234">
        <v>116353.31</v>
      </c>
      <c r="I234" t="s">
        <v>198</v>
      </c>
      <c r="J234">
        <v>-1783099973</v>
      </c>
      <c r="K234" t="s">
        <v>40</v>
      </c>
      <c r="L234" t="b">
        <v>1</v>
      </c>
    </row>
    <row r="235" spans="1:12" x14ac:dyDescent="0.3">
      <c r="A235" t="s">
        <v>367</v>
      </c>
      <c r="B235" t="s">
        <v>67</v>
      </c>
      <c r="C235" t="s">
        <v>20</v>
      </c>
      <c r="D235">
        <v>35</v>
      </c>
      <c r="E235" t="s">
        <v>185</v>
      </c>
      <c r="F235" t="s">
        <v>28</v>
      </c>
      <c r="G235" s="1">
        <v>44158</v>
      </c>
      <c r="H235">
        <v>116695.26</v>
      </c>
      <c r="I235" t="s">
        <v>173</v>
      </c>
      <c r="J235">
        <v>-1926764920</v>
      </c>
      <c r="K235" t="s">
        <v>30</v>
      </c>
      <c r="L235" t="b">
        <v>0</v>
      </c>
    </row>
    <row r="236" spans="1:12" x14ac:dyDescent="0.3">
      <c r="A236" t="s">
        <v>368</v>
      </c>
      <c r="B236" t="s">
        <v>63</v>
      </c>
      <c r="C236" t="s">
        <v>20</v>
      </c>
      <c r="D236">
        <v>25</v>
      </c>
      <c r="E236" t="s">
        <v>96</v>
      </c>
      <c r="F236" t="s">
        <v>16</v>
      </c>
      <c r="G236" s="1">
        <v>45425</v>
      </c>
      <c r="H236">
        <v>95161.4</v>
      </c>
      <c r="I236" t="s">
        <v>307</v>
      </c>
      <c r="J236">
        <v>-5182606887</v>
      </c>
      <c r="K236" t="s">
        <v>23</v>
      </c>
      <c r="L236" t="b">
        <v>0</v>
      </c>
    </row>
    <row r="237" spans="1:12" x14ac:dyDescent="0.3">
      <c r="A237" t="s">
        <v>369</v>
      </c>
      <c r="B237" t="s">
        <v>25</v>
      </c>
      <c r="C237" t="s">
        <v>20</v>
      </c>
      <c r="E237" t="s">
        <v>27</v>
      </c>
      <c r="F237" t="s">
        <v>33</v>
      </c>
      <c r="G237" s="1">
        <v>44590</v>
      </c>
      <c r="H237">
        <v>76040.94</v>
      </c>
      <c r="I237" t="s">
        <v>76</v>
      </c>
      <c r="J237">
        <v>-7189813128</v>
      </c>
      <c r="K237" t="s">
        <v>30</v>
      </c>
      <c r="L237" t="b">
        <v>1</v>
      </c>
    </row>
    <row r="238" spans="1:12" x14ac:dyDescent="0.3">
      <c r="A238" t="s">
        <v>370</v>
      </c>
      <c r="B238" t="s">
        <v>52</v>
      </c>
      <c r="C238" t="s">
        <v>86</v>
      </c>
      <c r="E238" t="s">
        <v>180</v>
      </c>
      <c r="F238" t="s">
        <v>33</v>
      </c>
      <c r="G238" s="1">
        <v>45161</v>
      </c>
      <c r="H238">
        <v>69508.28</v>
      </c>
      <c r="I238" t="s">
        <v>371</v>
      </c>
      <c r="J238">
        <v>-2087510292</v>
      </c>
      <c r="K238" t="s">
        <v>30</v>
      </c>
      <c r="L238" t="b">
        <v>0</v>
      </c>
    </row>
    <row r="239" spans="1:12" x14ac:dyDescent="0.3">
      <c r="A239" t="s">
        <v>372</v>
      </c>
      <c r="B239" t="s">
        <v>25</v>
      </c>
      <c r="C239" t="s">
        <v>86</v>
      </c>
      <c r="D239">
        <v>30</v>
      </c>
      <c r="E239" t="s">
        <v>215</v>
      </c>
      <c r="F239" t="s">
        <v>33</v>
      </c>
      <c r="G239" s="1">
        <v>44981</v>
      </c>
      <c r="H239">
        <v>58243.27</v>
      </c>
      <c r="I239" t="s">
        <v>145</v>
      </c>
      <c r="J239">
        <v>-2184011844</v>
      </c>
      <c r="K239" t="s">
        <v>18</v>
      </c>
      <c r="L239" t="b">
        <v>0</v>
      </c>
    </row>
    <row r="240" spans="1:12" x14ac:dyDescent="0.3">
      <c r="A240" t="s">
        <v>373</v>
      </c>
      <c r="B240" t="s">
        <v>63</v>
      </c>
      <c r="C240" t="s">
        <v>37</v>
      </c>
      <c r="D240">
        <v>30</v>
      </c>
      <c r="E240" t="s">
        <v>155</v>
      </c>
      <c r="F240" t="s">
        <v>28</v>
      </c>
      <c r="G240" s="1">
        <v>44836</v>
      </c>
      <c r="H240">
        <v>64012.480000000003</v>
      </c>
      <c r="I240" t="s">
        <v>65</v>
      </c>
      <c r="J240">
        <v>-8260340847</v>
      </c>
      <c r="K240" t="s">
        <v>40</v>
      </c>
      <c r="L240" t="b">
        <v>1</v>
      </c>
    </row>
    <row r="241" spans="1:12" x14ac:dyDescent="0.3">
      <c r="A241" t="s">
        <v>374</v>
      </c>
      <c r="B241" t="s">
        <v>13</v>
      </c>
      <c r="C241" t="s">
        <v>42</v>
      </c>
      <c r="D241">
        <v>40</v>
      </c>
      <c r="E241" t="s">
        <v>27</v>
      </c>
      <c r="F241" t="s">
        <v>33</v>
      </c>
      <c r="G241" s="1">
        <v>44010</v>
      </c>
      <c r="H241">
        <v>106735.93</v>
      </c>
      <c r="I241" t="s">
        <v>136</v>
      </c>
      <c r="J241">
        <v>-7297585987</v>
      </c>
      <c r="K241" t="s">
        <v>18</v>
      </c>
      <c r="L241" t="b">
        <v>1</v>
      </c>
    </row>
    <row r="242" spans="1:12" x14ac:dyDescent="0.3">
      <c r="A242" t="s">
        <v>375</v>
      </c>
      <c r="B242" t="s">
        <v>36</v>
      </c>
      <c r="C242" t="s">
        <v>53</v>
      </c>
      <c r="D242">
        <v>35</v>
      </c>
      <c r="E242" t="s">
        <v>197</v>
      </c>
      <c r="F242" t="s">
        <v>28</v>
      </c>
      <c r="G242" s="1">
        <v>44941</v>
      </c>
      <c r="H242">
        <v>70325.36</v>
      </c>
      <c r="I242" t="s">
        <v>219</v>
      </c>
      <c r="J242">
        <v>-3103032431</v>
      </c>
      <c r="K242" t="s">
        <v>18</v>
      </c>
      <c r="L242" t="b">
        <v>0</v>
      </c>
    </row>
    <row r="243" spans="1:12" x14ac:dyDescent="0.3">
      <c r="A243" t="s">
        <v>376</v>
      </c>
      <c r="B243" t="s">
        <v>52</v>
      </c>
      <c r="C243" t="s">
        <v>14</v>
      </c>
      <c r="D243">
        <v>30</v>
      </c>
      <c r="E243" t="s">
        <v>166</v>
      </c>
      <c r="F243" t="s">
        <v>16</v>
      </c>
      <c r="G243" s="1">
        <v>44079</v>
      </c>
      <c r="H243">
        <v>118959.28</v>
      </c>
      <c r="I243" t="s">
        <v>149</v>
      </c>
      <c r="J243">
        <v>-9839542960</v>
      </c>
      <c r="K243" t="s">
        <v>18</v>
      </c>
      <c r="L243" t="b">
        <v>1</v>
      </c>
    </row>
    <row r="244" spans="1:12" x14ac:dyDescent="0.3">
      <c r="A244" t="s">
        <v>377</v>
      </c>
      <c r="B244" t="s">
        <v>57</v>
      </c>
      <c r="C244" t="s">
        <v>20</v>
      </c>
      <c r="D244">
        <v>40</v>
      </c>
      <c r="E244" t="s">
        <v>217</v>
      </c>
      <c r="F244" t="s">
        <v>28</v>
      </c>
      <c r="G244" s="1">
        <v>45003</v>
      </c>
      <c r="H244">
        <v>75823.78</v>
      </c>
      <c r="I244" t="s">
        <v>188</v>
      </c>
      <c r="J244">
        <v>-8446267145</v>
      </c>
      <c r="K244" t="s">
        <v>18</v>
      </c>
      <c r="L244" t="b">
        <v>0</v>
      </c>
    </row>
    <row r="245" spans="1:12" x14ac:dyDescent="0.3">
      <c r="A245" t="s">
        <v>378</v>
      </c>
      <c r="B245" t="s">
        <v>52</v>
      </c>
      <c r="C245" t="s">
        <v>111</v>
      </c>
      <c r="E245" t="s">
        <v>141</v>
      </c>
      <c r="F245" t="s">
        <v>33</v>
      </c>
      <c r="G245" s="1">
        <v>44646</v>
      </c>
      <c r="H245">
        <v>119971.65</v>
      </c>
      <c r="I245" t="s">
        <v>167</v>
      </c>
      <c r="J245">
        <v>-2831435988</v>
      </c>
      <c r="K245" t="s">
        <v>18</v>
      </c>
      <c r="L245" t="b">
        <v>0</v>
      </c>
    </row>
    <row r="246" spans="1:12" x14ac:dyDescent="0.3">
      <c r="A246" t="s">
        <v>379</v>
      </c>
      <c r="B246" t="s">
        <v>67</v>
      </c>
      <c r="C246" t="s">
        <v>14</v>
      </c>
      <c r="D246">
        <v>40</v>
      </c>
      <c r="E246" t="s">
        <v>43</v>
      </c>
      <c r="F246" t="s">
        <v>16</v>
      </c>
      <c r="G246" s="1">
        <v>44480</v>
      </c>
      <c r="H246">
        <v>94963.7</v>
      </c>
      <c r="I246" t="s">
        <v>195</v>
      </c>
      <c r="J246">
        <v>-2625660930</v>
      </c>
      <c r="K246" t="s">
        <v>30</v>
      </c>
      <c r="L246" t="b">
        <v>0</v>
      </c>
    </row>
    <row r="247" spans="1:12" x14ac:dyDescent="0.3">
      <c r="A247" t="s">
        <v>380</v>
      </c>
      <c r="B247" t="s">
        <v>36</v>
      </c>
      <c r="C247" t="s">
        <v>86</v>
      </c>
      <c r="D247">
        <v>30</v>
      </c>
      <c r="E247" t="s">
        <v>185</v>
      </c>
      <c r="F247" t="s">
        <v>28</v>
      </c>
      <c r="G247" s="1">
        <v>44203</v>
      </c>
      <c r="H247">
        <v>103744.71</v>
      </c>
      <c r="I247" t="s">
        <v>101</v>
      </c>
      <c r="J247">
        <v>-4181861514</v>
      </c>
      <c r="K247" t="s">
        <v>18</v>
      </c>
      <c r="L247" t="b">
        <v>0</v>
      </c>
    </row>
    <row r="248" spans="1:12" x14ac:dyDescent="0.3">
      <c r="A248" t="s">
        <v>381</v>
      </c>
      <c r="B248" t="s">
        <v>25</v>
      </c>
      <c r="C248" t="s">
        <v>111</v>
      </c>
      <c r="D248">
        <v>25</v>
      </c>
      <c r="E248" t="s">
        <v>100</v>
      </c>
      <c r="F248" t="s">
        <v>33</v>
      </c>
      <c r="G248" s="1">
        <v>44168</v>
      </c>
      <c r="H248">
        <v>61337.69</v>
      </c>
      <c r="I248" t="s">
        <v>159</v>
      </c>
      <c r="J248">
        <v>-5423401635</v>
      </c>
      <c r="K248" t="s">
        <v>18</v>
      </c>
      <c r="L248" t="b">
        <v>1</v>
      </c>
    </row>
    <row r="249" spans="1:12" x14ac:dyDescent="0.3">
      <c r="A249" t="s">
        <v>382</v>
      </c>
      <c r="B249" t="s">
        <v>57</v>
      </c>
      <c r="C249" t="s">
        <v>111</v>
      </c>
      <c r="D249">
        <v>35</v>
      </c>
      <c r="E249" t="s">
        <v>155</v>
      </c>
      <c r="F249" t="s">
        <v>16</v>
      </c>
      <c r="G249" s="1">
        <v>44344</v>
      </c>
      <c r="H249">
        <v>63741.13</v>
      </c>
      <c r="I249" t="s">
        <v>266</v>
      </c>
      <c r="J249">
        <v>-1128497184</v>
      </c>
      <c r="K249" t="s">
        <v>40</v>
      </c>
      <c r="L249" t="b">
        <v>1</v>
      </c>
    </row>
    <row r="250" spans="1:12" x14ac:dyDescent="0.3">
      <c r="A250" t="s">
        <v>383</v>
      </c>
      <c r="B250" t="s">
        <v>32</v>
      </c>
      <c r="C250" t="s">
        <v>111</v>
      </c>
      <c r="D250">
        <v>30</v>
      </c>
      <c r="E250" t="s">
        <v>15</v>
      </c>
      <c r="F250" t="s">
        <v>28</v>
      </c>
      <c r="G250" s="1">
        <v>44923</v>
      </c>
      <c r="H250">
        <v>56539.99</v>
      </c>
      <c r="I250" t="s">
        <v>384</v>
      </c>
      <c r="J250">
        <v>-9484910255</v>
      </c>
      <c r="K250" t="s">
        <v>23</v>
      </c>
      <c r="L250" t="b">
        <v>1</v>
      </c>
    </row>
    <row r="251" spans="1:12" x14ac:dyDescent="0.3">
      <c r="A251" t="s">
        <v>385</v>
      </c>
      <c r="B251" t="s">
        <v>52</v>
      </c>
      <c r="C251" t="s">
        <v>37</v>
      </c>
      <c r="D251">
        <v>30</v>
      </c>
      <c r="E251" t="s">
        <v>75</v>
      </c>
      <c r="F251" t="s">
        <v>28</v>
      </c>
      <c r="G251" s="1">
        <v>45070</v>
      </c>
      <c r="H251">
        <v>73633.37</v>
      </c>
      <c r="I251" t="s">
        <v>84</v>
      </c>
      <c r="J251">
        <v>-2588967923</v>
      </c>
      <c r="K251" t="s">
        <v>30</v>
      </c>
      <c r="L251" t="b">
        <v>1</v>
      </c>
    </row>
    <row r="252" spans="1:12" x14ac:dyDescent="0.3">
      <c r="A252" t="s">
        <v>386</v>
      </c>
      <c r="B252" t="s">
        <v>25</v>
      </c>
      <c r="C252" t="s">
        <v>86</v>
      </c>
      <c r="D252">
        <v>25</v>
      </c>
      <c r="E252" t="s">
        <v>141</v>
      </c>
      <c r="F252" t="s">
        <v>28</v>
      </c>
      <c r="G252" s="1">
        <v>45410</v>
      </c>
      <c r="H252">
        <v>90373.99</v>
      </c>
      <c r="I252" t="s">
        <v>145</v>
      </c>
      <c r="J252">
        <v>-822269404</v>
      </c>
      <c r="K252" t="s">
        <v>30</v>
      </c>
      <c r="L252" t="b">
        <v>0</v>
      </c>
    </row>
    <row r="253" spans="1:12" x14ac:dyDescent="0.3">
      <c r="A253" t="s">
        <v>387</v>
      </c>
      <c r="B253" t="s">
        <v>67</v>
      </c>
      <c r="C253" t="s">
        <v>111</v>
      </c>
      <c r="E253" t="s">
        <v>197</v>
      </c>
      <c r="F253" t="s">
        <v>33</v>
      </c>
      <c r="G253" s="1">
        <v>45651</v>
      </c>
      <c r="H253">
        <v>93901.48</v>
      </c>
      <c r="I253" t="s">
        <v>122</v>
      </c>
      <c r="J253">
        <v>-3967275783</v>
      </c>
      <c r="K253" t="s">
        <v>30</v>
      </c>
      <c r="L253" t="b">
        <v>0</v>
      </c>
    </row>
    <row r="254" spans="1:12" x14ac:dyDescent="0.3">
      <c r="A254" t="s">
        <v>388</v>
      </c>
      <c r="B254" t="s">
        <v>32</v>
      </c>
      <c r="C254" t="s">
        <v>20</v>
      </c>
      <c r="D254">
        <v>40</v>
      </c>
      <c r="E254" t="s">
        <v>27</v>
      </c>
      <c r="F254" t="s">
        <v>33</v>
      </c>
      <c r="G254" s="1">
        <v>44440</v>
      </c>
      <c r="H254">
        <v>81748.09</v>
      </c>
      <c r="I254" t="s">
        <v>138</v>
      </c>
      <c r="J254">
        <v>-4683414650</v>
      </c>
      <c r="K254" t="s">
        <v>18</v>
      </c>
      <c r="L254" t="b">
        <v>1</v>
      </c>
    </row>
    <row r="255" spans="1:12" x14ac:dyDescent="0.3">
      <c r="A255" t="s">
        <v>389</v>
      </c>
      <c r="B255" t="s">
        <v>52</v>
      </c>
      <c r="C255" t="s">
        <v>26</v>
      </c>
      <c r="D255">
        <v>40</v>
      </c>
      <c r="E255" t="s">
        <v>103</v>
      </c>
      <c r="F255" t="s">
        <v>33</v>
      </c>
      <c r="G255" s="1">
        <v>44248</v>
      </c>
      <c r="H255">
        <v>73813.48</v>
      </c>
      <c r="I255" t="s">
        <v>109</v>
      </c>
      <c r="J255">
        <v>-1131290147</v>
      </c>
      <c r="K255" t="s">
        <v>18</v>
      </c>
      <c r="L255" t="b">
        <v>0</v>
      </c>
    </row>
    <row r="256" spans="1:12" x14ac:dyDescent="0.3">
      <c r="A256" t="s">
        <v>390</v>
      </c>
      <c r="B256" t="s">
        <v>36</v>
      </c>
      <c r="C256" t="s">
        <v>111</v>
      </c>
      <c r="D256">
        <v>35</v>
      </c>
      <c r="E256" t="s">
        <v>190</v>
      </c>
      <c r="F256" t="s">
        <v>33</v>
      </c>
      <c r="G256" s="1">
        <v>44885</v>
      </c>
      <c r="H256">
        <v>89315.59</v>
      </c>
      <c r="I256" t="s">
        <v>124</v>
      </c>
      <c r="J256">
        <v>-7068277880</v>
      </c>
      <c r="K256" t="s">
        <v>18</v>
      </c>
      <c r="L256" t="b">
        <v>0</v>
      </c>
    </row>
    <row r="257" spans="1:12" x14ac:dyDescent="0.3">
      <c r="A257" t="s">
        <v>391</v>
      </c>
      <c r="B257" t="s">
        <v>63</v>
      </c>
      <c r="C257" t="s">
        <v>37</v>
      </c>
      <c r="D257">
        <v>25</v>
      </c>
      <c r="E257" t="s">
        <v>180</v>
      </c>
      <c r="F257" t="s">
        <v>16</v>
      </c>
      <c r="G257" s="1">
        <v>44119</v>
      </c>
      <c r="H257">
        <v>56776.82</v>
      </c>
      <c r="I257" t="s">
        <v>65</v>
      </c>
      <c r="J257">
        <v>-6093068537</v>
      </c>
      <c r="K257" t="s">
        <v>40</v>
      </c>
      <c r="L257" t="b">
        <v>0</v>
      </c>
    </row>
    <row r="258" spans="1:12" x14ac:dyDescent="0.3">
      <c r="A258" t="s">
        <v>392</v>
      </c>
      <c r="B258" t="s">
        <v>67</v>
      </c>
      <c r="C258" t="s">
        <v>14</v>
      </c>
      <c r="E258" t="s">
        <v>190</v>
      </c>
      <c r="F258" t="s">
        <v>16</v>
      </c>
      <c r="G258" s="1">
        <v>45497</v>
      </c>
      <c r="H258">
        <v>72920.509999999995</v>
      </c>
      <c r="I258" t="s">
        <v>195</v>
      </c>
      <c r="J258">
        <v>-9097283214</v>
      </c>
      <c r="K258" t="s">
        <v>23</v>
      </c>
      <c r="L258" t="b">
        <v>1</v>
      </c>
    </row>
    <row r="259" spans="1:12" x14ac:dyDescent="0.3">
      <c r="A259" t="s">
        <v>393</v>
      </c>
      <c r="B259" t="s">
        <v>36</v>
      </c>
      <c r="C259" t="s">
        <v>86</v>
      </c>
      <c r="D259">
        <v>30</v>
      </c>
      <c r="E259" t="s">
        <v>176</v>
      </c>
      <c r="F259" t="s">
        <v>28</v>
      </c>
      <c r="G259" s="1">
        <v>44787</v>
      </c>
      <c r="H259">
        <v>84913.18</v>
      </c>
      <c r="I259" t="s">
        <v>101</v>
      </c>
      <c r="J259">
        <v>-2850676250</v>
      </c>
      <c r="K259" t="s">
        <v>18</v>
      </c>
      <c r="L259" t="b">
        <v>1</v>
      </c>
    </row>
    <row r="260" spans="1:12" x14ac:dyDescent="0.3">
      <c r="A260" t="s">
        <v>394</v>
      </c>
      <c r="B260" t="s">
        <v>25</v>
      </c>
      <c r="C260" t="s">
        <v>42</v>
      </c>
      <c r="D260">
        <v>25</v>
      </c>
      <c r="E260" t="s">
        <v>215</v>
      </c>
      <c r="F260" t="s">
        <v>33</v>
      </c>
      <c r="G260" s="1">
        <v>44324</v>
      </c>
      <c r="H260">
        <v>65060.11</v>
      </c>
      <c r="I260" t="s">
        <v>44</v>
      </c>
      <c r="J260">
        <v>-5381447442</v>
      </c>
      <c r="K260" t="s">
        <v>23</v>
      </c>
      <c r="L260" t="b">
        <v>1</v>
      </c>
    </row>
    <row r="261" spans="1:12" x14ac:dyDescent="0.3">
      <c r="A261" t="s">
        <v>395</v>
      </c>
      <c r="B261" t="s">
        <v>25</v>
      </c>
      <c r="C261" t="s">
        <v>37</v>
      </c>
      <c r="D261">
        <v>35</v>
      </c>
      <c r="E261" t="s">
        <v>215</v>
      </c>
      <c r="F261" t="s">
        <v>28</v>
      </c>
      <c r="G261" s="1">
        <v>45208</v>
      </c>
      <c r="H261">
        <v>82941.08</v>
      </c>
      <c r="I261" t="s">
        <v>281</v>
      </c>
      <c r="J261">
        <v>-963480796</v>
      </c>
      <c r="K261" t="s">
        <v>40</v>
      </c>
      <c r="L261" t="b">
        <v>0</v>
      </c>
    </row>
    <row r="262" spans="1:12" x14ac:dyDescent="0.3">
      <c r="A262" t="s">
        <v>396</v>
      </c>
      <c r="B262" t="s">
        <v>13</v>
      </c>
      <c r="C262" t="s">
        <v>111</v>
      </c>
      <c r="D262">
        <v>40</v>
      </c>
      <c r="E262" t="s">
        <v>108</v>
      </c>
      <c r="F262" t="s">
        <v>28</v>
      </c>
      <c r="G262" s="1">
        <v>44580</v>
      </c>
      <c r="H262">
        <v>103469.97</v>
      </c>
      <c r="I262" t="s">
        <v>112</v>
      </c>
      <c r="J262">
        <v>-509754509</v>
      </c>
      <c r="K262" t="s">
        <v>30</v>
      </c>
      <c r="L262" t="b">
        <v>1</v>
      </c>
    </row>
    <row r="263" spans="1:12" x14ac:dyDescent="0.3">
      <c r="A263" t="s">
        <v>397</v>
      </c>
      <c r="B263" t="s">
        <v>67</v>
      </c>
      <c r="C263" t="s">
        <v>86</v>
      </c>
      <c r="D263">
        <v>25</v>
      </c>
      <c r="E263" t="s">
        <v>91</v>
      </c>
      <c r="F263" t="s">
        <v>16</v>
      </c>
      <c r="G263" s="1">
        <v>44573</v>
      </c>
      <c r="H263">
        <v>88725.6</v>
      </c>
      <c r="I263" t="s">
        <v>147</v>
      </c>
      <c r="J263">
        <v>-5265016730</v>
      </c>
      <c r="K263" t="s">
        <v>18</v>
      </c>
      <c r="L263" t="b">
        <v>1</v>
      </c>
    </row>
    <row r="264" spans="1:12" x14ac:dyDescent="0.3">
      <c r="A264" t="s">
        <v>398</v>
      </c>
      <c r="B264" t="s">
        <v>63</v>
      </c>
      <c r="C264" t="s">
        <v>26</v>
      </c>
      <c r="E264" t="s">
        <v>166</v>
      </c>
      <c r="F264" t="s">
        <v>28</v>
      </c>
      <c r="G264" s="1">
        <v>45082</v>
      </c>
      <c r="H264">
        <v>58316.77</v>
      </c>
      <c r="I264" t="s">
        <v>251</v>
      </c>
      <c r="J264">
        <v>-8826170242</v>
      </c>
      <c r="K264" t="s">
        <v>23</v>
      </c>
      <c r="L264" t="b">
        <v>1</v>
      </c>
    </row>
    <row r="265" spans="1:12" x14ac:dyDescent="0.3">
      <c r="A265" t="s">
        <v>399</v>
      </c>
      <c r="B265" t="s">
        <v>67</v>
      </c>
      <c r="C265" t="s">
        <v>111</v>
      </c>
      <c r="D265">
        <v>35</v>
      </c>
      <c r="E265" t="s">
        <v>166</v>
      </c>
      <c r="F265" t="s">
        <v>33</v>
      </c>
      <c r="G265" s="1">
        <v>45377</v>
      </c>
      <c r="H265">
        <v>60098.720000000001</v>
      </c>
      <c r="I265" t="s">
        <v>122</v>
      </c>
      <c r="J265">
        <v>-7654562840</v>
      </c>
      <c r="K265" t="s">
        <v>23</v>
      </c>
      <c r="L265" t="b">
        <v>1</v>
      </c>
    </row>
    <row r="266" spans="1:12" x14ac:dyDescent="0.3">
      <c r="A266" t="s">
        <v>400</v>
      </c>
      <c r="B266" t="s">
        <v>67</v>
      </c>
      <c r="C266" t="s">
        <v>37</v>
      </c>
      <c r="E266" t="s">
        <v>141</v>
      </c>
      <c r="F266" t="s">
        <v>16</v>
      </c>
      <c r="G266" s="1">
        <v>44111</v>
      </c>
      <c r="H266">
        <v>99951.43</v>
      </c>
      <c r="I266" t="s">
        <v>69</v>
      </c>
      <c r="J266">
        <v>-7722560530</v>
      </c>
      <c r="K266" t="s">
        <v>18</v>
      </c>
      <c r="L266" t="b">
        <v>1</v>
      </c>
    </row>
    <row r="267" spans="1:12" x14ac:dyDescent="0.3">
      <c r="A267" t="s">
        <v>401</v>
      </c>
      <c r="B267" t="s">
        <v>63</v>
      </c>
      <c r="C267" t="s">
        <v>53</v>
      </c>
      <c r="D267">
        <v>30</v>
      </c>
      <c r="E267" t="s">
        <v>91</v>
      </c>
      <c r="F267" t="s">
        <v>16</v>
      </c>
      <c r="G267" s="1">
        <v>44502</v>
      </c>
      <c r="H267">
        <v>115195.81</v>
      </c>
      <c r="I267" t="s">
        <v>104</v>
      </c>
      <c r="J267">
        <v>-3402665022</v>
      </c>
      <c r="K267" t="s">
        <v>30</v>
      </c>
      <c r="L267" t="b">
        <v>1</v>
      </c>
    </row>
    <row r="268" spans="1:12" x14ac:dyDescent="0.3">
      <c r="A268" t="s">
        <v>402</v>
      </c>
      <c r="B268" t="s">
        <v>67</v>
      </c>
      <c r="C268" t="s">
        <v>20</v>
      </c>
      <c r="E268" t="s">
        <v>15</v>
      </c>
      <c r="F268" t="s">
        <v>28</v>
      </c>
      <c r="G268" s="1">
        <v>44519</v>
      </c>
      <c r="H268">
        <v>85512.05</v>
      </c>
      <c r="I268" t="s">
        <v>173</v>
      </c>
      <c r="J268">
        <v>-7416787255</v>
      </c>
      <c r="K268" t="s">
        <v>30</v>
      </c>
      <c r="L268" t="b">
        <v>0</v>
      </c>
    </row>
    <row r="269" spans="1:12" x14ac:dyDescent="0.3">
      <c r="A269" t="s">
        <v>403</v>
      </c>
      <c r="B269" t="s">
        <v>63</v>
      </c>
      <c r="C269" t="s">
        <v>42</v>
      </c>
      <c r="E269" t="s">
        <v>180</v>
      </c>
      <c r="F269" t="s">
        <v>16</v>
      </c>
      <c r="G269" s="1">
        <v>44585</v>
      </c>
      <c r="H269">
        <v>73186.77</v>
      </c>
      <c r="I269" t="s">
        <v>209</v>
      </c>
      <c r="J269">
        <v>-8621102257</v>
      </c>
      <c r="K269" t="s">
        <v>30</v>
      </c>
      <c r="L269" t="b">
        <v>0</v>
      </c>
    </row>
    <row r="270" spans="1:12" x14ac:dyDescent="0.3">
      <c r="A270" t="s">
        <v>404</v>
      </c>
      <c r="B270" t="s">
        <v>67</v>
      </c>
      <c r="C270" t="s">
        <v>14</v>
      </c>
      <c r="E270" t="s">
        <v>133</v>
      </c>
      <c r="F270" t="s">
        <v>28</v>
      </c>
      <c r="G270" s="1">
        <v>45119</v>
      </c>
      <c r="H270">
        <v>51865.3</v>
      </c>
      <c r="I270" t="s">
        <v>195</v>
      </c>
      <c r="J270">
        <v>-305690673</v>
      </c>
      <c r="K270" t="s">
        <v>40</v>
      </c>
      <c r="L270" t="b">
        <v>1</v>
      </c>
    </row>
    <row r="271" spans="1:12" x14ac:dyDescent="0.3">
      <c r="A271" t="s">
        <v>405</v>
      </c>
      <c r="B271" t="s">
        <v>57</v>
      </c>
      <c r="C271" t="s">
        <v>37</v>
      </c>
      <c r="D271">
        <v>25</v>
      </c>
      <c r="E271" t="s">
        <v>72</v>
      </c>
      <c r="F271" t="s">
        <v>16</v>
      </c>
      <c r="G271" s="1">
        <v>44904</v>
      </c>
      <c r="H271">
        <v>94031.77</v>
      </c>
      <c r="I271" t="s">
        <v>59</v>
      </c>
      <c r="J271">
        <v>-4716392822</v>
      </c>
      <c r="K271" t="s">
        <v>23</v>
      </c>
      <c r="L271" t="b">
        <v>1</v>
      </c>
    </row>
    <row r="272" spans="1:12" x14ac:dyDescent="0.3">
      <c r="A272" t="s">
        <v>406</v>
      </c>
      <c r="B272" t="s">
        <v>67</v>
      </c>
      <c r="C272" t="s">
        <v>86</v>
      </c>
      <c r="D272">
        <v>30</v>
      </c>
      <c r="E272" t="s">
        <v>54</v>
      </c>
      <c r="F272" t="s">
        <v>16</v>
      </c>
      <c r="G272" s="1">
        <v>45003</v>
      </c>
      <c r="H272">
        <v>116374.36</v>
      </c>
      <c r="I272" t="s">
        <v>147</v>
      </c>
      <c r="J272">
        <v>-4143637188</v>
      </c>
      <c r="K272" t="s">
        <v>23</v>
      </c>
      <c r="L272" t="b">
        <v>0</v>
      </c>
    </row>
    <row r="273" spans="1:12" x14ac:dyDescent="0.3">
      <c r="A273" t="s">
        <v>407</v>
      </c>
      <c r="B273" t="s">
        <v>25</v>
      </c>
      <c r="C273" t="s">
        <v>42</v>
      </c>
      <c r="D273">
        <v>40</v>
      </c>
      <c r="E273" t="s">
        <v>180</v>
      </c>
      <c r="F273" t="s">
        <v>16</v>
      </c>
      <c r="G273" s="1">
        <v>44676</v>
      </c>
      <c r="H273">
        <v>98335.02</v>
      </c>
      <c r="I273" t="s">
        <v>44</v>
      </c>
      <c r="J273">
        <v>-2392312603</v>
      </c>
      <c r="K273" t="s">
        <v>23</v>
      </c>
      <c r="L273" t="b">
        <v>0</v>
      </c>
    </row>
    <row r="274" spans="1:12" x14ac:dyDescent="0.3">
      <c r="A274" t="s">
        <v>408</v>
      </c>
      <c r="B274" t="s">
        <v>63</v>
      </c>
      <c r="C274" t="s">
        <v>42</v>
      </c>
      <c r="D274">
        <v>25</v>
      </c>
      <c r="E274" t="s">
        <v>54</v>
      </c>
      <c r="F274" t="s">
        <v>28</v>
      </c>
      <c r="G274" s="1">
        <v>44255</v>
      </c>
      <c r="H274">
        <v>89262.07</v>
      </c>
      <c r="I274" t="s">
        <v>209</v>
      </c>
      <c r="J274">
        <v>-3260931065</v>
      </c>
      <c r="K274" t="s">
        <v>40</v>
      </c>
      <c r="L274" t="b">
        <v>1</v>
      </c>
    </row>
    <row r="275" spans="1:12" x14ac:dyDescent="0.3">
      <c r="A275" t="s">
        <v>409</v>
      </c>
      <c r="B275" t="s">
        <v>63</v>
      </c>
      <c r="C275" t="s">
        <v>42</v>
      </c>
      <c r="E275" t="s">
        <v>68</v>
      </c>
      <c r="F275" t="s">
        <v>16</v>
      </c>
      <c r="G275" s="1">
        <v>44772</v>
      </c>
      <c r="H275">
        <v>113848.69</v>
      </c>
      <c r="I275" t="s">
        <v>209</v>
      </c>
      <c r="J275">
        <v>-8433567085</v>
      </c>
      <c r="K275" t="s">
        <v>23</v>
      </c>
      <c r="L275" t="b">
        <v>1</v>
      </c>
    </row>
    <row r="276" spans="1:12" x14ac:dyDescent="0.3">
      <c r="A276" t="s">
        <v>410</v>
      </c>
      <c r="B276" t="s">
        <v>36</v>
      </c>
      <c r="C276" t="s">
        <v>111</v>
      </c>
      <c r="D276">
        <v>35</v>
      </c>
      <c r="E276" t="s">
        <v>72</v>
      </c>
      <c r="F276" t="s">
        <v>16</v>
      </c>
      <c r="G276" s="1">
        <v>44335</v>
      </c>
      <c r="H276">
        <v>69530.45</v>
      </c>
      <c r="I276" t="s">
        <v>124</v>
      </c>
      <c r="J276">
        <v>-414545634</v>
      </c>
      <c r="K276" t="s">
        <v>40</v>
      </c>
      <c r="L276" t="b">
        <v>1</v>
      </c>
    </row>
    <row r="277" spans="1:12" x14ac:dyDescent="0.3">
      <c r="A277" t="s">
        <v>411</v>
      </c>
      <c r="B277" t="s">
        <v>32</v>
      </c>
      <c r="C277" t="s">
        <v>20</v>
      </c>
      <c r="D277">
        <v>35</v>
      </c>
      <c r="E277" t="s">
        <v>54</v>
      </c>
      <c r="F277" t="s">
        <v>28</v>
      </c>
      <c r="G277" s="1">
        <v>45274</v>
      </c>
      <c r="H277">
        <v>84230.22</v>
      </c>
      <c r="I277" t="s">
        <v>138</v>
      </c>
      <c r="J277">
        <v>-200053473</v>
      </c>
      <c r="K277" t="s">
        <v>30</v>
      </c>
      <c r="L277" t="b">
        <v>1</v>
      </c>
    </row>
    <row r="278" spans="1:12" x14ac:dyDescent="0.3">
      <c r="A278" t="s">
        <v>412</v>
      </c>
      <c r="B278" t="s">
        <v>32</v>
      </c>
      <c r="C278" t="s">
        <v>111</v>
      </c>
      <c r="D278">
        <v>35</v>
      </c>
      <c r="E278" t="s">
        <v>89</v>
      </c>
      <c r="F278" t="s">
        <v>28</v>
      </c>
      <c r="G278" s="1">
        <v>44943</v>
      </c>
      <c r="H278">
        <v>76578.59</v>
      </c>
      <c r="I278" t="s">
        <v>384</v>
      </c>
      <c r="J278">
        <v>-9162475540</v>
      </c>
      <c r="K278" t="s">
        <v>18</v>
      </c>
      <c r="L278" t="b">
        <v>0</v>
      </c>
    </row>
    <row r="279" spans="1:12" x14ac:dyDescent="0.3">
      <c r="A279" t="s">
        <v>413</v>
      </c>
      <c r="B279" t="s">
        <v>36</v>
      </c>
      <c r="C279" t="s">
        <v>86</v>
      </c>
      <c r="D279">
        <v>30</v>
      </c>
      <c r="E279" t="s">
        <v>126</v>
      </c>
      <c r="F279" t="s">
        <v>33</v>
      </c>
      <c r="G279" s="1">
        <v>45293</v>
      </c>
      <c r="H279">
        <v>55532.06</v>
      </c>
      <c r="I279" t="s">
        <v>101</v>
      </c>
      <c r="J279">
        <v>-1082555988</v>
      </c>
      <c r="K279" t="s">
        <v>23</v>
      </c>
      <c r="L279" t="b">
        <v>1</v>
      </c>
    </row>
    <row r="280" spans="1:12" x14ac:dyDescent="0.3">
      <c r="A280" t="s">
        <v>414</v>
      </c>
      <c r="B280" t="s">
        <v>32</v>
      </c>
      <c r="C280" t="s">
        <v>111</v>
      </c>
      <c r="D280">
        <v>40</v>
      </c>
      <c r="E280" t="s">
        <v>169</v>
      </c>
      <c r="F280" t="s">
        <v>28</v>
      </c>
      <c r="G280" s="1">
        <v>44386</v>
      </c>
      <c r="H280">
        <v>115311.67999999999</v>
      </c>
      <c r="I280" t="s">
        <v>384</v>
      </c>
      <c r="J280">
        <v>-5343961128</v>
      </c>
      <c r="K280" t="s">
        <v>23</v>
      </c>
      <c r="L280" t="b">
        <v>1</v>
      </c>
    </row>
    <row r="281" spans="1:12" x14ac:dyDescent="0.3">
      <c r="A281" t="s">
        <v>415</v>
      </c>
      <c r="B281" t="s">
        <v>52</v>
      </c>
      <c r="C281" t="s">
        <v>53</v>
      </c>
      <c r="D281">
        <v>25</v>
      </c>
      <c r="E281" t="s">
        <v>185</v>
      </c>
      <c r="F281" t="s">
        <v>28</v>
      </c>
      <c r="G281" s="1">
        <v>44321</v>
      </c>
      <c r="H281">
        <v>66972.06</v>
      </c>
      <c r="I281" t="s">
        <v>55</v>
      </c>
      <c r="J281">
        <v>-1093371188</v>
      </c>
      <c r="K281" t="s">
        <v>30</v>
      </c>
      <c r="L281" t="b">
        <v>1</v>
      </c>
    </row>
    <row r="282" spans="1:12" x14ac:dyDescent="0.3">
      <c r="A282" t="s">
        <v>416</v>
      </c>
      <c r="B282" t="s">
        <v>57</v>
      </c>
      <c r="C282" t="s">
        <v>20</v>
      </c>
      <c r="D282">
        <v>30</v>
      </c>
      <c r="E282" t="s">
        <v>141</v>
      </c>
      <c r="F282" t="s">
        <v>33</v>
      </c>
      <c r="G282" s="1">
        <v>44507</v>
      </c>
      <c r="H282">
        <v>100215.06</v>
      </c>
      <c r="I282" t="s">
        <v>188</v>
      </c>
      <c r="J282">
        <v>-5473820235</v>
      </c>
      <c r="K282" t="s">
        <v>18</v>
      </c>
      <c r="L282" t="b">
        <v>1</v>
      </c>
    </row>
    <row r="283" spans="1:12" x14ac:dyDescent="0.3">
      <c r="A283" t="s">
        <v>417</v>
      </c>
      <c r="B283" t="s">
        <v>52</v>
      </c>
      <c r="C283" t="s">
        <v>20</v>
      </c>
      <c r="D283">
        <v>25</v>
      </c>
      <c r="E283" t="s">
        <v>100</v>
      </c>
      <c r="F283" t="s">
        <v>33</v>
      </c>
      <c r="G283" s="1">
        <v>45168</v>
      </c>
      <c r="H283">
        <v>115452.25</v>
      </c>
      <c r="I283" t="s">
        <v>114</v>
      </c>
      <c r="J283">
        <v>-8485571616</v>
      </c>
      <c r="K283" t="s">
        <v>40</v>
      </c>
      <c r="L283" t="b">
        <v>0</v>
      </c>
    </row>
    <row r="284" spans="1:12" x14ac:dyDescent="0.3">
      <c r="A284" t="s">
        <v>418</v>
      </c>
      <c r="B284" t="s">
        <v>63</v>
      </c>
      <c r="C284" t="s">
        <v>86</v>
      </c>
      <c r="D284">
        <v>30</v>
      </c>
      <c r="E284" t="s">
        <v>131</v>
      </c>
      <c r="F284" t="s">
        <v>33</v>
      </c>
      <c r="G284" s="1">
        <v>45153</v>
      </c>
      <c r="H284">
        <v>54141.38</v>
      </c>
      <c r="I284" t="s">
        <v>118</v>
      </c>
      <c r="J284">
        <v>-6880294239</v>
      </c>
      <c r="K284" t="s">
        <v>18</v>
      </c>
      <c r="L284" t="b">
        <v>0</v>
      </c>
    </row>
    <row r="285" spans="1:12" x14ac:dyDescent="0.3">
      <c r="A285" t="s">
        <v>419</v>
      </c>
      <c r="B285" t="s">
        <v>57</v>
      </c>
      <c r="C285" t="s">
        <v>14</v>
      </c>
      <c r="E285" t="s">
        <v>258</v>
      </c>
      <c r="F285" t="s">
        <v>16</v>
      </c>
      <c r="G285" s="1">
        <v>44189</v>
      </c>
      <c r="H285">
        <v>79251.95</v>
      </c>
      <c r="I285" t="s">
        <v>61</v>
      </c>
      <c r="J285">
        <v>-9036788126</v>
      </c>
      <c r="K285" t="s">
        <v>30</v>
      </c>
      <c r="L285" t="b">
        <v>0</v>
      </c>
    </row>
    <row r="286" spans="1:12" x14ac:dyDescent="0.3">
      <c r="A286" t="s">
        <v>420</v>
      </c>
      <c r="B286" t="s">
        <v>25</v>
      </c>
      <c r="C286" t="s">
        <v>53</v>
      </c>
      <c r="D286">
        <v>40</v>
      </c>
      <c r="E286" t="s">
        <v>190</v>
      </c>
      <c r="F286" t="s">
        <v>28</v>
      </c>
      <c r="G286" s="1">
        <v>45617</v>
      </c>
      <c r="H286">
        <v>114822.78</v>
      </c>
      <c r="I286" t="s">
        <v>134</v>
      </c>
      <c r="J286">
        <v>-8686694319</v>
      </c>
      <c r="K286" t="s">
        <v>30</v>
      </c>
      <c r="L286" t="b">
        <v>1</v>
      </c>
    </row>
    <row r="287" spans="1:12" x14ac:dyDescent="0.3">
      <c r="A287" t="s">
        <v>421</v>
      </c>
      <c r="B287" t="s">
        <v>25</v>
      </c>
      <c r="C287" t="s">
        <v>37</v>
      </c>
      <c r="D287">
        <v>35</v>
      </c>
      <c r="E287" t="s">
        <v>91</v>
      </c>
      <c r="F287" t="s">
        <v>16</v>
      </c>
      <c r="G287" s="1">
        <v>44517</v>
      </c>
      <c r="H287">
        <v>69919.320000000007</v>
      </c>
      <c r="I287" t="s">
        <v>281</v>
      </c>
      <c r="J287">
        <v>-2939087883</v>
      </c>
      <c r="K287" t="s">
        <v>18</v>
      </c>
      <c r="L287" t="b">
        <v>1</v>
      </c>
    </row>
    <row r="288" spans="1:12" x14ac:dyDescent="0.3">
      <c r="A288" t="s">
        <v>422</v>
      </c>
      <c r="B288" t="s">
        <v>63</v>
      </c>
      <c r="C288" t="s">
        <v>111</v>
      </c>
      <c r="D288">
        <v>30</v>
      </c>
      <c r="E288" t="s">
        <v>72</v>
      </c>
      <c r="F288" t="s">
        <v>33</v>
      </c>
      <c r="G288" s="1">
        <v>44225</v>
      </c>
      <c r="H288">
        <v>106616.97</v>
      </c>
      <c r="I288" t="s">
        <v>284</v>
      </c>
      <c r="J288">
        <v>-4344812307</v>
      </c>
      <c r="K288" t="s">
        <v>40</v>
      </c>
      <c r="L288" t="b">
        <v>0</v>
      </c>
    </row>
    <row r="289" spans="1:12" x14ac:dyDescent="0.3">
      <c r="A289" t="s">
        <v>423</v>
      </c>
      <c r="B289" t="s">
        <v>63</v>
      </c>
      <c r="C289" t="s">
        <v>26</v>
      </c>
      <c r="D289">
        <v>35</v>
      </c>
      <c r="E289" t="s">
        <v>54</v>
      </c>
      <c r="F289" t="s">
        <v>16</v>
      </c>
      <c r="G289" s="1">
        <v>45339</v>
      </c>
      <c r="H289">
        <v>73597.850000000006</v>
      </c>
      <c r="I289" t="s">
        <v>251</v>
      </c>
      <c r="J289">
        <v>-3402424032</v>
      </c>
      <c r="K289" t="s">
        <v>40</v>
      </c>
      <c r="L289" t="b">
        <v>1</v>
      </c>
    </row>
    <row r="290" spans="1:12" x14ac:dyDescent="0.3">
      <c r="A290" t="s">
        <v>424</v>
      </c>
      <c r="B290" t="s">
        <v>57</v>
      </c>
      <c r="C290" t="s">
        <v>111</v>
      </c>
      <c r="D290">
        <v>30</v>
      </c>
      <c r="E290" t="s">
        <v>185</v>
      </c>
      <c r="F290" t="s">
        <v>33</v>
      </c>
      <c r="G290" s="1">
        <v>45524</v>
      </c>
      <c r="H290">
        <v>79939.23</v>
      </c>
      <c r="I290" t="s">
        <v>266</v>
      </c>
      <c r="J290">
        <v>-8105955183</v>
      </c>
      <c r="K290" t="s">
        <v>23</v>
      </c>
      <c r="L290" t="b">
        <v>1</v>
      </c>
    </row>
    <row r="291" spans="1:12" x14ac:dyDescent="0.3">
      <c r="A291" t="s">
        <v>425</v>
      </c>
      <c r="B291" t="s">
        <v>67</v>
      </c>
      <c r="C291" t="s">
        <v>42</v>
      </c>
      <c r="D291">
        <v>25</v>
      </c>
      <c r="E291" t="s">
        <v>169</v>
      </c>
      <c r="F291" t="s">
        <v>33</v>
      </c>
      <c r="G291" s="1">
        <v>44493</v>
      </c>
      <c r="H291" t="s">
        <v>223</v>
      </c>
      <c r="I291" t="s">
        <v>78</v>
      </c>
      <c r="J291">
        <v>-2694500533</v>
      </c>
      <c r="K291" t="s">
        <v>40</v>
      </c>
      <c r="L291" t="b">
        <v>0</v>
      </c>
    </row>
    <row r="292" spans="1:12" x14ac:dyDescent="0.3">
      <c r="A292" t="s">
        <v>426</v>
      </c>
      <c r="B292" t="s">
        <v>67</v>
      </c>
      <c r="C292" t="s">
        <v>111</v>
      </c>
      <c r="D292">
        <v>30</v>
      </c>
      <c r="E292" t="s">
        <v>68</v>
      </c>
      <c r="F292" t="s">
        <v>33</v>
      </c>
      <c r="G292" s="1">
        <v>44449</v>
      </c>
      <c r="H292">
        <v>90772.25</v>
      </c>
      <c r="I292" t="s">
        <v>122</v>
      </c>
      <c r="J292">
        <v>-2408916497</v>
      </c>
      <c r="K292" t="s">
        <v>18</v>
      </c>
      <c r="L292" t="b">
        <v>0</v>
      </c>
    </row>
    <row r="293" spans="1:12" x14ac:dyDescent="0.3">
      <c r="A293" t="s">
        <v>427</v>
      </c>
      <c r="B293" t="s">
        <v>32</v>
      </c>
      <c r="C293" t="s">
        <v>37</v>
      </c>
      <c r="D293">
        <v>35</v>
      </c>
      <c r="E293" t="s">
        <v>54</v>
      </c>
      <c r="F293" t="s">
        <v>16</v>
      </c>
      <c r="G293" s="1">
        <v>45198</v>
      </c>
      <c r="H293">
        <v>58275.74</v>
      </c>
      <c r="I293" t="s">
        <v>127</v>
      </c>
      <c r="J293">
        <v>-3735439626</v>
      </c>
      <c r="K293" t="s">
        <v>30</v>
      </c>
      <c r="L293" t="b">
        <v>0</v>
      </c>
    </row>
    <row r="294" spans="1:12" x14ac:dyDescent="0.3">
      <c r="A294" t="s">
        <v>428</v>
      </c>
      <c r="B294" t="s">
        <v>67</v>
      </c>
      <c r="C294" t="s">
        <v>111</v>
      </c>
      <c r="E294" t="s">
        <v>15</v>
      </c>
      <c r="F294" t="s">
        <v>28</v>
      </c>
      <c r="G294" s="1">
        <v>44071</v>
      </c>
      <c r="H294">
        <v>94709.79</v>
      </c>
      <c r="I294" t="s">
        <v>122</v>
      </c>
      <c r="J294">
        <v>-3652717271</v>
      </c>
      <c r="K294" t="s">
        <v>23</v>
      </c>
      <c r="L294" t="b">
        <v>0</v>
      </c>
    </row>
    <row r="295" spans="1:12" x14ac:dyDescent="0.3">
      <c r="A295" t="s">
        <v>429</v>
      </c>
      <c r="B295" t="s">
        <v>36</v>
      </c>
      <c r="C295" t="s">
        <v>53</v>
      </c>
      <c r="E295" t="s">
        <v>169</v>
      </c>
      <c r="F295" t="s">
        <v>16</v>
      </c>
      <c r="G295" s="1">
        <v>44810</v>
      </c>
      <c r="H295">
        <v>60722.99</v>
      </c>
      <c r="I295" t="s">
        <v>219</v>
      </c>
      <c r="J295">
        <v>-2397240421</v>
      </c>
      <c r="K295" t="s">
        <v>23</v>
      </c>
      <c r="L295" t="b">
        <v>1</v>
      </c>
    </row>
    <row r="296" spans="1:12" x14ac:dyDescent="0.3">
      <c r="A296" t="s">
        <v>430</v>
      </c>
      <c r="B296" t="s">
        <v>36</v>
      </c>
      <c r="C296" t="s">
        <v>53</v>
      </c>
      <c r="D296">
        <v>40</v>
      </c>
      <c r="E296" t="s">
        <v>75</v>
      </c>
      <c r="F296" t="s">
        <v>33</v>
      </c>
      <c r="G296" s="1">
        <v>45382</v>
      </c>
      <c r="H296">
        <v>87626.240000000005</v>
      </c>
      <c r="I296" t="s">
        <v>219</v>
      </c>
      <c r="J296">
        <v>-6931216375</v>
      </c>
      <c r="K296" t="s">
        <v>30</v>
      </c>
      <c r="L296" t="b">
        <v>1</v>
      </c>
    </row>
    <row r="297" spans="1:12" x14ac:dyDescent="0.3">
      <c r="A297" t="s">
        <v>431</v>
      </c>
      <c r="B297" t="s">
        <v>57</v>
      </c>
      <c r="C297" t="s">
        <v>20</v>
      </c>
      <c r="D297">
        <v>30</v>
      </c>
      <c r="E297" t="s">
        <v>75</v>
      </c>
      <c r="F297" t="s">
        <v>16</v>
      </c>
      <c r="G297" s="1">
        <v>44907</v>
      </c>
      <c r="H297">
        <v>81272.36</v>
      </c>
      <c r="I297" t="s">
        <v>188</v>
      </c>
      <c r="J297">
        <v>-1820916600</v>
      </c>
      <c r="K297" t="s">
        <v>40</v>
      </c>
      <c r="L297" t="b">
        <v>0</v>
      </c>
    </row>
    <row r="298" spans="1:12" x14ac:dyDescent="0.3">
      <c r="A298" t="s">
        <v>432</v>
      </c>
      <c r="B298" t="s">
        <v>13</v>
      </c>
      <c r="C298" t="s">
        <v>86</v>
      </c>
      <c r="E298" t="s">
        <v>141</v>
      </c>
      <c r="F298" t="s">
        <v>28</v>
      </c>
      <c r="G298" s="1">
        <v>44866</v>
      </c>
      <c r="H298">
        <v>64150.97</v>
      </c>
      <c r="I298" t="s">
        <v>87</v>
      </c>
      <c r="J298">
        <v>-23142899</v>
      </c>
      <c r="K298" t="s">
        <v>30</v>
      </c>
      <c r="L298" t="b">
        <v>1</v>
      </c>
    </row>
    <row r="299" spans="1:12" x14ac:dyDescent="0.3">
      <c r="A299" t="s">
        <v>433</v>
      </c>
      <c r="B299" t="s">
        <v>52</v>
      </c>
      <c r="C299" t="s">
        <v>14</v>
      </c>
      <c r="D299">
        <v>35</v>
      </c>
      <c r="E299" t="s">
        <v>72</v>
      </c>
      <c r="F299" t="s">
        <v>16</v>
      </c>
      <c r="G299" s="1">
        <v>45224</v>
      </c>
      <c r="H299">
        <v>64378.1</v>
      </c>
      <c r="I299" t="s">
        <v>149</v>
      </c>
      <c r="J299">
        <v>-1851327971</v>
      </c>
      <c r="K299" t="s">
        <v>40</v>
      </c>
      <c r="L299" t="b">
        <v>0</v>
      </c>
    </row>
    <row r="300" spans="1:12" x14ac:dyDescent="0.3">
      <c r="A300" t="s">
        <v>434</v>
      </c>
      <c r="B300" t="s">
        <v>13</v>
      </c>
      <c r="C300" t="s">
        <v>26</v>
      </c>
      <c r="E300" t="s">
        <v>21</v>
      </c>
      <c r="F300" t="s">
        <v>33</v>
      </c>
      <c r="G300" s="1">
        <v>44101</v>
      </c>
      <c r="H300">
        <v>85927.35</v>
      </c>
      <c r="I300" t="s">
        <v>48</v>
      </c>
      <c r="J300">
        <v>-4572308480</v>
      </c>
      <c r="K300" t="s">
        <v>30</v>
      </c>
      <c r="L300" t="b">
        <v>0</v>
      </c>
    </row>
    <row r="301" spans="1:12" x14ac:dyDescent="0.3">
      <c r="A301" t="s">
        <v>435</v>
      </c>
      <c r="B301" t="s">
        <v>25</v>
      </c>
      <c r="C301" t="s">
        <v>42</v>
      </c>
      <c r="E301" t="s">
        <v>93</v>
      </c>
      <c r="F301" t="s">
        <v>33</v>
      </c>
      <c r="G301" s="1">
        <v>45312</v>
      </c>
      <c r="H301">
        <v>51523.93</v>
      </c>
      <c r="I301" t="s">
        <v>44</v>
      </c>
      <c r="J301">
        <v>-18418619</v>
      </c>
      <c r="K301" t="s">
        <v>18</v>
      </c>
      <c r="L301" t="b">
        <v>1</v>
      </c>
    </row>
    <row r="302" spans="1:12" x14ac:dyDescent="0.3">
      <c r="A302" t="s">
        <v>436</v>
      </c>
      <c r="B302" t="s">
        <v>25</v>
      </c>
      <c r="C302" t="s">
        <v>111</v>
      </c>
      <c r="D302">
        <v>30</v>
      </c>
      <c r="E302" t="s">
        <v>43</v>
      </c>
      <c r="F302" t="s">
        <v>16</v>
      </c>
      <c r="G302" s="1">
        <v>44698</v>
      </c>
      <c r="H302">
        <v>74117.02</v>
      </c>
      <c r="I302" t="s">
        <v>159</v>
      </c>
      <c r="J302">
        <v>-3036625435</v>
      </c>
      <c r="K302" t="s">
        <v>40</v>
      </c>
      <c r="L302" t="b">
        <v>0</v>
      </c>
    </row>
    <row r="303" spans="1:12" x14ac:dyDescent="0.3">
      <c r="A303" t="s">
        <v>437</v>
      </c>
      <c r="B303" t="s">
        <v>25</v>
      </c>
      <c r="C303" t="s">
        <v>111</v>
      </c>
      <c r="D303">
        <v>25</v>
      </c>
      <c r="E303" t="s">
        <v>21</v>
      </c>
      <c r="F303" t="s">
        <v>33</v>
      </c>
      <c r="G303" s="1">
        <v>44668</v>
      </c>
      <c r="H303">
        <v>62598.69</v>
      </c>
      <c r="I303" t="s">
        <v>159</v>
      </c>
      <c r="J303">
        <v>-1721314518</v>
      </c>
      <c r="K303" t="s">
        <v>18</v>
      </c>
      <c r="L303" t="b">
        <v>1</v>
      </c>
    </row>
    <row r="304" spans="1:12" x14ac:dyDescent="0.3">
      <c r="A304" t="s">
        <v>438</v>
      </c>
      <c r="B304" t="s">
        <v>67</v>
      </c>
      <c r="C304" t="s">
        <v>37</v>
      </c>
      <c r="D304">
        <v>35</v>
      </c>
      <c r="E304" t="s">
        <v>103</v>
      </c>
      <c r="F304" t="s">
        <v>33</v>
      </c>
      <c r="G304" s="1">
        <v>44600</v>
      </c>
      <c r="H304">
        <v>55617.5</v>
      </c>
      <c r="I304" t="s">
        <v>69</v>
      </c>
      <c r="J304">
        <v>-5151092267</v>
      </c>
      <c r="K304" t="s">
        <v>23</v>
      </c>
      <c r="L304" t="b">
        <v>1</v>
      </c>
    </row>
    <row r="305" spans="1:12" x14ac:dyDescent="0.3">
      <c r="A305" t="s">
        <v>439</v>
      </c>
      <c r="B305" t="s">
        <v>52</v>
      </c>
      <c r="C305" t="s">
        <v>86</v>
      </c>
      <c r="D305">
        <v>35</v>
      </c>
      <c r="E305" t="s">
        <v>58</v>
      </c>
      <c r="F305" t="s">
        <v>28</v>
      </c>
      <c r="G305" s="1">
        <v>44635</v>
      </c>
      <c r="H305">
        <v>87018.98</v>
      </c>
      <c r="I305" t="s">
        <v>371</v>
      </c>
      <c r="J305">
        <v>-5926249450</v>
      </c>
      <c r="K305" t="s">
        <v>30</v>
      </c>
      <c r="L305" t="b">
        <v>1</v>
      </c>
    </row>
    <row r="306" spans="1:12" x14ac:dyDescent="0.3">
      <c r="A306" t="s">
        <v>440</v>
      </c>
      <c r="B306" t="s">
        <v>57</v>
      </c>
      <c r="C306" t="s">
        <v>53</v>
      </c>
      <c r="D306">
        <v>25</v>
      </c>
      <c r="E306" t="s">
        <v>217</v>
      </c>
      <c r="F306" t="s">
        <v>33</v>
      </c>
      <c r="G306" s="1">
        <v>45210</v>
      </c>
      <c r="H306">
        <v>100336.58</v>
      </c>
      <c r="I306" t="s">
        <v>183</v>
      </c>
      <c r="J306">
        <v>-4754102251</v>
      </c>
      <c r="K306" t="s">
        <v>23</v>
      </c>
      <c r="L306" t="b">
        <v>1</v>
      </c>
    </row>
    <row r="307" spans="1:12" x14ac:dyDescent="0.3">
      <c r="A307" t="s">
        <v>441</v>
      </c>
      <c r="B307" t="s">
        <v>67</v>
      </c>
      <c r="C307" t="s">
        <v>26</v>
      </c>
      <c r="D307">
        <v>30</v>
      </c>
      <c r="E307" t="s">
        <v>176</v>
      </c>
      <c r="F307" t="s">
        <v>33</v>
      </c>
      <c r="G307" s="1">
        <v>44148</v>
      </c>
      <c r="H307">
        <v>69295.48</v>
      </c>
      <c r="I307" t="s">
        <v>73</v>
      </c>
      <c r="J307">
        <v>-6771196420</v>
      </c>
      <c r="K307" t="s">
        <v>23</v>
      </c>
      <c r="L307" t="b">
        <v>0</v>
      </c>
    </row>
    <row r="308" spans="1:12" x14ac:dyDescent="0.3">
      <c r="A308" t="s">
        <v>442</v>
      </c>
      <c r="B308" t="s">
        <v>13</v>
      </c>
      <c r="C308" t="s">
        <v>20</v>
      </c>
      <c r="D308">
        <v>25</v>
      </c>
      <c r="E308" t="s">
        <v>192</v>
      </c>
      <c r="F308" t="s">
        <v>28</v>
      </c>
      <c r="G308" s="1">
        <v>45399</v>
      </c>
      <c r="H308">
        <v>115536.66</v>
      </c>
      <c r="I308" t="s">
        <v>22</v>
      </c>
      <c r="J308">
        <v>-5226557675</v>
      </c>
      <c r="K308" t="s">
        <v>23</v>
      </c>
      <c r="L308" t="b">
        <v>1</v>
      </c>
    </row>
    <row r="309" spans="1:12" x14ac:dyDescent="0.3">
      <c r="A309" t="s">
        <v>443</v>
      </c>
      <c r="B309" t="s">
        <v>57</v>
      </c>
      <c r="C309" t="s">
        <v>53</v>
      </c>
      <c r="D309">
        <v>30</v>
      </c>
      <c r="E309" t="s">
        <v>141</v>
      </c>
      <c r="F309" t="s">
        <v>28</v>
      </c>
      <c r="G309" s="1">
        <v>43899</v>
      </c>
      <c r="H309">
        <v>81250.87</v>
      </c>
      <c r="I309" t="s">
        <v>183</v>
      </c>
      <c r="J309">
        <v>-9523668787</v>
      </c>
      <c r="K309" t="s">
        <v>23</v>
      </c>
      <c r="L309" t="b">
        <v>0</v>
      </c>
    </row>
    <row r="310" spans="1:12" x14ac:dyDescent="0.3">
      <c r="A310" t="s">
        <v>444</v>
      </c>
      <c r="B310" t="s">
        <v>25</v>
      </c>
      <c r="C310" t="s">
        <v>42</v>
      </c>
      <c r="D310">
        <v>30</v>
      </c>
      <c r="E310" t="s">
        <v>197</v>
      </c>
      <c r="F310" t="s">
        <v>33</v>
      </c>
      <c r="G310" s="1">
        <v>44729</v>
      </c>
      <c r="H310">
        <v>66403.75</v>
      </c>
      <c r="I310" t="s">
        <v>44</v>
      </c>
      <c r="J310">
        <v>-7883619688</v>
      </c>
      <c r="K310" t="s">
        <v>30</v>
      </c>
      <c r="L310" t="b">
        <v>0</v>
      </c>
    </row>
    <row r="311" spans="1:12" x14ac:dyDescent="0.3">
      <c r="A311" t="s">
        <v>445</v>
      </c>
      <c r="B311" t="s">
        <v>25</v>
      </c>
      <c r="C311" t="s">
        <v>86</v>
      </c>
      <c r="D311">
        <v>30</v>
      </c>
      <c r="E311" t="s">
        <v>155</v>
      </c>
      <c r="F311" t="s">
        <v>16</v>
      </c>
      <c r="G311" s="1">
        <v>45501</v>
      </c>
      <c r="H311">
        <v>114147.79</v>
      </c>
      <c r="I311" t="s">
        <v>145</v>
      </c>
      <c r="J311">
        <v>-3135030586</v>
      </c>
      <c r="K311" t="s">
        <v>23</v>
      </c>
      <c r="L311" t="b">
        <v>0</v>
      </c>
    </row>
    <row r="312" spans="1:12" x14ac:dyDescent="0.3">
      <c r="A312" t="s">
        <v>446</v>
      </c>
      <c r="B312" t="s">
        <v>36</v>
      </c>
      <c r="C312" t="s">
        <v>42</v>
      </c>
      <c r="D312">
        <v>30</v>
      </c>
      <c r="E312" t="s">
        <v>64</v>
      </c>
      <c r="F312" t="s">
        <v>28</v>
      </c>
      <c r="G312" s="1">
        <v>44898</v>
      </c>
      <c r="H312">
        <v>65472.99</v>
      </c>
      <c r="I312" t="s">
        <v>157</v>
      </c>
      <c r="J312">
        <v>-2105524727</v>
      </c>
      <c r="K312" t="s">
        <v>30</v>
      </c>
      <c r="L312" t="b">
        <v>0</v>
      </c>
    </row>
    <row r="313" spans="1:12" x14ac:dyDescent="0.3">
      <c r="A313" t="s">
        <v>447</v>
      </c>
      <c r="B313" t="s">
        <v>25</v>
      </c>
      <c r="C313" t="s">
        <v>14</v>
      </c>
      <c r="E313" t="s">
        <v>185</v>
      </c>
      <c r="F313" t="s">
        <v>16</v>
      </c>
      <c r="G313" s="1">
        <v>45113</v>
      </c>
      <c r="H313">
        <v>97512.51</v>
      </c>
      <c r="I313" t="s">
        <v>143</v>
      </c>
      <c r="J313">
        <v>-6333021259</v>
      </c>
      <c r="K313" t="s">
        <v>30</v>
      </c>
      <c r="L313" t="b">
        <v>1</v>
      </c>
    </row>
    <row r="314" spans="1:12" x14ac:dyDescent="0.3">
      <c r="A314" t="s">
        <v>448</v>
      </c>
      <c r="B314" t="s">
        <v>25</v>
      </c>
      <c r="C314" t="s">
        <v>20</v>
      </c>
      <c r="D314">
        <v>35</v>
      </c>
      <c r="E314" t="s">
        <v>258</v>
      </c>
      <c r="F314" t="s">
        <v>33</v>
      </c>
      <c r="G314" s="1">
        <v>45440</v>
      </c>
      <c r="H314">
        <v>86712.41</v>
      </c>
      <c r="I314" t="s">
        <v>76</v>
      </c>
      <c r="J314">
        <v>-6501917919</v>
      </c>
      <c r="K314" t="s">
        <v>18</v>
      </c>
      <c r="L314" t="b">
        <v>1</v>
      </c>
    </row>
    <row r="315" spans="1:12" x14ac:dyDescent="0.3">
      <c r="A315" t="s">
        <v>449</v>
      </c>
      <c r="B315" t="s">
        <v>67</v>
      </c>
      <c r="C315" t="s">
        <v>14</v>
      </c>
      <c r="D315">
        <v>30</v>
      </c>
      <c r="E315" t="s">
        <v>180</v>
      </c>
      <c r="F315" t="s">
        <v>16</v>
      </c>
      <c r="G315" s="1">
        <v>45376</v>
      </c>
      <c r="H315">
        <v>87654.98</v>
      </c>
      <c r="I315" t="s">
        <v>195</v>
      </c>
      <c r="J315">
        <v>-2521310961</v>
      </c>
      <c r="K315" t="s">
        <v>40</v>
      </c>
      <c r="L315" t="b">
        <v>0</v>
      </c>
    </row>
    <row r="316" spans="1:12" x14ac:dyDescent="0.3">
      <c r="A316" t="s">
        <v>450</v>
      </c>
      <c r="B316" t="s">
        <v>57</v>
      </c>
      <c r="C316" t="s">
        <v>37</v>
      </c>
      <c r="D316">
        <v>35</v>
      </c>
      <c r="E316" t="s">
        <v>54</v>
      </c>
      <c r="F316" t="s">
        <v>33</v>
      </c>
      <c r="G316" s="1">
        <v>43949</v>
      </c>
      <c r="H316">
        <v>89367.02</v>
      </c>
      <c r="I316" t="s">
        <v>59</v>
      </c>
      <c r="J316">
        <v>-2728476569</v>
      </c>
      <c r="K316" t="s">
        <v>40</v>
      </c>
      <c r="L316" t="b">
        <v>0</v>
      </c>
    </row>
    <row r="317" spans="1:12" x14ac:dyDescent="0.3">
      <c r="A317" t="s">
        <v>451</v>
      </c>
      <c r="B317" t="s">
        <v>52</v>
      </c>
      <c r="C317" t="s">
        <v>42</v>
      </c>
      <c r="D317">
        <v>40</v>
      </c>
      <c r="E317" t="s">
        <v>108</v>
      </c>
      <c r="F317" t="s">
        <v>16</v>
      </c>
      <c r="G317" s="1">
        <v>44507</v>
      </c>
      <c r="H317">
        <v>95269.41</v>
      </c>
      <c r="I317" t="s">
        <v>81</v>
      </c>
      <c r="J317">
        <v>-4120092819</v>
      </c>
      <c r="K317" t="s">
        <v>30</v>
      </c>
      <c r="L317" t="b">
        <v>1</v>
      </c>
    </row>
    <row r="318" spans="1:12" x14ac:dyDescent="0.3">
      <c r="A318" t="s">
        <v>452</v>
      </c>
      <c r="B318" t="s">
        <v>36</v>
      </c>
      <c r="C318" t="s">
        <v>37</v>
      </c>
      <c r="D318">
        <v>25</v>
      </c>
      <c r="E318" t="s">
        <v>185</v>
      </c>
      <c r="F318" t="s">
        <v>16</v>
      </c>
      <c r="G318" s="1">
        <v>43936</v>
      </c>
      <c r="H318">
        <v>68792.31</v>
      </c>
      <c r="I318" t="s">
        <v>39</v>
      </c>
      <c r="J318">
        <v>-6678498435</v>
      </c>
      <c r="K318" t="s">
        <v>18</v>
      </c>
      <c r="L318" t="b">
        <v>0</v>
      </c>
    </row>
    <row r="319" spans="1:12" x14ac:dyDescent="0.3">
      <c r="A319" t="s">
        <v>453</v>
      </c>
      <c r="B319" t="s">
        <v>25</v>
      </c>
      <c r="C319" t="s">
        <v>111</v>
      </c>
      <c r="D319">
        <v>25</v>
      </c>
      <c r="E319" t="s">
        <v>83</v>
      </c>
      <c r="F319" t="s">
        <v>28</v>
      </c>
      <c r="G319" s="1">
        <v>45206</v>
      </c>
      <c r="H319">
        <v>89119.53</v>
      </c>
      <c r="I319" t="s">
        <v>159</v>
      </c>
      <c r="J319">
        <v>-2418623689</v>
      </c>
      <c r="K319" t="s">
        <v>30</v>
      </c>
      <c r="L319" t="b">
        <v>1</v>
      </c>
    </row>
    <row r="320" spans="1:12" x14ac:dyDescent="0.3">
      <c r="A320" t="s">
        <v>454</v>
      </c>
      <c r="B320" t="s">
        <v>36</v>
      </c>
      <c r="C320" t="s">
        <v>14</v>
      </c>
      <c r="D320">
        <v>35</v>
      </c>
      <c r="E320" t="s">
        <v>58</v>
      </c>
      <c r="F320" t="s">
        <v>16</v>
      </c>
      <c r="G320" s="1">
        <v>45349</v>
      </c>
      <c r="H320">
        <v>58212.13</v>
      </c>
      <c r="I320" t="s">
        <v>50</v>
      </c>
      <c r="J320">
        <v>-3628917755</v>
      </c>
      <c r="K320" t="s">
        <v>30</v>
      </c>
      <c r="L320" t="b">
        <v>0</v>
      </c>
    </row>
    <row r="321" spans="1:12" x14ac:dyDescent="0.3">
      <c r="A321" t="s">
        <v>455</v>
      </c>
      <c r="B321" t="s">
        <v>63</v>
      </c>
      <c r="C321" t="s">
        <v>86</v>
      </c>
      <c r="D321">
        <v>30</v>
      </c>
      <c r="E321" t="s">
        <v>75</v>
      </c>
      <c r="F321" t="s">
        <v>28</v>
      </c>
      <c r="G321" s="1">
        <v>44249</v>
      </c>
      <c r="H321">
        <v>77764.240000000005</v>
      </c>
      <c r="I321" t="s">
        <v>118</v>
      </c>
      <c r="J321">
        <v>-6205634110</v>
      </c>
      <c r="K321" t="s">
        <v>30</v>
      </c>
      <c r="L321" t="b">
        <v>1</v>
      </c>
    </row>
    <row r="322" spans="1:12" x14ac:dyDescent="0.3">
      <c r="A322" t="s">
        <v>456</v>
      </c>
      <c r="B322" t="s">
        <v>36</v>
      </c>
      <c r="C322" t="s">
        <v>42</v>
      </c>
      <c r="D322">
        <v>35</v>
      </c>
      <c r="E322" t="s">
        <v>103</v>
      </c>
      <c r="F322" t="s">
        <v>28</v>
      </c>
      <c r="G322" s="1">
        <v>45159</v>
      </c>
      <c r="H322">
        <v>75148.17</v>
      </c>
      <c r="I322" t="s">
        <v>157</v>
      </c>
      <c r="J322">
        <v>-5950342810</v>
      </c>
      <c r="K322" t="s">
        <v>18</v>
      </c>
      <c r="L322" t="b">
        <v>0</v>
      </c>
    </row>
    <row r="323" spans="1:12" x14ac:dyDescent="0.3">
      <c r="A323" t="s">
        <v>457</v>
      </c>
      <c r="B323" t="s">
        <v>63</v>
      </c>
      <c r="C323" t="s">
        <v>26</v>
      </c>
      <c r="D323">
        <v>40</v>
      </c>
      <c r="E323" t="s">
        <v>80</v>
      </c>
      <c r="F323" t="s">
        <v>33</v>
      </c>
      <c r="G323" s="1">
        <v>45390</v>
      </c>
      <c r="H323">
        <v>108781.18</v>
      </c>
      <c r="I323" t="s">
        <v>251</v>
      </c>
      <c r="J323">
        <v>-3904383033</v>
      </c>
      <c r="K323" t="s">
        <v>40</v>
      </c>
      <c r="L323" t="b">
        <v>0</v>
      </c>
    </row>
    <row r="324" spans="1:12" x14ac:dyDescent="0.3">
      <c r="A324" t="s">
        <v>458</v>
      </c>
      <c r="B324" t="s">
        <v>36</v>
      </c>
      <c r="C324" t="s">
        <v>20</v>
      </c>
      <c r="D324">
        <v>35</v>
      </c>
      <c r="E324" t="s">
        <v>21</v>
      </c>
      <c r="F324" t="s">
        <v>28</v>
      </c>
      <c r="G324" s="1">
        <v>45600</v>
      </c>
      <c r="H324">
        <v>65489.19</v>
      </c>
      <c r="I324" t="s">
        <v>198</v>
      </c>
      <c r="J324">
        <v>-1990970050</v>
      </c>
      <c r="K324" t="s">
        <v>18</v>
      </c>
      <c r="L324" t="b">
        <v>1</v>
      </c>
    </row>
    <row r="325" spans="1:12" x14ac:dyDescent="0.3">
      <c r="A325" t="s">
        <v>459</v>
      </c>
      <c r="B325" t="s">
        <v>32</v>
      </c>
      <c r="C325" t="s">
        <v>53</v>
      </c>
      <c r="E325" t="s">
        <v>91</v>
      </c>
      <c r="F325" t="s">
        <v>28</v>
      </c>
      <c r="G325" s="1">
        <v>44686</v>
      </c>
      <c r="H325">
        <v>70663.460000000006</v>
      </c>
      <c r="I325" t="s">
        <v>254</v>
      </c>
      <c r="J325">
        <v>-4054683564</v>
      </c>
      <c r="K325" t="s">
        <v>23</v>
      </c>
      <c r="L325" t="b">
        <v>0</v>
      </c>
    </row>
    <row r="326" spans="1:12" x14ac:dyDescent="0.3">
      <c r="A326" t="s">
        <v>460</v>
      </c>
      <c r="B326" t="s">
        <v>57</v>
      </c>
      <c r="C326" t="s">
        <v>86</v>
      </c>
      <c r="D326">
        <v>40</v>
      </c>
      <c r="E326" t="s">
        <v>100</v>
      </c>
      <c r="F326" t="s">
        <v>33</v>
      </c>
      <c r="G326" s="1">
        <v>44958</v>
      </c>
      <c r="H326">
        <v>95822.56</v>
      </c>
      <c r="I326" t="s">
        <v>98</v>
      </c>
      <c r="J326">
        <v>-2156818208</v>
      </c>
      <c r="K326" t="s">
        <v>18</v>
      </c>
      <c r="L326" t="b">
        <v>0</v>
      </c>
    </row>
    <row r="327" spans="1:12" x14ac:dyDescent="0.3">
      <c r="A327" t="s">
        <v>461</v>
      </c>
      <c r="B327" t="s">
        <v>32</v>
      </c>
      <c r="C327" t="s">
        <v>86</v>
      </c>
      <c r="D327">
        <v>40</v>
      </c>
      <c r="E327" t="s">
        <v>258</v>
      </c>
      <c r="F327" t="s">
        <v>28</v>
      </c>
      <c r="G327" s="1">
        <v>44835</v>
      </c>
      <c r="H327">
        <v>82258.03</v>
      </c>
      <c r="I327" t="s">
        <v>213</v>
      </c>
      <c r="J327">
        <v>-6790422710</v>
      </c>
      <c r="K327" t="s">
        <v>18</v>
      </c>
      <c r="L327" t="b">
        <v>1</v>
      </c>
    </row>
    <row r="328" spans="1:12" x14ac:dyDescent="0.3">
      <c r="A328" t="s">
        <v>462</v>
      </c>
      <c r="B328" t="s">
        <v>36</v>
      </c>
      <c r="C328" t="s">
        <v>37</v>
      </c>
      <c r="D328">
        <v>30</v>
      </c>
      <c r="E328" t="s">
        <v>27</v>
      </c>
      <c r="F328" t="s">
        <v>28</v>
      </c>
      <c r="G328" s="1">
        <v>44831</v>
      </c>
      <c r="H328">
        <v>62883.34</v>
      </c>
      <c r="I328" t="s">
        <v>39</v>
      </c>
      <c r="J328">
        <v>-3322889856</v>
      </c>
      <c r="K328" t="s">
        <v>18</v>
      </c>
      <c r="L328" t="b">
        <v>0</v>
      </c>
    </row>
    <row r="329" spans="1:12" x14ac:dyDescent="0.3">
      <c r="A329" t="s">
        <v>463</v>
      </c>
      <c r="B329" t="s">
        <v>25</v>
      </c>
      <c r="C329" t="s">
        <v>14</v>
      </c>
      <c r="E329" t="s">
        <v>141</v>
      </c>
      <c r="F329" t="s">
        <v>28</v>
      </c>
      <c r="G329" s="1">
        <v>43930</v>
      </c>
      <c r="H329">
        <v>103503.72</v>
      </c>
      <c r="I329" t="s">
        <v>143</v>
      </c>
      <c r="J329">
        <v>-2545960632</v>
      </c>
      <c r="K329" t="s">
        <v>18</v>
      </c>
      <c r="L329" t="b">
        <v>1</v>
      </c>
    </row>
    <row r="330" spans="1:12" x14ac:dyDescent="0.3">
      <c r="A330" t="s">
        <v>464</v>
      </c>
      <c r="B330" t="s">
        <v>57</v>
      </c>
      <c r="C330" t="s">
        <v>42</v>
      </c>
      <c r="D330">
        <v>25</v>
      </c>
      <c r="E330" t="s">
        <v>54</v>
      </c>
      <c r="F330" t="s">
        <v>16</v>
      </c>
      <c r="G330" s="1">
        <v>44278</v>
      </c>
      <c r="H330">
        <v>85401.3</v>
      </c>
      <c r="I330" t="s">
        <v>94</v>
      </c>
      <c r="J330">
        <v>-9912971023</v>
      </c>
      <c r="K330" t="s">
        <v>40</v>
      </c>
      <c r="L330" t="b">
        <v>1</v>
      </c>
    </row>
    <row r="331" spans="1:12" x14ac:dyDescent="0.3">
      <c r="A331" t="s">
        <v>465</v>
      </c>
      <c r="B331" t="s">
        <v>63</v>
      </c>
      <c r="C331" t="s">
        <v>42</v>
      </c>
      <c r="D331">
        <v>40</v>
      </c>
      <c r="E331" t="s">
        <v>141</v>
      </c>
      <c r="F331" t="s">
        <v>28</v>
      </c>
      <c r="G331" s="1">
        <v>44960</v>
      </c>
      <c r="H331" t="s">
        <v>223</v>
      </c>
      <c r="I331" t="s">
        <v>209</v>
      </c>
      <c r="J331">
        <v>-8171752420</v>
      </c>
      <c r="K331" t="s">
        <v>23</v>
      </c>
      <c r="L331" t="b">
        <v>0</v>
      </c>
    </row>
    <row r="332" spans="1:12" x14ac:dyDescent="0.3">
      <c r="A332" t="s">
        <v>466</v>
      </c>
      <c r="B332" t="s">
        <v>32</v>
      </c>
      <c r="C332" t="s">
        <v>111</v>
      </c>
      <c r="E332" t="s">
        <v>126</v>
      </c>
      <c r="F332" t="s">
        <v>28</v>
      </c>
      <c r="G332" s="1">
        <v>45496</v>
      </c>
      <c r="H332">
        <v>98850.14</v>
      </c>
      <c r="I332" t="s">
        <v>384</v>
      </c>
      <c r="J332">
        <v>-4955112746</v>
      </c>
      <c r="K332" t="s">
        <v>40</v>
      </c>
      <c r="L332" t="b">
        <v>0</v>
      </c>
    </row>
    <row r="333" spans="1:12" x14ac:dyDescent="0.3">
      <c r="A333" t="s">
        <v>467</v>
      </c>
      <c r="B333" t="s">
        <v>52</v>
      </c>
      <c r="C333" t="s">
        <v>111</v>
      </c>
      <c r="D333">
        <v>25</v>
      </c>
      <c r="E333" t="s">
        <v>89</v>
      </c>
      <c r="F333" t="s">
        <v>16</v>
      </c>
      <c r="G333" s="1">
        <v>44324</v>
      </c>
      <c r="H333">
        <v>63435.24</v>
      </c>
      <c r="I333" t="s">
        <v>167</v>
      </c>
      <c r="J333">
        <v>-4721970545</v>
      </c>
      <c r="K333" t="s">
        <v>40</v>
      </c>
      <c r="L333" t="b">
        <v>0</v>
      </c>
    </row>
    <row r="334" spans="1:12" x14ac:dyDescent="0.3">
      <c r="A334" t="s">
        <v>468</v>
      </c>
      <c r="B334" t="s">
        <v>36</v>
      </c>
      <c r="C334" t="s">
        <v>20</v>
      </c>
      <c r="D334">
        <v>35</v>
      </c>
      <c r="E334" t="s">
        <v>21</v>
      </c>
      <c r="F334" t="s">
        <v>33</v>
      </c>
      <c r="G334" s="1">
        <v>44662</v>
      </c>
      <c r="H334">
        <v>82129.84</v>
      </c>
      <c r="I334" t="s">
        <v>198</v>
      </c>
      <c r="J334">
        <v>-6927589550</v>
      </c>
      <c r="K334" t="s">
        <v>18</v>
      </c>
      <c r="L334" t="b">
        <v>0</v>
      </c>
    </row>
    <row r="335" spans="1:12" x14ac:dyDescent="0.3">
      <c r="A335" t="s">
        <v>469</v>
      </c>
      <c r="B335" t="s">
        <v>57</v>
      </c>
      <c r="C335" t="s">
        <v>37</v>
      </c>
      <c r="D335">
        <v>35</v>
      </c>
      <c r="E335" t="s">
        <v>197</v>
      </c>
      <c r="F335" t="s">
        <v>28</v>
      </c>
      <c r="G335" s="1">
        <v>45588</v>
      </c>
      <c r="H335">
        <v>95492.61</v>
      </c>
      <c r="I335" t="s">
        <v>59</v>
      </c>
      <c r="J335">
        <v>-6874090379</v>
      </c>
      <c r="K335" t="s">
        <v>30</v>
      </c>
      <c r="L335" t="b">
        <v>0</v>
      </c>
    </row>
    <row r="336" spans="1:12" x14ac:dyDescent="0.3">
      <c r="A336" t="s">
        <v>470</v>
      </c>
      <c r="B336" t="s">
        <v>67</v>
      </c>
      <c r="C336" t="s">
        <v>86</v>
      </c>
      <c r="D336">
        <v>40</v>
      </c>
      <c r="E336" t="s">
        <v>215</v>
      </c>
      <c r="F336" t="s">
        <v>33</v>
      </c>
      <c r="G336" s="1">
        <v>43945</v>
      </c>
      <c r="H336">
        <v>94572.37</v>
      </c>
      <c r="I336" t="s">
        <v>147</v>
      </c>
      <c r="J336">
        <v>-2146296135</v>
      </c>
      <c r="K336" t="s">
        <v>30</v>
      </c>
      <c r="L336" t="b">
        <v>0</v>
      </c>
    </row>
    <row r="337" spans="1:12" x14ac:dyDescent="0.3">
      <c r="A337" t="s">
        <v>471</v>
      </c>
      <c r="B337" t="s">
        <v>13</v>
      </c>
      <c r="C337" t="s">
        <v>42</v>
      </c>
      <c r="D337">
        <v>40</v>
      </c>
      <c r="E337" t="s">
        <v>93</v>
      </c>
      <c r="F337" t="s">
        <v>33</v>
      </c>
      <c r="G337" s="1">
        <v>44989</v>
      </c>
      <c r="H337">
        <v>118413.05</v>
      </c>
      <c r="I337" t="s">
        <v>136</v>
      </c>
      <c r="J337">
        <v>-7157787111</v>
      </c>
      <c r="K337" t="s">
        <v>40</v>
      </c>
      <c r="L337" t="b">
        <v>0</v>
      </c>
    </row>
    <row r="338" spans="1:12" x14ac:dyDescent="0.3">
      <c r="A338" t="s">
        <v>472</v>
      </c>
      <c r="B338" t="s">
        <v>25</v>
      </c>
      <c r="C338" t="s">
        <v>26</v>
      </c>
      <c r="D338">
        <v>30</v>
      </c>
      <c r="E338" t="s">
        <v>27</v>
      </c>
      <c r="F338" t="s">
        <v>28</v>
      </c>
      <c r="G338" s="1">
        <v>44804</v>
      </c>
      <c r="H338">
        <v>68976.649999999994</v>
      </c>
      <c r="I338" t="s">
        <v>29</v>
      </c>
      <c r="J338">
        <v>-1663651558</v>
      </c>
      <c r="K338" t="s">
        <v>40</v>
      </c>
      <c r="L338" t="b">
        <v>1</v>
      </c>
    </row>
    <row r="339" spans="1:12" x14ac:dyDescent="0.3">
      <c r="A339" t="s">
        <v>473</v>
      </c>
      <c r="B339" t="s">
        <v>32</v>
      </c>
      <c r="C339" t="s">
        <v>37</v>
      </c>
      <c r="E339" t="s">
        <v>185</v>
      </c>
      <c r="F339" t="s">
        <v>16</v>
      </c>
      <c r="G339" s="1">
        <v>44198</v>
      </c>
      <c r="H339">
        <v>115013.65</v>
      </c>
      <c r="I339" t="s">
        <v>127</v>
      </c>
      <c r="J339">
        <v>-7371470826</v>
      </c>
      <c r="K339" t="s">
        <v>18</v>
      </c>
      <c r="L339" t="b">
        <v>0</v>
      </c>
    </row>
    <row r="340" spans="1:12" x14ac:dyDescent="0.3">
      <c r="A340" t="s">
        <v>474</v>
      </c>
      <c r="B340" t="s">
        <v>57</v>
      </c>
      <c r="C340" t="s">
        <v>20</v>
      </c>
      <c r="E340" t="s">
        <v>27</v>
      </c>
      <c r="F340" t="s">
        <v>33</v>
      </c>
      <c r="G340" s="1">
        <v>43988</v>
      </c>
      <c r="H340">
        <v>70949.38</v>
      </c>
      <c r="I340" t="s">
        <v>188</v>
      </c>
      <c r="J340">
        <v>-2359096055</v>
      </c>
      <c r="K340" t="s">
        <v>40</v>
      </c>
      <c r="L340" t="b">
        <v>1</v>
      </c>
    </row>
    <row r="341" spans="1:12" x14ac:dyDescent="0.3">
      <c r="A341" t="s">
        <v>475</v>
      </c>
      <c r="B341" t="s">
        <v>67</v>
      </c>
      <c r="C341" t="s">
        <v>20</v>
      </c>
      <c r="E341" t="s">
        <v>180</v>
      </c>
      <c r="F341" t="s">
        <v>28</v>
      </c>
      <c r="G341" s="1">
        <v>44117</v>
      </c>
      <c r="H341">
        <v>105334.87</v>
      </c>
      <c r="I341" t="s">
        <v>173</v>
      </c>
      <c r="J341">
        <v>-7303064420</v>
      </c>
      <c r="K341" t="s">
        <v>18</v>
      </c>
      <c r="L341" t="b">
        <v>0</v>
      </c>
    </row>
    <row r="342" spans="1:12" x14ac:dyDescent="0.3">
      <c r="A342" t="s">
        <v>476</v>
      </c>
      <c r="B342" t="s">
        <v>13</v>
      </c>
      <c r="C342" t="s">
        <v>37</v>
      </c>
      <c r="E342" t="s">
        <v>15</v>
      </c>
      <c r="F342" t="s">
        <v>16</v>
      </c>
      <c r="G342" s="1">
        <v>44031</v>
      </c>
      <c r="H342">
        <v>80596.179999999993</v>
      </c>
      <c r="I342" t="s">
        <v>129</v>
      </c>
      <c r="J342">
        <v>-2146147682</v>
      </c>
      <c r="K342" t="s">
        <v>30</v>
      </c>
      <c r="L342" t="b">
        <v>0</v>
      </c>
    </row>
    <row r="343" spans="1:12" x14ac:dyDescent="0.3">
      <c r="A343" t="s">
        <v>477</v>
      </c>
      <c r="B343" t="s">
        <v>36</v>
      </c>
      <c r="C343" t="s">
        <v>20</v>
      </c>
      <c r="E343" t="s">
        <v>91</v>
      </c>
      <c r="F343" t="s">
        <v>33</v>
      </c>
      <c r="G343" s="1">
        <v>45415</v>
      </c>
      <c r="H343">
        <v>72846.37</v>
      </c>
      <c r="I343" t="s">
        <v>198</v>
      </c>
      <c r="J343">
        <v>-4201654234</v>
      </c>
      <c r="K343" t="s">
        <v>30</v>
      </c>
      <c r="L343" t="b">
        <v>1</v>
      </c>
    </row>
    <row r="344" spans="1:12" x14ac:dyDescent="0.3">
      <c r="A344" t="s">
        <v>478</v>
      </c>
      <c r="B344" t="s">
        <v>63</v>
      </c>
      <c r="C344" t="s">
        <v>37</v>
      </c>
      <c r="D344">
        <v>40</v>
      </c>
      <c r="E344" t="s">
        <v>108</v>
      </c>
      <c r="F344" t="s">
        <v>28</v>
      </c>
      <c r="G344" s="1">
        <v>44599</v>
      </c>
      <c r="H344">
        <v>80229.36</v>
      </c>
      <c r="I344" t="s">
        <v>65</v>
      </c>
      <c r="J344">
        <v>-6778265959</v>
      </c>
      <c r="K344" t="s">
        <v>23</v>
      </c>
      <c r="L344" t="b">
        <v>0</v>
      </c>
    </row>
    <row r="345" spans="1:12" x14ac:dyDescent="0.3">
      <c r="A345" t="s">
        <v>479</v>
      </c>
      <c r="B345" t="s">
        <v>67</v>
      </c>
      <c r="C345" t="s">
        <v>53</v>
      </c>
      <c r="D345">
        <v>25</v>
      </c>
      <c r="E345" t="s">
        <v>155</v>
      </c>
      <c r="F345" t="s">
        <v>16</v>
      </c>
      <c r="G345" s="1">
        <v>45291</v>
      </c>
      <c r="H345">
        <v>55145.47</v>
      </c>
      <c r="I345" t="s">
        <v>116</v>
      </c>
      <c r="J345">
        <v>-8931992549</v>
      </c>
      <c r="K345" t="s">
        <v>30</v>
      </c>
      <c r="L345" t="b">
        <v>0</v>
      </c>
    </row>
    <row r="346" spans="1:12" x14ac:dyDescent="0.3">
      <c r="A346" t="s">
        <v>480</v>
      </c>
      <c r="B346" t="s">
        <v>67</v>
      </c>
      <c r="C346" t="s">
        <v>37</v>
      </c>
      <c r="D346">
        <v>30</v>
      </c>
      <c r="E346" t="s">
        <v>192</v>
      </c>
      <c r="F346" t="s">
        <v>33</v>
      </c>
      <c r="G346" s="1">
        <v>44569</v>
      </c>
      <c r="H346" t="s">
        <v>223</v>
      </c>
      <c r="I346" t="s">
        <v>69</v>
      </c>
      <c r="J346">
        <v>-2727516479</v>
      </c>
      <c r="K346" t="s">
        <v>40</v>
      </c>
      <c r="L346" t="b">
        <v>1</v>
      </c>
    </row>
    <row r="347" spans="1:12" x14ac:dyDescent="0.3">
      <c r="A347" t="s">
        <v>481</v>
      </c>
      <c r="B347" t="s">
        <v>32</v>
      </c>
      <c r="C347" t="s">
        <v>14</v>
      </c>
      <c r="D347">
        <v>40</v>
      </c>
      <c r="E347" t="s">
        <v>131</v>
      </c>
      <c r="F347" t="s">
        <v>16</v>
      </c>
      <c r="G347" s="1">
        <v>44102</v>
      </c>
      <c r="H347">
        <v>56110.81</v>
      </c>
      <c r="I347" t="s">
        <v>34</v>
      </c>
      <c r="J347">
        <v>-7279103367</v>
      </c>
      <c r="K347" t="s">
        <v>30</v>
      </c>
      <c r="L347" t="b">
        <v>0</v>
      </c>
    </row>
    <row r="348" spans="1:12" x14ac:dyDescent="0.3">
      <c r="A348" t="s">
        <v>482</v>
      </c>
      <c r="B348" t="s">
        <v>67</v>
      </c>
      <c r="C348" t="s">
        <v>37</v>
      </c>
      <c r="D348">
        <v>25</v>
      </c>
      <c r="E348" t="s">
        <v>141</v>
      </c>
      <c r="F348" t="s">
        <v>33</v>
      </c>
      <c r="G348" s="1">
        <v>44966</v>
      </c>
      <c r="H348">
        <v>56514.5</v>
      </c>
      <c r="I348" t="s">
        <v>69</v>
      </c>
      <c r="J348">
        <v>-2963533904</v>
      </c>
      <c r="K348" t="s">
        <v>18</v>
      </c>
      <c r="L348" t="b">
        <v>0</v>
      </c>
    </row>
    <row r="349" spans="1:12" x14ac:dyDescent="0.3">
      <c r="A349" t="s">
        <v>483</v>
      </c>
      <c r="B349" t="s">
        <v>36</v>
      </c>
      <c r="C349" t="s">
        <v>20</v>
      </c>
      <c r="D349">
        <v>40</v>
      </c>
      <c r="E349" t="s">
        <v>217</v>
      </c>
      <c r="F349" t="s">
        <v>33</v>
      </c>
      <c r="G349" s="1">
        <v>44625</v>
      </c>
      <c r="H349">
        <v>104541.84</v>
      </c>
      <c r="I349" t="s">
        <v>198</v>
      </c>
      <c r="J349">
        <v>-5044817765</v>
      </c>
      <c r="K349" t="s">
        <v>30</v>
      </c>
      <c r="L349" t="b">
        <v>0</v>
      </c>
    </row>
    <row r="350" spans="1:12" x14ac:dyDescent="0.3">
      <c r="A350" t="s">
        <v>484</v>
      </c>
      <c r="B350" t="s">
        <v>57</v>
      </c>
      <c r="C350" t="s">
        <v>42</v>
      </c>
      <c r="E350" t="s">
        <v>100</v>
      </c>
      <c r="F350" t="s">
        <v>28</v>
      </c>
      <c r="G350" s="1">
        <v>44610</v>
      </c>
      <c r="H350">
        <v>61865.120000000003</v>
      </c>
      <c r="I350" t="s">
        <v>94</v>
      </c>
      <c r="J350">
        <v>-5586851275</v>
      </c>
      <c r="K350" t="s">
        <v>23</v>
      </c>
      <c r="L350" t="b">
        <v>1</v>
      </c>
    </row>
    <row r="351" spans="1:12" x14ac:dyDescent="0.3">
      <c r="A351" t="s">
        <v>485</v>
      </c>
      <c r="B351" t="s">
        <v>32</v>
      </c>
      <c r="C351" t="s">
        <v>14</v>
      </c>
      <c r="D351">
        <v>40</v>
      </c>
      <c r="E351" t="s">
        <v>96</v>
      </c>
      <c r="F351" t="s">
        <v>16</v>
      </c>
      <c r="G351" s="1">
        <v>44721</v>
      </c>
      <c r="H351">
        <v>69317.33</v>
      </c>
      <c r="I351" t="s">
        <v>34</v>
      </c>
      <c r="J351">
        <v>-5289286645</v>
      </c>
      <c r="K351" t="s">
        <v>30</v>
      </c>
      <c r="L351" t="b">
        <v>0</v>
      </c>
    </row>
    <row r="352" spans="1:12" x14ac:dyDescent="0.3">
      <c r="A352" t="s">
        <v>486</v>
      </c>
      <c r="B352" t="s">
        <v>13</v>
      </c>
      <c r="C352" t="s">
        <v>20</v>
      </c>
      <c r="D352">
        <v>35</v>
      </c>
      <c r="E352" t="s">
        <v>64</v>
      </c>
      <c r="F352" t="s">
        <v>28</v>
      </c>
      <c r="G352" s="1">
        <v>45111</v>
      </c>
      <c r="H352">
        <v>84706.17</v>
      </c>
      <c r="I352" t="s">
        <v>22</v>
      </c>
      <c r="J352">
        <v>-4911110960</v>
      </c>
      <c r="K352" t="s">
        <v>18</v>
      </c>
      <c r="L352" t="b">
        <v>0</v>
      </c>
    </row>
    <row r="353" spans="1:12" x14ac:dyDescent="0.3">
      <c r="A353" t="s">
        <v>487</v>
      </c>
      <c r="B353" t="s">
        <v>63</v>
      </c>
      <c r="C353" t="s">
        <v>111</v>
      </c>
      <c r="D353">
        <v>25</v>
      </c>
      <c r="E353" t="s">
        <v>108</v>
      </c>
      <c r="F353" t="s">
        <v>16</v>
      </c>
      <c r="G353" s="1">
        <v>44641</v>
      </c>
      <c r="H353">
        <v>73255.210000000006</v>
      </c>
      <c r="I353" t="s">
        <v>284</v>
      </c>
      <c r="J353">
        <v>-7981789045</v>
      </c>
      <c r="K353" t="s">
        <v>18</v>
      </c>
      <c r="L353" t="b">
        <v>0</v>
      </c>
    </row>
    <row r="354" spans="1:12" x14ac:dyDescent="0.3">
      <c r="A354" t="s">
        <v>488</v>
      </c>
      <c r="B354" t="s">
        <v>36</v>
      </c>
      <c r="C354" t="s">
        <v>111</v>
      </c>
      <c r="D354">
        <v>40</v>
      </c>
      <c r="E354" t="s">
        <v>180</v>
      </c>
      <c r="F354" t="s">
        <v>28</v>
      </c>
      <c r="G354" s="1">
        <v>45048</v>
      </c>
      <c r="H354">
        <v>59528.71</v>
      </c>
      <c r="I354" t="s">
        <v>124</v>
      </c>
      <c r="J354">
        <v>-3378613714</v>
      </c>
      <c r="K354" t="s">
        <v>40</v>
      </c>
      <c r="L354" t="b">
        <v>0</v>
      </c>
    </row>
    <row r="355" spans="1:12" x14ac:dyDescent="0.3">
      <c r="A355" t="s">
        <v>489</v>
      </c>
      <c r="B355" t="s">
        <v>57</v>
      </c>
      <c r="C355" t="s">
        <v>42</v>
      </c>
      <c r="D355">
        <v>40</v>
      </c>
      <c r="E355" t="s">
        <v>64</v>
      </c>
      <c r="F355" t="s">
        <v>33</v>
      </c>
      <c r="G355" s="1">
        <v>44484</v>
      </c>
      <c r="H355">
        <v>70401.37</v>
      </c>
      <c r="I355" t="s">
        <v>94</v>
      </c>
      <c r="J355">
        <v>-7660538443</v>
      </c>
      <c r="K355" t="s">
        <v>30</v>
      </c>
      <c r="L355" t="b">
        <v>1</v>
      </c>
    </row>
    <row r="356" spans="1:12" x14ac:dyDescent="0.3">
      <c r="A356" t="s">
        <v>490</v>
      </c>
      <c r="B356" t="s">
        <v>63</v>
      </c>
      <c r="C356" t="s">
        <v>42</v>
      </c>
      <c r="E356" t="s">
        <v>108</v>
      </c>
      <c r="F356" t="s">
        <v>33</v>
      </c>
      <c r="G356" s="1">
        <v>44405</v>
      </c>
      <c r="H356">
        <v>107154.62</v>
      </c>
      <c r="I356" t="s">
        <v>209</v>
      </c>
      <c r="J356">
        <v>-4630600024</v>
      </c>
      <c r="K356" t="s">
        <v>18</v>
      </c>
      <c r="L356" t="b">
        <v>1</v>
      </c>
    </row>
    <row r="357" spans="1:12" x14ac:dyDescent="0.3">
      <c r="A357" t="s">
        <v>491</v>
      </c>
      <c r="B357" t="s">
        <v>13</v>
      </c>
      <c r="C357" t="s">
        <v>14</v>
      </c>
      <c r="E357" t="s">
        <v>83</v>
      </c>
      <c r="F357" t="s">
        <v>28</v>
      </c>
      <c r="G357" s="1">
        <v>44199</v>
      </c>
      <c r="H357">
        <v>97719.88</v>
      </c>
      <c r="I357" t="s">
        <v>17</v>
      </c>
      <c r="J357">
        <v>-8955296385</v>
      </c>
      <c r="K357" t="s">
        <v>23</v>
      </c>
      <c r="L357" t="b">
        <v>0</v>
      </c>
    </row>
    <row r="358" spans="1:12" x14ac:dyDescent="0.3">
      <c r="A358" t="s">
        <v>492</v>
      </c>
      <c r="B358" t="s">
        <v>63</v>
      </c>
      <c r="C358" t="s">
        <v>53</v>
      </c>
      <c r="D358">
        <v>30</v>
      </c>
      <c r="E358" t="s">
        <v>68</v>
      </c>
      <c r="F358" t="s">
        <v>28</v>
      </c>
      <c r="G358" s="1">
        <v>43972</v>
      </c>
      <c r="H358">
        <v>107327.59</v>
      </c>
      <c r="I358" t="s">
        <v>104</v>
      </c>
      <c r="J358">
        <v>-3960962625</v>
      </c>
      <c r="K358" t="s">
        <v>40</v>
      </c>
      <c r="L358" t="b">
        <v>0</v>
      </c>
    </row>
    <row r="359" spans="1:12" x14ac:dyDescent="0.3">
      <c r="A359" t="s">
        <v>493</v>
      </c>
      <c r="B359" t="s">
        <v>67</v>
      </c>
      <c r="C359" t="s">
        <v>42</v>
      </c>
      <c r="D359">
        <v>40</v>
      </c>
      <c r="E359" t="s">
        <v>27</v>
      </c>
      <c r="F359" t="s">
        <v>33</v>
      </c>
      <c r="G359" s="1">
        <v>44326</v>
      </c>
      <c r="H359">
        <v>67687.72</v>
      </c>
      <c r="I359" t="s">
        <v>78</v>
      </c>
      <c r="J359">
        <v>-5826312818</v>
      </c>
      <c r="K359" t="s">
        <v>23</v>
      </c>
      <c r="L359" t="b">
        <v>1</v>
      </c>
    </row>
    <row r="360" spans="1:12" x14ac:dyDescent="0.3">
      <c r="A360" t="s">
        <v>494</v>
      </c>
      <c r="B360" t="s">
        <v>67</v>
      </c>
      <c r="C360" t="s">
        <v>111</v>
      </c>
      <c r="D360">
        <v>40</v>
      </c>
      <c r="E360" t="s">
        <v>38</v>
      </c>
      <c r="F360" t="s">
        <v>28</v>
      </c>
      <c r="G360" s="1">
        <v>44812</v>
      </c>
      <c r="H360">
        <v>90757.08</v>
      </c>
      <c r="I360" t="s">
        <v>122</v>
      </c>
      <c r="J360">
        <v>-6482531105</v>
      </c>
      <c r="K360" t="s">
        <v>30</v>
      </c>
      <c r="L360" t="b">
        <v>1</v>
      </c>
    </row>
    <row r="361" spans="1:12" x14ac:dyDescent="0.3">
      <c r="A361" t="s">
        <v>495</v>
      </c>
      <c r="B361" t="s">
        <v>67</v>
      </c>
      <c r="C361" t="s">
        <v>37</v>
      </c>
      <c r="E361" t="s">
        <v>217</v>
      </c>
      <c r="F361" t="s">
        <v>28</v>
      </c>
      <c r="G361" s="1">
        <v>45494</v>
      </c>
      <c r="H361">
        <v>87583.42</v>
      </c>
      <c r="I361" t="s">
        <v>69</v>
      </c>
      <c r="J361">
        <v>-920981959</v>
      </c>
      <c r="K361" t="s">
        <v>30</v>
      </c>
      <c r="L361" t="b">
        <v>0</v>
      </c>
    </row>
    <row r="362" spans="1:12" x14ac:dyDescent="0.3">
      <c r="A362" t="s">
        <v>496</v>
      </c>
      <c r="B362" t="s">
        <v>13</v>
      </c>
      <c r="C362" t="s">
        <v>20</v>
      </c>
      <c r="D362">
        <v>25</v>
      </c>
      <c r="E362" t="s">
        <v>27</v>
      </c>
      <c r="F362" t="s">
        <v>28</v>
      </c>
      <c r="G362" s="1">
        <v>44558</v>
      </c>
      <c r="H362">
        <v>61643.69</v>
      </c>
      <c r="I362" t="s">
        <v>22</v>
      </c>
      <c r="J362">
        <v>-2752334382</v>
      </c>
      <c r="K362" t="s">
        <v>30</v>
      </c>
      <c r="L362" t="b">
        <v>1</v>
      </c>
    </row>
    <row r="363" spans="1:12" x14ac:dyDescent="0.3">
      <c r="A363" t="s">
        <v>497</v>
      </c>
      <c r="B363" t="s">
        <v>67</v>
      </c>
      <c r="C363" t="s">
        <v>111</v>
      </c>
      <c r="D363">
        <v>35</v>
      </c>
      <c r="E363" t="s">
        <v>21</v>
      </c>
      <c r="F363" t="s">
        <v>16</v>
      </c>
      <c r="G363" s="1">
        <v>44032</v>
      </c>
      <c r="H363">
        <v>68111.69</v>
      </c>
      <c r="I363" t="s">
        <v>122</v>
      </c>
      <c r="J363">
        <v>-6404120910</v>
      </c>
      <c r="K363" t="s">
        <v>40</v>
      </c>
      <c r="L363" t="b">
        <v>0</v>
      </c>
    </row>
    <row r="364" spans="1:12" x14ac:dyDescent="0.3">
      <c r="A364" t="s">
        <v>498</v>
      </c>
      <c r="B364" t="s">
        <v>57</v>
      </c>
      <c r="C364" t="s">
        <v>111</v>
      </c>
      <c r="D364">
        <v>40</v>
      </c>
      <c r="E364" t="s">
        <v>180</v>
      </c>
      <c r="F364" t="s">
        <v>33</v>
      </c>
      <c r="G364" s="1">
        <v>45412</v>
      </c>
      <c r="H364">
        <v>97568.88</v>
      </c>
      <c r="I364" t="s">
        <v>266</v>
      </c>
      <c r="J364">
        <v>-7911244210</v>
      </c>
      <c r="K364" t="s">
        <v>18</v>
      </c>
      <c r="L364" t="b">
        <v>1</v>
      </c>
    </row>
    <row r="365" spans="1:12" x14ac:dyDescent="0.3">
      <c r="A365" t="s">
        <v>499</v>
      </c>
      <c r="B365" t="s">
        <v>52</v>
      </c>
      <c r="C365" t="s">
        <v>53</v>
      </c>
      <c r="D365">
        <v>35</v>
      </c>
      <c r="E365" t="s">
        <v>38</v>
      </c>
      <c r="F365" t="s">
        <v>16</v>
      </c>
      <c r="G365" s="1">
        <v>44436</v>
      </c>
      <c r="H365">
        <v>79118.28</v>
      </c>
      <c r="I365" t="s">
        <v>55</v>
      </c>
      <c r="J365">
        <v>-7536170616</v>
      </c>
      <c r="K365" t="s">
        <v>40</v>
      </c>
      <c r="L365" t="b">
        <v>1</v>
      </c>
    </row>
    <row r="366" spans="1:12" x14ac:dyDescent="0.3">
      <c r="A366" t="s">
        <v>500</v>
      </c>
      <c r="B366" t="s">
        <v>13</v>
      </c>
      <c r="C366" t="s">
        <v>14</v>
      </c>
      <c r="D366">
        <v>30</v>
      </c>
      <c r="E366" t="s">
        <v>131</v>
      </c>
      <c r="F366" t="s">
        <v>33</v>
      </c>
      <c r="G366" s="1">
        <v>44763</v>
      </c>
      <c r="H366">
        <v>104898.9</v>
      </c>
      <c r="I366" t="s">
        <v>17</v>
      </c>
      <c r="J366">
        <v>-1366572239</v>
      </c>
      <c r="K366" t="s">
        <v>23</v>
      </c>
      <c r="L366" t="b">
        <v>1</v>
      </c>
    </row>
    <row r="367" spans="1:12" x14ac:dyDescent="0.3">
      <c r="A367" t="s">
        <v>501</v>
      </c>
      <c r="B367" t="s">
        <v>36</v>
      </c>
      <c r="C367" t="s">
        <v>14</v>
      </c>
      <c r="D367">
        <v>40</v>
      </c>
      <c r="E367" t="s">
        <v>38</v>
      </c>
      <c r="F367" t="s">
        <v>28</v>
      </c>
      <c r="G367" s="1">
        <v>45257</v>
      </c>
      <c r="H367">
        <v>81671.3</v>
      </c>
      <c r="I367" t="s">
        <v>50</v>
      </c>
      <c r="J367">
        <v>-2990155798</v>
      </c>
      <c r="K367" t="s">
        <v>40</v>
      </c>
      <c r="L367" t="b">
        <v>1</v>
      </c>
    </row>
    <row r="368" spans="1:12" x14ac:dyDescent="0.3">
      <c r="A368" t="s">
        <v>502</v>
      </c>
      <c r="B368" t="s">
        <v>25</v>
      </c>
      <c r="C368" t="s">
        <v>86</v>
      </c>
      <c r="D368">
        <v>25</v>
      </c>
      <c r="E368" t="s">
        <v>217</v>
      </c>
      <c r="F368" t="s">
        <v>28</v>
      </c>
      <c r="G368" s="1">
        <v>44054</v>
      </c>
      <c r="H368">
        <v>97399.75</v>
      </c>
      <c r="I368" t="s">
        <v>145</v>
      </c>
      <c r="J368">
        <v>-8028413907</v>
      </c>
      <c r="K368" t="s">
        <v>23</v>
      </c>
      <c r="L368" t="b">
        <v>0</v>
      </c>
    </row>
    <row r="369" spans="1:12" x14ac:dyDescent="0.3">
      <c r="A369" t="s">
        <v>503</v>
      </c>
      <c r="B369" t="s">
        <v>57</v>
      </c>
      <c r="C369" t="s">
        <v>53</v>
      </c>
      <c r="E369" t="s">
        <v>83</v>
      </c>
      <c r="F369" t="s">
        <v>16</v>
      </c>
      <c r="G369" s="1">
        <v>44508</v>
      </c>
      <c r="H369">
        <v>89189.43</v>
      </c>
      <c r="I369" t="s">
        <v>183</v>
      </c>
      <c r="J369">
        <v>-882351304</v>
      </c>
      <c r="K369" t="s">
        <v>40</v>
      </c>
      <c r="L369" t="b">
        <v>1</v>
      </c>
    </row>
    <row r="370" spans="1:12" x14ac:dyDescent="0.3">
      <c r="A370" t="s">
        <v>504</v>
      </c>
      <c r="B370" t="s">
        <v>57</v>
      </c>
      <c r="C370" t="s">
        <v>37</v>
      </c>
      <c r="D370">
        <v>40</v>
      </c>
      <c r="E370" t="s">
        <v>54</v>
      </c>
      <c r="F370" t="s">
        <v>16</v>
      </c>
      <c r="G370" s="1">
        <v>45142</v>
      </c>
      <c r="H370">
        <v>96011.55</v>
      </c>
      <c r="I370" t="s">
        <v>59</v>
      </c>
      <c r="J370">
        <v>-2312447314</v>
      </c>
      <c r="K370" t="s">
        <v>18</v>
      </c>
      <c r="L370" t="b">
        <v>1</v>
      </c>
    </row>
    <row r="371" spans="1:12" x14ac:dyDescent="0.3">
      <c r="A371" t="s">
        <v>505</v>
      </c>
      <c r="B371" t="s">
        <v>57</v>
      </c>
      <c r="C371" t="s">
        <v>14</v>
      </c>
      <c r="D371">
        <v>40</v>
      </c>
      <c r="E371" t="s">
        <v>72</v>
      </c>
      <c r="F371" t="s">
        <v>33</v>
      </c>
      <c r="G371" s="1">
        <v>43840</v>
      </c>
      <c r="H371">
        <v>99331.49</v>
      </c>
      <c r="I371" t="s">
        <v>61</v>
      </c>
      <c r="J371">
        <v>-8477686341</v>
      </c>
      <c r="K371" t="s">
        <v>23</v>
      </c>
      <c r="L371" t="b">
        <v>0</v>
      </c>
    </row>
    <row r="372" spans="1:12" x14ac:dyDescent="0.3">
      <c r="A372" t="s">
        <v>506</v>
      </c>
      <c r="B372" t="s">
        <v>13</v>
      </c>
      <c r="C372" t="s">
        <v>20</v>
      </c>
      <c r="E372" t="s">
        <v>89</v>
      </c>
      <c r="F372" t="s">
        <v>16</v>
      </c>
      <c r="G372" s="1">
        <v>44580</v>
      </c>
      <c r="H372">
        <v>72818.94</v>
      </c>
      <c r="I372" t="s">
        <v>22</v>
      </c>
      <c r="J372">
        <v>-3461994236</v>
      </c>
      <c r="K372" t="s">
        <v>30</v>
      </c>
      <c r="L372" t="b">
        <v>1</v>
      </c>
    </row>
    <row r="373" spans="1:12" x14ac:dyDescent="0.3">
      <c r="A373" t="s">
        <v>507</v>
      </c>
      <c r="B373" t="s">
        <v>32</v>
      </c>
      <c r="C373" t="s">
        <v>42</v>
      </c>
      <c r="D373">
        <v>40</v>
      </c>
      <c r="E373" t="s">
        <v>185</v>
      </c>
      <c r="F373" t="s">
        <v>33</v>
      </c>
      <c r="G373" s="1">
        <v>45053</v>
      </c>
      <c r="H373">
        <v>77204.75</v>
      </c>
      <c r="I373" t="s">
        <v>236</v>
      </c>
      <c r="J373">
        <v>-6769459195</v>
      </c>
      <c r="K373" t="s">
        <v>30</v>
      </c>
      <c r="L373" t="b">
        <v>1</v>
      </c>
    </row>
    <row r="374" spans="1:12" x14ac:dyDescent="0.3">
      <c r="A374" t="s">
        <v>508</v>
      </c>
      <c r="B374" t="s">
        <v>13</v>
      </c>
      <c r="C374" t="s">
        <v>53</v>
      </c>
      <c r="D374">
        <v>35</v>
      </c>
      <c r="E374" t="s">
        <v>180</v>
      </c>
      <c r="F374" t="s">
        <v>28</v>
      </c>
      <c r="G374" s="1">
        <v>44184</v>
      </c>
      <c r="H374">
        <v>106961.68</v>
      </c>
      <c r="I374" t="s">
        <v>171</v>
      </c>
      <c r="J374">
        <v>-6395517207</v>
      </c>
      <c r="K374" t="s">
        <v>40</v>
      </c>
      <c r="L374" t="b">
        <v>0</v>
      </c>
    </row>
    <row r="375" spans="1:12" x14ac:dyDescent="0.3">
      <c r="A375" t="s">
        <v>509</v>
      </c>
      <c r="B375" t="s">
        <v>32</v>
      </c>
      <c r="C375" t="s">
        <v>42</v>
      </c>
      <c r="E375" t="s">
        <v>43</v>
      </c>
      <c r="F375" t="s">
        <v>28</v>
      </c>
      <c r="G375" s="1">
        <v>44105</v>
      </c>
      <c r="H375">
        <v>71923</v>
      </c>
      <c r="I375" t="s">
        <v>236</v>
      </c>
      <c r="J375">
        <v>-4964985600</v>
      </c>
      <c r="K375" t="s">
        <v>30</v>
      </c>
      <c r="L375" t="b">
        <v>1</v>
      </c>
    </row>
    <row r="376" spans="1:12" x14ac:dyDescent="0.3">
      <c r="A376" t="s">
        <v>510</v>
      </c>
      <c r="B376" t="s">
        <v>13</v>
      </c>
      <c r="C376" t="s">
        <v>111</v>
      </c>
      <c r="D376">
        <v>30</v>
      </c>
      <c r="E376" t="s">
        <v>133</v>
      </c>
      <c r="F376" t="s">
        <v>16</v>
      </c>
      <c r="G376" s="1">
        <v>44877</v>
      </c>
      <c r="H376">
        <v>77192.429999999993</v>
      </c>
      <c r="I376" t="s">
        <v>112</v>
      </c>
      <c r="J376">
        <v>-2562531354</v>
      </c>
      <c r="K376" t="s">
        <v>23</v>
      </c>
      <c r="L376" t="b">
        <v>0</v>
      </c>
    </row>
    <row r="377" spans="1:12" x14ac:dyDescent="0.3">
      <c r="A377" t="s">
        <v>511</v>
      </c>
      <c r="B377" t="s">
        <v>67</v>
      </c>
      <c r="C377" t="s">
        <v>20</v>
      </c>
      <c r="D377">
        <v>40</v>
      </c>
      <c r="E377" t="s">
        <v>176</v>
      </c>
      <c r="F377" t="s">
        <v>28</v>
      </c>
      <c r="G377" s="1">
        <v>44931</v>
      </c>
      <c r="H377">
        <v>98540.3</v>
      </c>
      <c r="I377" t="s">
        <v>173</v>
      </c>
      <c r="J377">
        <v>-2510505378</v>
      </c>
      <c r="K377" t="s">
        <v>30</v>
      </c>
      <c r="L377" t="b">
        <v>0</v>
      </c>
    </row>
    <row r="378" spans="1:12" x14ac:dyDescent="0.3">
      <c r="A378" t="s">
        <v>512</v>
      </c>
      <c r="B378" t="s">
        <v>52</v>
      </c>
      <c r="C378" t="s">
        <v>20</v>
      </c>
      <c r="E378" t="s">
        <v>176</v>
      </c>
      <c r="F378" t="s">
        <v>33</v>
      </c>
      <c r="G378" s="1">
        <v>44118</v>
      </c>
      <c r="H378">
        <v>63096.9</v>
      </c>
      <c r="I378" t="s">
        <v>114</v>
      </c>
      <c r="J378">
        <v>-5381649382</v>
      </c>
      <c r="K378" t="s">
        <v>18</v>
      </c>
      <c r="L378" t="b">
        <v>0</v>
      </c>
    </row>
    <row r="379" spans="1:12" x14ac:dyDescent="0.3">
      <c r="A379" t="s">
        <v>513</v>
      </c>
      <c r="B379" t="s">
        <v>25</v>
      </c>
      <c r="C379" t="s">
        <v>111</v>
      </c>
      <c r="D379">
        <v>35</v>
      </c>
      <c r="E379" t="s">
        <v>38</v>
      </c>
      <c r="F379" t="s">
        <v>16</v>
      </c>
      <c r="G379" s="1">
        <v>44230</v>
      </c>
      <c r="H379">
        <v>107065.12</v>
      </c>
      <c r="I379" t="s">
        <v>159</v>
      </c>
      <c r="J379">
        <v>-1849196654</v>
      </c>
      <c r="K379" t="s">
        <v>18</v>
      </c>
      <c r="L379" t="b">
        <v>0</v>
      </c>
    </row>
    <row r="380" spans="1:12" x14ac:dyDescent="0.3">
      <c r="A380" t="s">
        <v>514</v>
      </c>
      <c r="B380" t="s">
        <v>63</v>
      </c>
      <c r="C380" t="s">
        <v>53</v>
      </c>
      <c r="D380">
        <v>40</v>
      </c>
      <c r="E380" t="s">
        <v>192</v>
      </c>
      <c r="F380" t="s">
        <v>33</v>
      </c>
      <c r="G380" s="1">
        <v>45285</v>
      </c>
      <c r="H380">
        <v>108792.43</v>
      </c>
      <c r="I380" t="s">
        <v>104</v>
      </c>
      <c r="J380">
        <v>-3307704610</v>
      </c>
      <c r="K380" t="s">
        <v>40</v>
      </c>
      <c r="L380" t="b">
        <v>1</v>
      </c>
    </row>
    <row r="381" spans="1:12" x14ac:dyDescent="0.3">
      <c r="A381" t="s">
        <v>515</v>
      </c>
      <c r="B381" t="s">
        <v>13</v>
      </c>
      <c r="C381" t="s">
        <v>111</v>
      </c>
      <c r="E381" t="s">
        <v>58</v>
      </c>
      <c r="F381" t="s">
        <v>33</v>
      </c>
      <c r="G381" s="1">
        <v>43897</v>
      </c>
      <c r="H381">
        <v>69239.7</v>
      </c>
      <c r="I381" t="s">
        <v>112</v>
      </c>
      <c r="J381">
        <v>-7295963903</v>
      </c>
      <c r="K381" t="s">
        <v>23</v>
      </c>
      <c r="L381" t="b">
        <v>0</v>
      </c>
    </row>
    <row r="382" spans="1:12" x14ac:dyDescent="0.3">
      <c r="A382" t="s">
        <v>516</v>
      </c>
      <c r="B382" t="s">
        <v>52</v>
      </c>
      <c r="C382" t="s">
        <v>42</v>
      </c>
      <c r="D382">
        <v>40</v>
      </c>
      <c r="E382" t="s">
        <v>185</v>
      </c>
      <c r="F382" t="s">
        <v>33</v>
      </c>
      <c r="G382" s="1">
        <v>44956</v>
      </c>
      <c r="H382">
        <v>85756.42</v>
      </c>
      <c r="I382" t="s">
        <v>81</v>
      </c>
      <c r="J382">
        <v>-907426087</v>
      </c>
      <c r="K382" t="s">
        <v>18</v>
      </c>
      <c r="L382" t="b">
        <v>1</v>
      </c>
    </row>
    <row r="383" spans="1:12" x14ac:dyDescent="0.3">
      <c r="A383" t="s">
        <v>517</v>
      </c>
      <c r="B383" t="s">
        <v>32</v>
      </c>
      <c r="C383" t="s">
        <v>86</v>
      </c>
      <c r="E383" t="s">
        <v>166</v>
      </c>
      <c r="F383" t="s">
        <v>16</v>
      </c>
      <c r="G383" s="1">
        <v>45387</v>
      </c>
      <c r="H383">
        <v>100328.62</v>
      </c>
      <c r="I383" t="s">
        <v>213</v>
      </c>
      <c r="J383">
        <v>-501716444</v>
      </c>
      <c r="K383" t="s">
        <v>18</v>
      </c>
      <c r="L383" t="b">
        <v>1</v>
      </c>
    </row>
    <row r="384" spans="1:12" x14ac:dyDescent="0.3">
      <c r="A384" t="s">
        <v>518</v>
      </c>
      <c r="B384" t="s">
        <v>67</v>
      </c>
      <c r="C384" t="s">
        <v>20</v>
      </c>
      <c r="D384">
        <v>25</v>
      </c>
      <c r="E384" t="s">
        <v>258</v>
      </c>
      <c r="F384" t="s">
        <v>16</v>
      </c>
      <c r="G384" s="1">
        <v>44440</v>
      </c>
      <c r="H384">
        <v>111236.69</v>
      </c>
      <c r="I384" t="s">
        <v>173</v>
      </c>
      <c r="J384">
        <v>-5618579063</v>
      </c>
      <c r="K384" t="s">
        <v>23</v>
      </c>
      <c r="L384" t="b">
        <v>1</v>
      </c>
    </row>
    <row r="385" spans="1:12" x14ac:dyDescent="0.3">
      <c r="A385" t="s">
        <v>519</v>
      </c>
      <c r="B385" t="s">
        <v>32</v>
      </c>
      <c r="C385" t="s">
        <v>26</v>
      </c>
      <c r="D385">
        <v>35</v>
      </c>
      <c r="E385" t="s">
        <v>38</v>
      </c>
      <c r="F385" t="s">
        <v>16</v>
      </c>
      <c r="G385" s="1">
        <v>45419</v>
      </c>
      <c r="H385">
        <v>106832.22</v>
      </c>
      <c r="I385" t="s">
        <v>224</v>
      </c>
      <c r="J385">
        <v>-7715910299</v>
      </c>
      <c r="K385" t="s">
        <v>30</v>
      </c>
      <c r="L385" t="b">
        <v>1</v>
      </c>
    </row>
    <row r="386" spans="1:12" x14ac:dyDescent="0.3">
      <c r="A386" t="s">
        <v>520</v>
      </c>
      <c r="B386" t="s">
        <v>36</v>
      </c>
      <c r="C386" t="s">
        <v>26</v>
      </c>
      <c r="E386" t="s">
        <v>192</v>
      </c>
      <c r="F386" t="s">
        <v>16</v>
      </c>
      <c r="G386" s="1">
        <v>45092</v>
      </c>
      <c r="H386">
        <v>59746.45</v>
      </c>
      <c r="I386" t="s">
        <v>46</v>
      </c>
      <c r="J386">
        <v>-2156321357</v>
      </c>
      <c r="K386" t="s">
        <v>30</v>
      </c>
      <c r="L386" t="b">
        <v>1</v>
      </c>
    </row>
    <row r="387" spans="1:12" x14ac:dyDescent="0.3">
      <c r="A387" t="s">
        <v>521</v>
      </c>
      <c r="B387" t="s">
        <v>57</v>
      </c>
      <c r="C387" t="s">
        <v>42</v>
      </c>
      <c r="D387">
        <v>25</v>
      </c>
      <c r="E387" t="s">
        <v>155</v>
      </c>
      <c r="F387" t="s">
        <v>28</v>
      </c>
      <c r="G387" s="1">
        <v>44406</v>
      </c>
      <c r="H387">
        <v>91780.04</v>
      </c>
      <c r="I387" t="s">
        <v>94</v>
      </c>
      <c r="J387">
        <v>-40104144</v>
      </c>
      <c r="K387" t="s">
        <v>40</v>
      </c>
      <c r="L387" t="b">
        <v>1</v>
      </c>
    </row>
    <row r="388" spans="1:12" x14ac:dyDescent="0.3">
      <c r="A388" t="s">
        <v>522</v>
      </c>
      <c r="B388" t="s">
        <v>32</v>
      </c>
      <c r="C388" t="s">
        <v>37</v>
      </c>
      <c r="D388">
        <v>35</v>
      </c>
      <c r="E388" t="s">
        <v>155</v>
      </c>
      <c r="F388" t="s">
        <v>28</v>
      </c>
      <c r="G388" s="1">
        <v>45222</v>
      </c>
      <c r="H388">
        <v>107062.66</v>
      </c>
      <c r="I388" t="s">
        <v>127</v>
      </c>
      <c r="J388">
        <v>-9642297124</v>
      </c>
      <c r="K388" t="s">
        <v>30</v>
      </c>
      <c r="L388" t="b">
        <v>1</v>
      </c>
    </row>
    <row r="389" spans="1:12" x14ac:dyDescent="0.3">
      <c r="A389" t="s">
        <v>523</v>
      </c>
      <c r="B389" t="s">
        <v>67</v>
      </c>
      <c r="C389" t="s">
        <v>14</v>
      </c>
      <c r="D389">
        <v>25</v>
      </c>
      <c r="E389" t="s">
        <v>133</v>
      </c>
      <c r="F389" t="s">
        <v>16</v>
      </c>
      <c r="G389" s="1">
        <v>45267</v>
      </c>
      <c r="H389">
        <v>110625.52</v>
      </c>
      <c r="I389" t="s">
        <v>195</v>
      </c>
      <c r="J389">
        <v>-2967188396</v>
      </c>
      <c r="K389" t="s">
        <v>23</v>
      </c>
      <c r="L389" t="b">
        <v>1</v>
      </c>
    </row>
    <row r="390" spans="1:12" x14ac:dyDescent="0.3">
      <c r="A390" t="s">
        <v>524</v>
      </c>
      <c r="B390" t="s">
        <v>36</v>
      </c>
      <c r="C390" t="s">
        <v>111</v>
      </c>
      <c r="D390">
        <v>30</v>
      </c>
      <c r="E390" t="s">
        <v>192</v>
      </c>
      <c r="F390" t="s">
        <v>33</v>
      </c>
      <c r="G390" s="1">
        <v>44122</v>
      </c>
      <c r="H390">
        <v>90419.79</v>
      </c>
      <c r="I390" t="s">
        <v>124</v>
      </c>
      <c r="J390">
        <v>-7457314414</v>
      </c>
      <c r="K390" t="s">
        <v>18</v>
      </c>
      <c r="L390" t="b">
        <v>1</v>
      </c>
    </row>
    <row r="391" spans="1:12" x14ac:dyDescent="0.3">
      <c r="A391" t="s">
        <v>525</v>
      </c>
      <c r="B391" t="s">
        <v>67</v>
      </c>
      <c r="C391" t="s">
        <v>111</v>
      </c>
      <c r="D391">
        <v>40</v>
      </c>
      <c r="E391" t="s">
        <v>21</v>
      </c>
      <c r="F391" t="s">
        <v>28</v>
      </c>
      <c r="G391" s="1">
        <v>45458</v>
      </c>
      <c r="H391">
        <v>111608.76</v>
      </c>
      <c r="I391" t="s">
        <v>122</v>
      </c>
      <c r="J391">
        <v>-8331170302</v>
      </c>
      <c r="K391" t="s">
        <v>30</v>
      </c>
      <c r="L391" t="b">
        <v>1</v>
      </c>
    </row>
    <row r="392" spans="1:12" x14ac:dyDescent="0.3">
      <c r="A392" t="s">
        <v>526</v>
      </c>
      <c r="B392" t="s">
        <v>32</v>
      </c>
      <c r="C392" t="s">
        <v>37</v>
      </c>
      <c r="D392">
        <v>35</v>
      </c>
      <c r="E392" t="s">
        <v>103</v>
      </c>
      <c r="F392" t="s">
        <v>33</v>
      </c>
      <c r="G392" s="1">
        <v>45022</v>
      </c>
      <c r="H392">
        <v>50173.120000000003</v>
      </c>
      <c r="I392" t="s">
        <v>127</v>
      </c>
      <c r="J392">
        <v>-7637153987</v>
      </c>
      <c r="K392" t="s">
        <v>40</v>
      </c>
      <c r="L392" t="b">
        <v>0</v>
      </c>
    </row>
    <row r="393" spans="1:12" x14ac:dyDescent="0.3">
      <c r="A393" t="s">
        <v>527</v>
      </c>
      <c r="B393" t="s">
        <v>13</v>
      </c>
      <c r="C393" t="s">
        <v>37</v>
      </c>
      <c r="D393">
        <v>40</v>
      </c>
      <c r="E393" t="s">
        <v>258</v>
      </c>
      <c r="F393" t="s">
        <v>28</v>
      </c>
      <c r="G393" s="1">
        <v>44564</v>
      </c>
      <c r="H393">
        <v>109507.44</v>
      </c>
      <c r="I393" t="s">
        <v>129</v>
      </c>
      <c r="J393">
        <v>-5472812355</v>
      </c>
      <c r="K393" t="s">
        <v>30</v>
      </c>
      <c r="L393" t="b">
        <v>0</v>
      </c>
    </row>
    <row r="394" spans="1:12" x14ac:dyDescent="0.3">
      <c r="A394" t="s">
        <v>528</v>
      </c>
      <c r="B394" t="s">
        <v>67</v>
      </c>
      <c r="C394" t="s">
        <v>42</v>
      </c>
      <c r="D394">
        <v>30</v>
      </c>
      <c r="E394" t="s">
        <v>190</v>
      </c>
      <c r="F394" t="s">
        <v>33</v>
      </c>
      <c r="G394" s="1">
        <v>44380</v>
      </c>
      <c r="H394">
        <v>72600.56</v>
      </c>
      <c r="I394" t="s">
        <v>78</v>
      </c>
      <c r="J394">
        <v>-7983631461</v>
      </c>
      <c r="K394" t="s">
        <v>23</v>
      </c>
      <c r="L394" t="b">
        <v>0</v>
      </c>
    </row>
    <row r="395" spans="1:12" x14ac:dyDescent="0.3">
      <c r="A395" t="s">
        <v>529</v>
      </c>
      <c r="B395" t="s">
        <v>52</v>
      </c>
      <c r="C395" t="s">
        <v>42</v>
      </c>
      <c r="E395" t="s">
        <v>68</v>
      </c>
      <c r="F395" t="s">
        <v>28</v>
      </c>
      <c r="G395" s="1">
        <v>45392</v>
      </c>
      <c r="H395">
        <v>53388.65</v>
      </c>
      <c r="I395" t="s">
        <v>81</v>
      </c>
      <c r="J395">
        <v>-4912711306</v>
      </c>
      <c r="K395" t="s">
        <v>40</v>
      </c>
      <c r="L395" t="b">
        <v>1</v>
      </c>
    </row>
    <row r="396" spans="1:12" x14ac:dyDescent="0.3">
      <c r="A396" t="s">
        <v>530</v>
      </c>
      <c r="B396" t="s">
        <v>63</v>
      </c>
      <c r="C396" t="s">
        <v>37</v>
      </c>
      <c r="D396">
        <v>25</v>
      </c>
      <c r="E396" t="s">
        <v>58</v>
      </c>
      <c r="F396" t="s">
        <v>33</v>
      </c>
      <c r="G396" s="1">
        <v>44765</v>
      </c>
      <c r="H396">
        <v>50047.32</v>
      </c>
      <c r="I396" t="s">
        <v>65</v>
      </c>
      <c r="J396">
        <v>-2407875417</v>
      </c>
      <c r="K396" t="s">
        <v>30</v>
      </c>
      <c r="L396" t="b">
        <v>0</v>
      </c>
    </row>
    <row r="397" spans="1:12" x14ac:dyDescent="0.3">
      <c r="A397" t="s">
        <v>531</v>
      </c>
      <c r="B397" t="s">
        <v>57</v>
      </c>
      <c r="C397" t="s">
        <v>20</v>
      </c>
      <c r="D397">
        <v>30</v>
      </c>
      <c r="E397" t="s">
        <v>15</v>
      </c>
      <c r="F397" t="s">
        <v>16</v>
      </c>
      <c r="G397" s="1">
        <v>45621</v>
      </c>
      <c r="H397">
        <v>115290.79</v>
      </c>
      <c r="I397" t="s">
        <v>188</v>
      </c>
      <c r="J397">
        <v>-1563268684</v>
      </c>
      <c r="K397" t="s">
        <v>40</v>
      </c>
      <c r="L397" t="b">
        <v>0</v>
      </c>
    </row>
    <row r="398" spans="1:12" x14ac:dyDescent="0.3">
      <c r="A398" t="s">
        <v>532</v>
      </c>
      <c r="B398" t="s">
        <v>36</v>
      </c>
      <c r="C398" t="s">
        <v>42</v>
      </c>
      <c r="D398">
        <v>35</v>
      </c>
      <c r="E398" t="s">
        <v>217</v>
      </c>
      <c r="F398" t="s">
        <v>28</v>
      </c>
      <c r="G398" s="1">
        <v>45159</v>
      </c>
      <c r="H398">
        <v>61586.76</v>
      </c>
      <c r="I398" t="s">
        <v>157</v>
      </c>
      <c r="J398">
        <v>-745106633</v>
      </c>
      <c r="K398" t="s">
        <v>23</v>
      </c>
      <c r="L398" t="b">
        <v>0</v>
      </c>
    </row>
    <row r="399" spans="1:12" x14ac:dyDescent="0.3">
      <c r="A399" t="s">
        <v>533</v>
      </c>
      <c r="B399" t="s">
        <v>32</v>
      </c>
      <c r="C399" t="s">
        <v>86</v>
      </c>
      <c r="D399">
        <v>30</v>
      </c>
      <c r="E399" t="s">
        <v>93</v>
      </c>
      <c r="F399" t="s">
        <v>16</v>
      </c>
      <c r="G399" s="1">
        <v>45272</v>
      </c>
      <c r="H399">
        <v>56662.86</v>
      </c>
      <c r="I399" t="s">
        <v>213</v>
      </c>
      <c r="J399">
        <v>-3629489785</v>
      </c>
      <c r="K399" t="s">
        <v>18</v>
      </c>
      <c r="L399" t="b">
        <v>1</v>
      </c>
    </row>
    <row r="400" spans="1:12" x14ac:dyDescent="0.3">
      <c r="A400" t="s">
        <v>534</v>
      </c>
      <c r="B400" t="s">
        <v>13</v>
      </c>
      <c r="C400" t="s">
        <v>42</v>
      </c>
      <c r="D400">
        <v>30</v>
      </c>
      <c r="E400" t="s">
        <v>100</v>
      </c>
      <c r="F400" t="s">
        <v>28</v>
      </c>
      <c r="G400" s="1">
        <v>45223</v>
      </c>
      <c r="H400" t="s">
        <v>223</v>
      </c>
      <c r="I400" t="s">
        <v>136</v>
      </c>
      <c r="J400">
        <v>-1031310093</v>
      </c>
      <c r="K400" t="s">
        <v>23</v>
      </c>
      <c r="L400" t="b">
        <v>1</v>
      </c>
    </row>
    <row r="401" spans="1:12" x14ac:dyDescent="0.3">
      <c r="A401" t="s">
        <v>535</v>
      </c>
      <c r="B401" t="s">
        <v>36</v>
      </c>
      <c r="C401" t="s">
        <v>111</v>
      </c>
      <c r="D401">
        <v>25</v>
      </c>
      <c r="E401" t="s">
        <v>93</v>
      </c>
      <c r="F401" t="s">
        <v>16</v>
      </c>
      <c r="G401" s="1">
        <v>44809</v>
      </c>
      <c r="H401">
        <v>54957.98</v>
      </c>
      <c r="I401" t="s">
        <v>124</v>
      </c>
      <c r="J401">
        <v>-3181439665</v>
      </c>
      <c r="K401" t="s">
        <v>23</v>
      </c>
      <c r="L401" t="b">
        <v>1</v>
      </c>
    </row>
    <row r="402" spans="1:12" x14ac:dyDescent="0.3">
      <c r="A402" t="s">
        <v>536</v>
      </c>
      <c r="B402" t="s">
        <v>13</v>
      </c>
      <c r="C402" t="s">
        <v>42</v>
      </c>
      <c r="D402">
        <v>25</v>
      </c>
      <c r="E402" t="s">
        <v>131</v>
      </c>
      <c r="F402" t="s">
        <v>33</v>
      </c>
      <c r="G402" s="1">
        <v>44111</v>
      </c>
      <c r="H402">
        <v>76790.47</v>
      </c>
      <c r="I402" t="s">
        <v>136</v>
      </c>
      <c r="J402">
        <v>-1347323548</v>
      </c>
      <c r="K402" t="s">
        <v>23</v>
      </c>
      <c r="L402" t="b">
        <v>1</v>
      </c>
    </row>
    <row r="403" spans="1:12" x14ac:dyDescent="0.3">
      <c r="A403" t="s">
        <v>537</v>
      </c>
      <c r="B403" t="s">
        <v>52</v>
      </c>
      <c r="C403" t="s">
        <v>20</v>
      </c>
      <c r="D403">
        <v>30</v>
      </c>
      <c r="E403" t="s">
        <v>89</v>
      </c>
      <c r="F403" t="s">
        <v>28</v>
      </c>
      <c r="G403" s="1">
        <v>43848</v>
      </c>
      <c r="H403">
        <v>92722.35</v>
      </c>
      <c r="I403" t="s">
        <v>114</v>
      </c>
      <c r="J403">
        <v>-4012897431</v>
      </c>
      <c r="K403" t="s">
        <v>23</v>
      </c>
      <c r="L403" t="b">
        <v>0</v>
      </c>
    </row>
    <row r="404" spans="1:12" x14ac:dyDescent="0.3">
      <c r="A404" t="s">
        <v>538</v>
      </c>
      <c r="B404" t="s">
        <v>36</v>
      </c>
      <c r="C404" t="s">
        <v>37</v>
      </c>
      <c r="D404">
        <v>30</v>
      </c>
      <c r="E404" t="s">
        <v>258</v>
      </c>
      <c r="F404" t="s">
        <v>16</v>
      </c>
      <c r="G404" s="1">
        <v>44674</v>
      </c>
      <c r="H404">
        <v>93125.32</v>
      </c>
      <c r="I404" t="s">
        <v>39</v>
      </c>
      <c r="J404">
        <v>-5122572075</v>
      </c>
      <c r="K404" t="s">
        <v>18</v>
      </c>
      <c r="L404" t="b">
        <v>0</v>
      </c>
    </row>
    <row r="405" spans="1:12" x14ac:dyDescent="0.3">
      <c r="A405" t="s">
        <v>539</v>
      </c>
      <c r="B405" t="s">
        <v>57</v>
      </c>
      <c r="C405" t="s">
        <v>111</v>
      </c>
      <c r="D405">
        <v>25</v>
      </c>
      <c r="E405" t="s">
        <v>58</v>
      </c>
      <c r="F405" t="s">
        <v>16</v>
      </c>
      <c r="G405" s="1">
        <v>45038</v>
      </c>
      <c r="H405">
        <v>101100.64</v>
      </c>
      <c r="I405" t="s">
        <v>266</v>
      </c>
      <c r="J405">
        <v>-5024120956</v>
      </c>
      <c r="K405" t="s">
        <v>18</v>
      </c>
      <c r="L405" t="b">
        <v>0</v>
      </c>
    </row>
    <row r="406" spans="1:12" x14ac:dyDescent="0.3">
      <c r="A406" t="s">
        <v>540</v>
      </c>
      <c r="B406" t="s">
        <v>67</v>
      </c>
      <c r="C406" t="s">
        <v>42</v>
      </c>
      <c r="D406">
        <v>35</v>
      </c>
      <c r="E406" t="s">
        <v>169</v>
      </c>
      <c r="F406" t="s">
        <v>33</v>
      </c>
      <c r="G406" s="1">
        <v>45151</v>
      </c>
      <c r="H406">
        <v>55897.41</v>
      </c>
      <c r="I406" t="s">
        <v>78</v>
      </c>
      <c r="J406">
        <v>-9073710093</v>
      </c>
      <c r="K406" t="s">
        <v>40</v>
      </c>
      <c r="L406" t="b">
        <v>0</v>
      </c>
    </row>
    <row r="407" spans="1:12" x14ac:dyDescent="0.3">
      <c r="A407" t="s">
        <v>541</v>
      </c>
      <c r="B407" t="s">
        <v>32</v>
      </c>
      <c r="C407" t="s">
        <v>20</v>
      </c>
      <c r="D407">
        <v>25</v>
      </c>
      <c r="E407" t="s">
        <v>15</v>
      </c>
      <c r="F407" t="s">
        <v>16</v>
      </c>
      <c r="G407" s="1">
        <v>44891</v>
      </c>
      <c r="H407">
        <v>92484.88</v>
      </c>
      <c r="I407" t="s">
        <v>138</v>
      </c>
      <c r="J407">
        <v>-3882211456</v>
      </c>
      <c r="K407" t="s">
        <v>30</v>
      </c>
      <c r="L407" t="b">
        <v>1</v>
      </c>
    </row>
    <row r="408" spans="1:12" x14ac:dyDescent="0.3">
      <c r="A408" t="s">
        <v>542</v>
      </c>
      <c r="B408" t="s">
        <v>67</v>
      </c>
      <c r="C408" t="s">
        <v>86</v>
      </c>
      <c r="D408">
        <v>35</v>
      </c>
      <c r="E408" t="s">
        <v>197</v>
      </c>
      <c r="F408" t="s">
        <v>16</v>
      </c>
      <c r="G408" s="1">
        <v>44844</v>
      </c>
      <c r="H408">
        <v>77011.990000000005</v>
      </c>
      <c r="I408" t="s">
        <v>147</v>
      </c>
      <c r="J408">
        <v>-7584745704</v>
      </c>
      <c r="K408" t="s">
        <v>18</v>
      </c>
      <c r="L408" t="b">
        <v>1</v>
      </c>
    </row>
    <row r="409" spans="1:12" x14ac:dyDescent="0.3">
      <c r="A409" t="s">
        <v>543</v>
      </c>
      <c r="B409" t="s">
        <v>13</v>
      </c>
      <c r="C409" t="s">
        <v>42</v>
      </c>
      <c r="E409" t="s">
        <v>217</v>
      </c>
      <c r="F409" t="s">
        <v>33</v>
      </c>
      <c r="G409" s="1">
        <v>44101</v>
      </c>
      <c r="H409">
        <v>77078.679999999993</v>
      </c>
      <c r="I409" t="s">
        <v>136</v>
      </c>
      <c r="J409">
        <v>-4589714801</v>
      </c>
      <c r="K409" t="s">
        <v>18</v>
      </c>
      <c r="L409" t="b">
        <v>1</v>
      </c>
    </row>
    <row r="410" spans="1:12" x14ac:dyDescent="0.3">
      <c r="A410" t="s">
        <v>544</v>
      </c>
      <c r="B410" t="s">
        <v>67</v>
      </c>
      <c r="C410" t="s">
        <v>20</v>
      </c>
      <c r="D410">
        <v>35</v>
      </c>
      <c r="E410" t="s">
        <v>185</v>
      </c>
      <c r="F410" t="s">
        <v>16</v>
      </c>
      <c r="G410" s="1">
        <v>45393</v>
      </c>
      <c r="H410">
        <v>82971.02</v>
      </c>
      <c r="I410" t="s">
        <v>173</v>
      </c>
      <c r="J410">
        <v>-6325703964</v>
      </c>
      <c r="K410" t="s">
        <v>30</v>
      </c>
      <c r="L410" t="b">
        <v>0</v>
      </c>
    </row>
    <row r="411" spans="1:12" x14ac:dyDescent="0.3">
      <c r="A411" t="s">
        <v>545</v>
      </c>
      <c r="B411" t="s">
        <v>13</v>
      </c>
      <c r="C411" t="s">
        <v>86</v>
      </c>
      <c r="D411">
        <v>25</v>
      </c>
      <c r="E411" t="s">
        <v>43</v>
      </c>
      <c r="F411" t="s">
        <v>16</v>
      </c>
      <c r="G411" s="1">
        <v>44367</v>
      </c>
      <c r="H411">
        <v>65102.01</v>
      </c>
      <c r="I411" t="s">
        <v>87</v>
      </c>
      <c r="J411">
        <v>-3136148781</v>
      </c>
      <c r="K411" t="s">
        <v>18</v>
      </c>
      <c r="L411" t="b">
        <v>1</v>
      </c>
    </row>
    <row r="412" spans="1:12" x14ac:dyDescent="0.3">
      <c r="A412" t="s">
        <v>546</v>
      </c>
      <c r="B412" t="s">
        <v>67</v>
      </c>
      <c r="C412" t="s">
        <v>37</v>
      </c>
      <c r="E412" t="s">
        <v>133</v>
      </c>
      <c r="F412" t="s">
        <v>28</v>
      </c>
      <c r="G412" s="1">
        <v>44857</v>
      </c>
      <c r="H412">
        <v>103697.7</v>
      </c>
      <c r="I412" t="s">
        <v>69</v>
      </c>
      <c r="J412">
        <v>-4556964429</v>
      </c>
      <c r="K412" t="s">
        <v>23</v>
      </c>
      <c r="L412" t="b">
        <v>1</v>
      </c>
    </row>
    <row r="413" spans="1:12" x14ac:dyDescent="0.3">
      <c r="A413" t="s">
        <v>547</v>
      </c>
      <c r="B413" t="s">
        <v>67</v>
      </c>
      <c r="C413" t="s">
        <v>42</v>
      </c>
      <c r="D413">
        <v>25</v>
      </c>
      <c r="E413" t="s">
        <v>75</v>
      </c>
      <c r="F413" t="s">
        <v>28</v>
      </c>
      <c r="G413" s="1">
        <v>45092</v>
      </c>
      <c r="H413">
        <v>60687.63</v>
      </c>
      <c r="I413" t="s">
        <v>78</v>
      </c>
      <c r="J413">
        <v>-9859167953</v>
      </c>
      <c r="K413" t="s">
        <v>23</v>
      </c>
      <c r="L413" t="b">
        <v>0</v>
      </c>
    </row>
    <row r="414" spans="1:12" x14ac:dyDescent="0.3">
      <c r="A414" t="s">
        <v>548</v>
      </c>
      <c r="B414" t="s">
        <v>13</v>
      </c>
      <c r="C414" t="s">
        <v>86</v>
      </c>
      <c r="E414" t="s">
        <v>169</v>
      </c>
      <c r="F414" t="s">
        <v>28</v>
      </c>
      <c r="G414" s="1">
        <v>44500</v>
      </c>
      <c r="H414">
        <v>77351.210000000006</v>
      </c>
      <c r="I414" t="s">
        <v>87</v>
      </c>
      <c r="J414">
        <v>-1072728497</v>
      </c>
      <c r="K414" t="s">
        <v>30</v>
      </c>
      <c r="L414" t="b">
        <v>0</v>
      </c>
    </row>
    <row r="415" spans="1:12" x14ac:dyDescent="0.3">
      <c r="A415" t="s">
        <v>549</v>
      </c>
      <c r="B415" t="s">
        <v>13</v>
      </c>
      <c r="C415" t="s">
        <v>111</v>
      </c>
      <c r="D415">
        <v>35</v>
      </c>
      <c r="E415" t="s">
        <v>192</v>
      </c>
      <c r="F415" t="s">
        <v>28</v>
      </c>
      <c r="G415" s="1">
        <v>45564</v>
      </c>
      <c r="H415">
        <v>66704.62</v>
      </c>
      <c r="I415" t="s">
        <v>112</v>
      </c>
      <c r="J415">
        <v>-2474140702</v>
      </c>
      <c r="K415" t="s">
        <v>40</v>
      </c>
      <c r="L415" t="b">
        <v>1</v>
      </c>
    </row>
    <row r="416" spans="1:12" x14ac:dyDescent="0.3">
      <c r="A416" t="s">
        <v>550</v>
      </c>
      <c r="B416" t="s">
        <v>67</v>
      </c>
      <c r="C416" t="s">
        <v>37</v>
      </c>
      <c r="D416">
        <v>25</v>
      </c>
      <c r="E416" t="s">
        <v>215</v>
      </c>
      <c r="F416" t="s">
        <v>28</v>
      </c>
      <c r="G416" s="1">
        <v>43943</v>
      </c>
      <c r="H416">
        <v>71650.3</v>
      </c>
      <c r="I416" t="s">
        <v>69</v>
      </c>
      <c r="J416">
        <v>-4910740649</v>
      </c>
      <c r="K416" t="s">
        <v>40</v>
      </c>
      <c r="L416" t="b">
        <v>1</v>
      </c>
    </row>
    <row r="417" spans="1:12" x14ac:dyDescent="0.3">
      <c r="A417" t="s">
        <v>551</v>
      </c>
      <c r="B417" t="s">
        <v>52</v>
      </c>
      <c r="C417" t="s">
        <v>111</v>
      </c>
      <c r="D417">
        <v>25</v>
      </c>
      <c r="E417" t="s">
        <v>80</v>
      </c>
      <c r="F417" t="s">
        <v>16</v>
      </c>
      <c r="G417" s="1">
        <v>45267</v>
      </c>
      <c r="H417">
        <v>50794.54</v>
      </c>
      <c r="I417" t="s">
        <v>167</v>
      </c>
      <c r="J417">
        <v>-425488213</v>
      </c>
      <c r="K417" t="s">
        <v>30</v>
      </c>
      <c r="L417" t="b">
        <v>1</v>
      </c>
    </row>
    <row r="418" spans="1:12" x14ac:dyDescent="0.3">
      <c r="A418" t="s">
        <v>552</v>
      </c>
      <c r="B418" t="s">
        <v>36</v>
      </c>
      <c r="C418" t="s">
        <v>26</v>
      </c>
      <c r="E418" t="s">
        <v>185</v>
      </c>
      <c r="F418" t="s">
        <v>33</v>
      </c>
      <c r="G418" s="1">
        <v>44172</v>
      </c>
      <c r="H418">
        <v>76030.86</v>
      </c>
      <c r="I418" t="s">
        <v>46</v>
      </c>
      <c r="J418">
        <v>-2369143074</v>
      </c>
      <c r="K418" t="s">
        <v>30</v>
      </c>
      <c r="L418" t="b">
        <v>1</v>
      </c>
    </row>
    <row r="419" spans="1:12" x14ac:dyDescent="0.3">
      <c r="A419" t="s">
        <v>553</v>
      </c>
      <c r="B419" t="s">
        <v>32</v>
      </c>
      <c r="C419" t="s">
        <v>53</v>
      </c>
      <c r="D419">
        <v>25</v>
      </c>
      <c r="E419" t="s">
        <v>217</v>
      </c>
      <c r="F419" t="s">
        <v>33</v>
      </c>
      <c r="G419" s="1">
        <v>44388</v>
      </c>
      <c r="H419">
        <v>86669.79</v>
      </c>
      <c r="I419" t="s">
        <v>254</v>
      </c>
      <c r="J419">
        <v>-3666144941</v>
      </c>
      <c r="K419" t="s">
        <v>23</v>
      </c>
      <c r="L419" t="b">
        <v>1</v>
      </c>
    </row>
    <row r="420" spans="1:12" x14ac:dyDescent="0.3">
      <c r="A420" t="s">
        <v>554</v>
      </c>
      <c r="B420" t="s">
        <v>13</v>
      </c>
      <c r="C420" t="s">
        <v>42</v>
      </c>
      <c r="D420">
        <v>40</v>
      </c>
      <c r="E420" t="s">
        <v>215</v>
      </c>
      <c r="F420" t="s">
        <v>33</v>
      </c>
      <c r="G420" s="1">
        <v>43944</v>
      </c>
      <c r="H420">
        <v>84972.7</v>
      </c>
      <c r="I420" t="s">
        <v>136</v>
      </c>
      <c r="J420">
        <v>-9659234267</v>
      </c>
      <c r="K420" t="s">
        <v>40</v>
      </c>
      <c r="L420" t="b">
        <v>1</v>
      </c>
    </row>
    <row r="421" spans="1:12" x14ac:dyDescent="0.3">
      <c r="A421" t="s">
        <v>555</v>
      </c>
      <c r="B421" t="s">
        <v>36</v>
      </c>
      <c r="C421" t="s">
        <v>86</v>
      </c>
      <c r="D421">
        <v>30</v>
      </c>
      <c r="E421" t="s">
        <v>126</v>
      </c>
      <c r="F421" t="s">
        <v>28</v>
      </c>
      <c r="G421" s="1">
        <v>45211</v>
      </c>
      <c r="H421">
        <v>100594.49</v>
      </c>
      <c r="I421" t="s">
        <v>101</v>
      </c>
      <c r="J421">
        <v>-3441497825</v>
      </c>
      <c r="K421" t="s">
        <v>18</v>
      </c>
      <c r="L421" t="b">
        <v>0</v>
      </c>
    </row>
    <row r="422" spans="1:12" x14ac:dyDescent="0.3">
      <c r="A422" t="s">
        <v>556</v>
      </c>
      <c r="B422" t="s">
        <v>25</v>
      </c>
      <c r="C422" t="s">
        <v>53</v>
      </c>
      <c r="D422">
        <v>25</v>
      </c>
      <c r="E422" t="s">
        <v>58</v>
      </c>
      <c r="F422" t="s">
        <v>16</v>
      </c>
      <c r="G422" s="1">
        <v>44797</v>
      </c>
      <c r="H422">
        <v>75478.350000000006</v>
      </c>
      <c r="I422" t="s">
        <v>134</v>
      </c>
      <c r="J422">
        <v>-6128758574</v>
      </c>
      <c r="K422" t="s">
        <v>23</v>
      </c>
      <c r="L422" t="b">
        <v>0</v>
      </c>
    </row>
    <row r="423" spans="1:12" x14ac:dyDescent="0.3">
      <c r="A423" t="s">
        <v>557</v>
      </c>
      <c r="B423" t="s">
        <v>52</v>
      </c>
      <c r="C423" t="s">
        <v>53</v>
      </c>
      <c r="D423">
        <v>25</v>
      </c>
      <c r="E423" t="s">
        <v>185</v>
      </c>
      <c r="F423" t="s">
        <v>28</v>
      </c>
      <c r="G423" s="1">
        <v>45173</v>
      </c>
      <c r="H423">
        <v>79355.850000000006</v>
      </c>
      <c r="I423" t="s">
        <v>55</v>
      </c>
      <c r="J423">
        <v>-6766708060</v>
      </c>
      <c r="K423" t="s">
        <v>30</v>
      </c>
      <c r="L423" t="b">
        <v>0</v>
      </c>
    </row>
    <row r="424" spans="1:12" x14ac:dyDescent="0.3">
      <c r="A424" t="s">
        <v>558</v>
      </c>
      <c r="B424" t="s">
        <v>67</v>
      </c>
      <c r="C424" t="s">
        <v>86</v>
      </c>
      <c r="D424">
        <v>35</v>
      </c>
      <c r="E424" t="s">
        <v>126</v>
      </c>
      <c r="F424" t="s">
        <v>28</v>
      </c>
      <c r="G424" s="1">
        <v>44594</v>
      </c>
      <c r="H424">
        <v>58358.07</v>
      </c>
      <c r="I424" t="s">
        <v>147</v>
      </c>
      <c r="J424">
        <v>-2943985297</v>
      </c>
      <c r="K424" t="s">
        <v>40</v>
      </c>
      <c r="L424" t="b">
        <v>1</v>
      </c>
    </row>
    <row r="425" spans="1:12" x14ac:dyDescent="0.3">
      <c r="A425" t="s">
        <v>559</v>
      </c>
      <c r="B425" t="s">
        <v>25</v>
      </c>
      <c r="C425" t="s">
        <v>37</v>
      </c>
      <c r="D425">
        <v>30</v>
      </c>
      <c r="E425" t="s">
        <v>83</v>
      </c>
      <c r="F425" t="s">
        <v>16</v>
      </c>
      <c r="G425" s="1">
        <v>44652</v>
      </c>
      <c r="H425">
        <v>54824.85</v>
      </c>
      <c r="I425" t="s">
        <v>281</v>
      </c>
      <c r="J425">
        <v>-9406260786</v>
      </c>
      <c r="K425" t="s">
        <v>18</v>
      </c>
      <c r="L425" t="b">
        <v>0</v>
      </c>
    </row>
    <row r="426" spans="1:12" x14ac:dyDescent="0.3">
      <c r="A426" t="s">
        <v>560</v>
      </c>
      <c r="B426" t="s">
        <v>32</v>
      </c>
      <c r="C426" t="s">
        <v>42</v>
      </c>
      <c r="D426">
        <v>35</v>
      </c>
      <c r="E426" t="s">
        <v>126</v>
      </c>
      <c r="F426" t="s">
        <v>28</v>
      </c>
      <c r="G426" s="1">
        <v>44766</v>
      </c>
      <c r="H426">
        <v>50557.84</v>
      </c>
      <c r="I426" t="s">
        <v>236</v>
      </c>
      <c r="J426">
        <v>-104159148</v>
      </c>
      <c r="K426" t="s">
        <v>18</v>
      </c>
      <c r="L426" t="b">
        <v>1</v>
      </c>
    </row>
    <row r="427" spans="1:12" x14ac:dyDescent="0.3">
      <c r="A427" t="s">
        <v>561</v>
      </c>
      <c r="B427" t="s">
        <v>32</v>
      </c>
      <c r="C427" t="s">
        <v>26</v>
      </c>
      <c r="E427" t="s">
        <v>176</v>
      </c>
      <c r="F427" t="s">
        <v>33</v>
      </c>
      <c r="G427" s="1">
        <v>45042</v>
      </c>
      <c r="H427">
        <v>118030.04</v>
      </c>
      <c r="I427" t="s">
        <v>224</v>
      </c>
      <c r="J427">
        <v>-7501980381</v>
      </c>
      <c r="K427" t="s">
        <v>23</v>
      </c>
      <c r="L427" t="b">
        <v>1</v>
      </c>
    </row>
    <row r="428" spans="1:12" x14ac:dyDescent="0.3">
      <c r="A428" t="s">
        <v>562</v>
      </c>
      <c r="B428" t="s">
        <v>57</v>
      </c>
      <c r="C428" t="s">
        <v>111</v>
      </c>
      <c r="E428" t="s">
        <v>169</v>
      </c>
      <c r="F428" t="s">
        <v>16</v>
      </c>
      <c r="G428" s="1">
        <v>44670</v>
      </c>
      <c r="H428">
        <v>51673.72</v>
      </c>
      <c r="I428" t="s">
        <v>266</v>
      </c>
      <c r="J428">
        <v>-8723244078</v>
      </c>
      <c r="K428" t="s">
        <v>40</v>
      </c>
      <c r="L428" t="b">
        <v>0</v>
      </c>
    </row>
    <row r="429" spans="1:12" x14ac:dyDescent="0.3">
      <c r="A429" t="s">
        <v>563</v>
      </c>
      <c r="B429" t="s">
        <v>25</v>
      </c>
      <c r="C429" t="s">
        <v>20</v>
      </c>
      <c r="D429">
        <v>35</v>
      </c>
      <c r="E429" t="s">
        <v>80</v>
      </c>
      <c r="F429" t="s">
        <v>33</v>
      </c>
      <c r="G429" s="1">
        <v>45569</v>
      </c>
      <c r="H429">
        <v>101665.79</v>
      </c>
      <c r="I429" t="s">
        <v>76</v>
      </c>
      <c r="J429">
        <v>-3110291812</v>
      </c>
      <c r="K429" t="s">
        <v>40</v>
      </c>
      <c r="L429" t="b">
        <v>1</v>
      </c>
    </row>
    <row r="430" spans="1:12" x14ac:dyDescent="0.3">
      <c r="A430" t="s">
        <v>564</v>
      </c>
      <c r="B430" t="s">
        <v>57</v>
      </c>
      <c r="C430" t="s">
        <v>111</v>
      </c>
      <c r="E430" t="s">
        <v>176</v>
      </c>
      <c r="F430" t="s">
        <v>33</v>
      </c>
      <c r="G430" s="1">
        <v>43953</v>
      </c>
      <c r="H430">
        <v>118079.15</v>
      </c>
      <c r="I430" t="s">
        <v>266</v>
      </c>
      <c r="J430">
        <v>-3170876013</v>
      </c>
      <c r="K430" t="s">
        <v>30</v>
      </c>
      <c r="L430" t="b">
        <v>1</v>
      </c>
    </row>
    <row r="431" spans="1:12" x14ac:dyDescent="0.3">
      <c r="A431" t="s">
        <v>565</v>
      </c>
      <c r="B431" t="s">
        <v>32</v>
      </c>
      <c r="C431" t="s">
        <v>20</v>
      </c>
      <c r="D431">
        <v>25</v>
      </c>
      <c r="E431" t="s">
        <v>58</v>
      </c>
      <c r="F431" t="s">
        <v>28</v>
      </c>
      <c r="G431" s="1">
        <v>44676</v>
      </c>
      <c r="H431">
        <v>99059.28</v>
      </c>
      <c r="I431" t="s">
        <v>138</v>
      </c>
      <c r="J431">
        <v>-6723849790</v>
      </c>
      <c r="K431" t="s">
        <v>40</v>
      </c>
      <c r="L431" t="b">
        <v>0</v>
      </c>
    </row>
    <row r="432" spans="1:12" x14ac:dyDescent="0.3">
      <c r="A432" t="s">
        <v>566</v>
      </c>
      <c r="B432" t="s">
        <v>13</v>
      </c>
      <c r="C432" t="s">
        <v>111</v>
      </c>
      <c r="E432" t="s">
        <v>89</v>
      </c>
      <c r="F432" t="s">
        <v>16</v>
      </c>
      <c r="G432" s="1">
        <v>45136</v>
      </c>
      <c r="H432">
        <v>107397.4</v>
      </c>
      <c r="I432" t="s">
        <v>112</v>
      </c>
      <c r="J432">
        <v>-6202232882</v>
      </c>
      <c r="K432" t="s">
        <v>40</v>
      </c>
      <c r="L432" t="b">
        <v>0</v>
      </c>
    </row>
    <row r="433" spans="1:12" x14ac:dyDescent="0.3">
      <c r="A433" t="s">
        <v>567</v>
      </c>
      <c r="B433" t="s">
        <v>25</v>
      </c>
      <c r="C433" t="s">
        <v>86</v>
      </c>
      <c r="D433">
        <v>40</v>
      </c>
      <c r="E433" t="s">
        <v>54</v>
      </c>
      <c r="F433" t="s">
        <v>16</v>
      </c>
      <c r="G433" s="1">
        <v>44428</v>
      </c>
      <c r="H433">
        <v>68269.37</v>
      </c>
      <c r="I433" t="s">
        <v>145</v>
      </c>
      <c r="J433">
        <v>-7744197545</v>
      </c>
      <c r="K433" t="s">
        <v>23</v>
      </c>
      <c r="L433" t="b">
        <v>0</v>
      </c>
    </row>
    <row r="434" spans="1:12" x14ac:dyDescent="0.3">
      <c r="A434" t="s">
        <v>568</v>
      </c>
      <c r="B434" t="s">
        <v>67</v>
      </c>
      <c r="C434" t="s">
        <v>26</v>
      </c>
      <c r="D434">
        <v>35</v>
      </c>
      <c r="E434" t="s">
        <v>180</v>
      </c>
      <c r="F434" t="s">
        <v>33</v>
      </c>
      <c r="G434" s="1">
        <v>44309</v>
      </c>
      <c r="H434">
        <v>55228.12</v>
      </c>
      <c r="I434" t="s">
        <v>73</v>
      </c>
      <c r="J434">
        <v>-6176620470</v>
      </c>
      <c r="K434" t="s">
        <v>40</v>
      </c>
      <c r="L434" t="b">
        <v>1</v>
      </c>
    </row>
    <row r="435" spans="1:12" x14ac:dyDescent="0.3">
      <c r="A435" t="s">
        <v>569</v>
      </c>
      <c r="B435" t="s">
        <v>13</v>
      </c>
      <c r="C435" t="s">
        <v>42</v>
      </c>
      <c r="D435">
        <v>30</v>
      </c>
      <c r="E435" t="s">
        <v>58</v>
      </c>
      <c r="F435" t="s">
        <v>33</v>
      </c>
      <c r="G435" s="1">
        <v>44785</v>
      </c>
      <c r="H435">
        <v>71982.33</v>
      </c>
      <c r="I435" t="s">
        <v>136</v>
      </c>
      <c r="J435">
        <v>-9609409704</v>
      </c>
      <c r="K435" t="s">
        <v>18</v>
      </c>
      <c r="L435" t="b">
        <v>0</v>
      </c>
    </row>
    <row r="436" spans="1:12" x14ac:dyDescent="0.3">
      <c r="A436" t="s">
        <v>570</v>
      </c>
      <c r="B436" t="s">
        <v>36</v>
      </c>
      <c r="C436" t="s">
        <v>20</v>
      </c>
      <c r="D436">
        <v>30</v>
      </c>
      <c r="E436" t="s">
        <v>68</v>
      </c>
      <c r="F436" t="s">
        <v>33</v>
      </c>
      <c r="G436" s="1">
        <v>44373</v>
      </c>
      <c r="H436">
        <v>109673.75</v>
      </c>
      <c r="I436" t="s">
        <v>198</v>
      </c>
      <c r="J436">
        <v>-2774025882</v>
      </c>
      <c r="K436" t="s">
        <v>23</v>
      </c>
      <c r="L436" t="b">
        <v>0</v>
      </c>
    </row>
    <row r="437" spans="1:12" x14ac:dyDescent="0.3">
      <c r="A437" t="s">
        <v>571</v>
      </c>
      <c r="B437" t="s">
        <v>32</v>
      </c>
      <c r="C437" t="s">
        <v>42</v>
      </c>
      <c r="E437" t="s">
        <v>58</v>
      </c>
      <c r="F437" t="s">
        <v>33</v>
      </c>
      <c r="G437" s="1">
        <v>44134</v>
      </c>
      <c r="H437">
        <v>56384.9</v>
      </c>
      <c r="I437" t="s">
        <v>236</v>
      </c>
      <c r="J437">
        <v>-5868122594</v>
      </c>
      <c r="K437" t="s">
        <v>23</v>
      </c>
      <c r="L437" t="b">
        <v>1</v>
      </c>
    </row>
    <row r="438" spans="1:12" x14ac:dyDescent="0.3">
      <c r="A438" t="s">
        <v>572</v>
      </c>
      <c r="B438" t="s">
        <v>36</v>
      </c>
      <c r="C438" t="s">
        <v>42</v>
      </c>
      <c r="D438">
        <v>40</v>
      </c>
      <c r="E438" t="s">
        <v>43</v>
      </c>
      <c r="F438" t="s">
        <v>28</v>
      </c>
      <c r="G438" s="1">
        <v>44443</v>
      </c>
      <c r="H438">
        <v>68211.679999999993</v>
      </c>
      <c r="I438" t="s">
        <v>157</v>
      </c>
      <c r="J438">
        <v>-7244617678</v>
      </c>
      <c r="K438" t="s">
        <v>30</v>
      </c>
      <c r="L438" t="b">
        <v>0</v>
      </c>
    </row>
    <row r="439" spans="1:12" x14ac:dyDescent="0.3">
      <c r="A439" t="s">
        <v>573</v>
      </c>
      <c r="B439" t="s">
        <v>25</v>
      </c>
      <c r="C439" t="s">
        <v>42</v>
      </c>
      <c r="D439">
        <v>40</v>
      </c>
      <c r="E439" t="s">
        <v>215</v>
      </c>
      <c r="F439" t="s">
        <v>28</v>
      </c>
      <c r="G439" s="1">
        <v>44957</v>
      </c>
      <c r="H439">
        <v>67489.679999999993</v>
      </c>
      <c r="I439" t="s">
        <v>44</v>
      </c>
      <c r="J439">
        <v>-2988425994</v>
      </c>
      <c r="K439" t="s">
        <v>40</v>
      </c>
      <c r="L439" t="b">
        <v>0</v>
      </c>
    </row>
    <row r="440" spans="1:12" x14ac:dyDescent="0.3">
      <c r="A440" t="s">
        <v>574</v>
      </c>
      <c r="B440" t="s">
        <v>52</v>
      </c>
      <c r="C440" t="s">
        <v>14</v>
      </c>
      <c r="D440">
        <v>25</v>
      </c>
      <c r="E440" t="s">
        <v>141</v>
      </c>
      <c r="F440" t="s">
        <v>16</v>
      </c>
      <c r="G440" s="1">
        <v>44098</v>
      </c>
      <c r="H440">
        <v>63869.31</v>
      </c>
      <c r="I440" t="s">
        <v>149</v>
      </c>
      <c r="J440">
        <v>-9961002310</v>
      </c>
      <c r="K440" t="s">
        <v>30</v>
      </c>
      <c r="L440" t="b">
        <v>0</v>
      </c>
    </row>
    <row r="441" spans="1:12" x14ac:dyDescent="0.3">
      <c r="A441" t="s">
        <v>575</v>
      </c>
      <c r="B441" t="s">
        <v>13</v>
      </c>
      <c r="C441" t="s">
        <v>37</v>
      </c>
      <c r="E441" t="s">
        <v>155</v>
      </c>
      <c r="F441" t="s">
        <v>16</v>
      </c>
      <c r="G441" s="1">
        <v>43875</v>
      </c>
      <c r="H441">
        <v>119801.3</v>
      </c>
      <c r="I441" t="s">
        <v>129</v>
      </c>
      <c r="J441">
        <v>-7753312660</v>
      </c>
      <c r="K441" t="s">
        <v>18</v>
      </c>
      <c r="L441" t="b">
        <v>1</v>
      </c>
    </row>
    <row r="442" spans="1:12" x14ac:dyDescent="0.3">
      <c r="A442" t="s">
        <v>576</v>
      </c>
      <c r="B442" t="s">
        <v>63</v>
      </c>
      <c r="C442" t="s">
        <v>111</v>
      </c>
      <c r="D442">
        <v>30</v>
      </c>
      <c r="E442" t="s">
        <v>217</v>
      </c>
      <c r="F442" t="s">
        <v>16</v>
      </c>
      <c r="G442" s="1">
        <v>43918</v>
      </c>
      <c r="H442">
        <v>115959.65</v>
      </c>
      <c r="I442" t="s">
        <v>284</v>
      </c>
      <c r="J442">
        <v>-941017589</v>
      </c>
      <c r="K442" t="s">
        <v>23</v>
      </c>
      <c r="L442" t="b">
        <v>1</v>
      </c>
    </row>
    <row r="443" spans="1:12" x14ac:dyDescent="0.3">
      <c r="A443" t="s">
        <v>577</v>
      </c>
      <c r="B443" t="s">
        <v>67</v>
      </c>
      <c r="C443" t="s">
        <v>42</v>
      </c>
      <c r="D443">
        <v>40</v>
      </c>
      <c r="E443" t="s">
        <v>21</v>
      </c>
      <c r="F443" t="s">
        <v>33</v>
      </c>
      <c r="G443" s="1">
        <v>45230</v>
      </c>
      <c r="H443">
        <v>79866.48</v>
      </c>
      <c r="I443" t="s">
        <v>78</v>
      </c>
      <c r="J443">
        <v>-2517629832</v>
      </c>
      <c r="K443" t="s">
        <v>23</v>
      </c>
      <c r="L443" t="b">
        <v>1</v>
      </c>
    </row>
    <row r="444" spans="1:12" x14ac:dyDescent="0.3">
      <c r="A444" t="s">
        <v>578</v>
      </c>
      <c r="B444" t="s">
        <v>52</v>
      </c>
      <c r="C444" t="s">
        <v>111</v>
      </c>
      <c r="D444">
        <v>35</v>
      </c>
      <c r="E444" t="s">
        <v>180</v>
      </c>
      <c r="F444" t="s">
        <v>16</v>
      </c>
      <c r="G444" s="1">
        <v>43901</v>
      </c>
      <c r="H444">
        <v>92987.46</v>
      </c>
      <c r="I444" t="s">
        <v>167</v>
      </c>
      <c r="J444">
        <v>-4774332682</v>
      </c>
      <c r="K444" t="s">
        <v>23</v>
      </c>
      <c r="L444" t="b">
        <v>1</v>
      </c>
    </row>
    <row r="445" spans="1:12" x14ac:dyDescent="0.3">
      <c r="A445" t="s">
        <v>579</v>
      </c>
      <c r="B445" t="s">
        <v>32</v>
      </c>
      <c r="C445" t="s">
        <v>42</v>
      </c>
      <c r="D445">
        <v>40</v>
      </c>
      <c r="E445" t="s">
        <v>215</v>
      </c>
      <c r="F445" t="s">
        <v>33</v>
      </c>
      <c r="G445" s="1">
        <v>43955</v>
      </c>
      <c r="H445">
        <v>56140.51</v>
      </c>
      <c r="I445" t="s">
        <v>236</v>
      </c>
      <c r="J445">
        <v>-1901302055</v>
      </c>
      <c r="K445" t="s">
        <v>18</v>
      </c>
      <c r="L445" t="b">
        <v>0</v>
      </c>
    </row>
    <row r="446" spans="1:12" x14ac:dyDescent="0.3">
      <c r="A446" t="s">
        <v>580</v>
      </c>
      <c r="B446" t="s">
        <v>67</v>
      </c>
      <c r="C446" t="s">
        <v>20</v>
      </c>
      <c r="D446">
        <v>30</v>
      </c>
      <c r="E446" t="s">
        <v>75</v>
      </c>
      <c r="F446" t="s">
        <v>16</v>
      </c>
      <c r="G446" s="1">
        <v>45122</v>
      </c>
      <c r="H446">
        <v>119586.11</v>
      </c>
      <c r="I446" t="s">
        <v>173</v>
      </c>
      <c r="J446">
        <v>-9815287338</v>
      </c>
      <c r="K446" t="s">
        <v>18</v>
      </c>
      <c r="L446" t="b">
        <v>1</v>
      </c>
    </row>
    <row r="447" spans="1:12" x14ac:dyDescent="0.3">
      <c r="A447" t="s">
        <v>581</v>
      </c>
      <c r="B447" t="s">
        <v>25</v>
      </c>
      <c r="C447" t="s">
        <v>37</v>
      </c>
      <c r="D447">
        <v>40</v>
      </c>
      <c r="E447" t="s">
        <v>15</v>
      </c>
      <c r="F447" t="s">
        <v>33</v>
      </c>
      <c r="G447" s="1">
        <v>44946</v>
      </c>
      <c r="H447">
        <v>104700.46</v>
      </c>
      <c r="I447" t="s">
        <v>281</v>
      </c>
      <c r="J447">
        <v>-7855982175</v>
      </c>
      <c r="K447" t="s">
        <v>30</v>
      </c>
      <c r="L447" t="b">
        <v>1</v>
      </c>
    </row>
    <row r="448" spans="1:12" x14ac:dyDescent="0.3">
      <c r="A448" t="s">
        <v>582</v>
      </c>
      <c r="B448" t="s">
        <v>36</v>
      </c>
      <c r="C448" t="s">
        <v>37</v>
      </c>
      <c r="D448">
        <v>40</v>
      </c>
      <c r="E448" t="s">
        <v>64</v>
      </c>
      <c r="F448" t="s">
        <v>16</v>
      </c>
      <c r="G448" s="1">
        <v>44484</v>
      </c>
      <c r="H448">
        <v>91798.14</v>
      </c>
      <c r="I448" t="s">
        <v>39</v>
      </c>
      <c r="J448">
        <v>-6191284116</v>
      </c>
      <c r="K448" t="s">
        <v>30</v>
      </c>
      <c r="L448" t="b">
        <v>0</v>
      </c>
    </row>
    <row r="449" spans="1:12" x14ac:dyDescent="0.3">
      <c r="A449" t="s">
        <v>583</v>
      </c>
      <c r="B449" t="s">
        <v>32</v>
      </c>
      <c r="C449" t="s">
        <v>86</v>
      </c>
      <c r="D449">
        <v>25</v>
      </c>
      <c r="E449" t="s">
        <v>215</v>
      </c>
      <c r="F449" t="s">
        <v>33</v>
      </c>
      <c r="G449" s="1">
        <v>45401</v>
      </c>
      <c r="H449">
        <v>90879.22</v>
      </c>
      <c r="I449" t="s">
        <v>213</v>
      </c>
      <c r="J449">
        <v>-3098503445</v>
      </c>
      <c r="K449" t="s">
        <v>30</v>
      </c>
      <c r="L449" t="b">
        <v>0</v>
      </c>
    </row>
    <row r="450" spans="1:12" x14ac:dyDescent="0.3">
      <c r="A450" t="s">
        <v>584</v>
      </c>
      <c r="B450" t="s">
        <v>52</v>
      </c>
      <c r="C450" t="s">
        <v>14</v>
      </c>
      <c r="D450">
        <v>25</v>
      </c>
      <c r="E450" t="s">
        <v>27</v>
      </c>
      <c r="F450" t="s">
        <v>16</v>
      </c>
      <c r="G450" s="1">
        <v>44376</v>
      </c>
      <c r="H450">
        <v>87358.27</v>
      </c>
      <c r="I450" t="s">
        <v>149</v>
      </c>
      <c r="J450">
        <v>-5124189388</v>
      </c>
      <c r="K450" t="s">
        <v>40</v>
      </c>
      <c r="L450" t="b">
        <v>0</v>
      </c>
    </row>
    <row r="451" spans="1:12" x14ac:dyDescent="0.3">
      <c r="A451" t="s">
        <v>585</v>
      </c>
      <c r="B451" t="s">
        <v>25</v>
      </c>
      <c r="C451" t="s">
        <v>86</v>
      </c>
      <c r="D451">
        <v>30</v>
      </c>
      <c r="E451" t="s">
        <v>72</v>
      </c>
      <c r="F451" t="s">
        <v>33</v>
      </c>
      <c r="G451" s="1">
        <v>45549</v>
      </c>
      <c r="H451">
        <v>119407.93</v>
      </c>
      <c r="I451" t="s">
        <v>145</v>
      </c>
      <c r="J451">
        <v>-8469081973</v>
      </c>
      <c r="K451" t="s">
        <v>23</v>
      </c>
      <c r="L451" t="b">
        <v>1</v>
      </c>
    </row>
    <row r="452" spans="1:12" x14ac:dyDescent="0.3">
      <c r="A452" t="s">
        <v>586</v>
      </c>
      <c r="B452" t="s">
        <v>57</v>
      </c>
      <c r="C452" t="s">
        <v>86</v>
      </c>
      <c r="E452" t="s">
        <v>133</v>
      </c>
      <c r="F452" t="s">
        <v>28</v>
      </c>
      <c r="G452" s="1">
        <v>44565</v>
      </c>
      <c r="H452">
        <v>113978.6</v>
      </c>
      <c r="I452" t="s">
        <v>98</v>
      </c>
      <c r="J452">
        <v>-56435022</v>
      </c>
      <c r="K452" t="s">
        <v>23</v>
      </c>
      <c r="L452" t="b">
        <v>1</v>
      </c>
    </row>
    <row r="453" spans="1:12" x14ac:dyDescent="0.3">
      <c r="A453" t="s">
        <v>587</v>
      </c>
      <c r="B453" t="s">
        <v>36</v>
      </c>
      <c r="C453" t="s">
        <v>86</v>
      </c>
      <c r="E453" t="s">
        <v>100</v>
      </c>
      <c r="F453" t="s">
        <v>28</v>
      </c>
      <c r="G453" s="1">
        <v>44216</v>
      </c>
      <c r="H453">
        <v>108568.78</v>
      </c>
      <c r="I453" t="s">
        <v>101</v>
      </c>
      <c r="J453">
        <v>-8503719904</v>
      </c>
      <c r="K453" t="s">
        <v>30</v>
      </c>
      <c r="L453" t="b">
        <v>1</v>
      </c>
    </row>
    <row r="454" spans="1:12" x14ac:dyDescent="0.3">
      <c r="A454" t="s">
        <v>588</v>
      </c>
      <c r="B454" t="s">
        <v>63</v>
      </c>
      <c r="C454" t="s">
        <v>86</v>
      </c>
      <c r="E454" t="s">
        <v>64</v>
      </c>
      <c r="F454" t="s">
        <v>33</v>
      </c>
      <c r="G454" s="1">
        <v>43908</v>
      </c>
      <c r="H454">
        <v>56318.02</v>
      </c>
      <c r="I454" t="s">
        <v>118</v>
      </c>
      <c r="J454">
        <v>-1699187239</v>
      </c>
      <c r="K454" t="s">
        <v>23</v>
      </c>
      <c r="L454" t="b">
        <v>0</v>
      </c>
    </row>
    <row r="455" spans="1:12" x14ac:dyDescent="0.3">
      <c r="A455" t="s">
        <v>589</v>
      </c>
      <c r="B455" t="s">
        <v>57</v>
      </c>
      <c r="C455" t="s">
        <v>86</v>
      </c>
      <c r="D455">
        <v>25</v>
      </c>
      <c r="E455" t="s">
        <v>72</v>
      </c>
      <c r="F455" t="s">
        <v>16</v>
      </c>
      <c r="G455" s="1">
        <v>44510</v>
      </c>
      <c r="H455">
        <v>114252.73</v>
      </c>
      <c r="I455" t="s">
        <v>98</v>
      </c>
      <c r="J455">
        <v>-1078356742</v>
      </c>
      <c r="K455" t="s">
        <v>30</v>
      </c>
      <c r="L455" t="b">
        <v>0</v>
      </c>
    </row>
    <row r="456" spans="1:12" x14ac:dyDescent="0.3">
      <c r="A456" t="s">
        <v>590</v>
      </c>
      <c r="B456" t="s">
        <v>52</v>
      </c>
      <c r="C456" t="s">
        <v>26</v>
      </c>
      <c r="D456">
        <v>35</v>
      </c>
      <c r="E456" t="s">
        <v>54</v>
      </c>
      <c r="F456" t="s">
        <v>33</v>
      </c>
      <c r="G456" s="1">
        <v>43952</v>
      </c>
      <c r="H456">
        <v>51533.9</v>
      </c>
      <c r="I456" t="s">
        <v>109</v>
      </c>
      <c r="J456">
        <v>-3896086</v>
      </c>
      <c r="K456" t="s">
        <v>40</v>
      </c>
      <c r="L456" t="b">
        <v>1</v>
      </c>
    </row>
    <row r="457" spans="1:12" x14ac:dyDescent="0.3">
      <c r="A457" t="s">
        <v>591</v>
      </c>
      <c r="B457" t="s">
        <v>52</v>
      </c>
      <c r="C457" t="s">
        <v>37</v>
      </c>
      <c r="D457">
        <v>25</v>
      </c>
      <c r="E457" t="s">
        <v>155</v>
      </c>
      <c r="F457" t="s">
        <v>16</v>
      </c>
      <c r="G457" s="1">
        <v>44596</v>
      </c>
      <c r="H457">
        <v>99317.66</v>
      </c>
      <c r="I457" t="s">
        <v>84</v>
      </c>
      <c r="J457">
        <v>-662668216</v>
      </c>
      <c r="K457" t="s">
        <v>40</v>
      </c>
      <c r="L457" t="b">
        <v>0</v>
      </c>
    </row>
    <row r="458" spans="1:12" x14ac:dyDescent="0.3">
      <c r="A458" t="s">
        <v>592</v>
      </c>
      <c r="B458" t="s">
        <v>13</v>
      </c>
      <c r="C458" t="s">
        <v>86</v>
      </c>
      <c r="D458">
        <v>35</v>
      </c>
      <c r="E458" t="s">
        <v>131</v>
      </c>
      <c r="F458" t="s">
        <v>16</v>
      </c>
      <c r="G458" s="1">
        <v>44153</v>
      </c>
      <c r="H458">
        <v>101264.64</v>
      </c>
      <c r="I458" t="s">
        <v>87</v>
      </c>
      <c r="J458">
        <v>-1955356032</v>
      </c>
      <c r="K458" t="s">
        <v>18</v>
      </c>
      <c r="L458" t="b">
        <v>0</v>
      </c>
    </row>
    <row r="459" spans="1:12" x14ac:dyDescent="0.3">
      <c r="A459" t="s">
        <v>593</v>
      </c>
      <c r="B459" t="s">
        <v>63</v>
      </c>
      <c r="C459" t="s">
        <v>42</v>
      </c>
      <c r="D459">
        <v>35</v>
      </c>
      <c r="E459" t="s">
        <v>27</v>
      </c>
      <c r="F459" t="s">
        <v>28</v>
      </c>
      <c r="G459" s="1">
        <v>45251</v>
      </c>
      <c r="H459">
        <v>112272.02</v>
      </c>
      <c r="I459" t="s">
        <v>209</v>
      </c>
      <c r="J459">
        <v>-1903689002</v>
      </c>
      <c r="K459" t="s">
        <v>40</v>
      </c>
      <c r="L459" t="b">
        <v>0</v>
      </c>
    </row>
    <row r="460" spans="1:12" x14ac:dyDescent="0.3">
      <c r="A460" t="s">
        <v>594</v>
      </c>
      <c r="B460" t="s">
        <v>36</v>
      </c>
      <c r="C460" t="s">
        <v>37</v>
      </c>
      <c r="D460">
        <v>30</v>
      </c>
      <c r="E460" t="s">
        <v>75</v>
      </c>
      <c r="F460" t="s">
        <v>16</v>
      </c>
      <c r="G460" s="1">
        <v>44605</v>
      </c>
      <c r="H460">
        <v>71477.63</v>
      </c>
      <c r="I460" t="s">
        <v>39</v>
      </c>
      <c r="J460">
        <v>-102724054</v>
      </c>
      <c r="K460" t="s">
        <v>30</v>
      </c>
      <c r="L460" t="b">
        <v>1</v>
      </c>
    </row>
    <row r="461" spans="1:12" x14ac:dyDescent="0.3">
      <c r="A461" t="s">
        <v>595</v>
      </c>
      <c r="B461" t="s">
        <v>52</v>
      </c>
      <c r="C461" t="s">
        <v>37</v>
      </c>
      <c r="D461">
        <v>30</v>
      </c>
      <c r="E461" t="s">
        <v>197</v>
      </c>
      <c r="F461" t="s">
        <v>28</v>
      </c>
      <c r="G461" s="1">
        <v>45004</v>
      </c>
      <c r="H461">
        <v>77412.100000000006</v>
      </c>
      <c r="I461" t="s">
        <v>84</v>
      </c>
      <c r="J461">
        <v>-9342967110</v>
      </c>
      <c r="K461" t="s">
        <v>40</v>
      </c>
      <c r="L461" t="b">
        <v>0</v>
      </c>
    </row>
    <row r="462" spans="1:12" x14ac:dyDescent="0.3">
      <c r="A462" t="s">
        <v>596</v>
      </c>
      <c r="B462" t="s">
        <v>25</v>
      </c>
      <c r="C462" t="s">
        <v>53</v>
      </c>
      <c r="D462">
        <v>30</v>
      </c>
      <c r="E462" t="s">
        <v>155</v>
      </c>
      <c r="F462" t="s">
        <v>28</v>
      </c>
      <c r="G462" s="1">
        <v>44283</v>
      </c>
      <c r="H462">
        <v>94775.27</v>
      </c>
      <c r="I462" t="s">
        <v>134</v>
      </c>
      <c r="J462">
        <v>-4837537457</v>
      </c>
      <c r="K462" t="s">
        <v>18</v>
      </c>
      <c r="L462" t="b">
        <v>0</v>
      </c>
    </row>
    <row r="463" spans="1:12" x14ac:dyDescent="0.3">
      <c r="A463" t="s">
        <v>597</v>
      </c>
      <c r="B463" t="s">
        <v>63</v>
      </c>
      <c r="C463" t="s">
        <v>26</v>
      </c>
      <c r="D463">
        <v>30</v>
      </c>
      <c r="E463" t="s">
        <v>133</v>
      </c>
      <c r="F463" t="s">
        <v>16</v>
      </c>
      <c r="G463" s="1">
        <v>44318</v>
      </c>
      <c r="H463">
        <v>74276.710000000006</v>
      </c>
      <c r="I463" t="s">
        <v>251</v>
      </c>
      <c r="J463">
        <v>-4384588104</v>
      </c>
      <c r="K463" t="s">
        <v>23</v>
      </c>
      <c r="L463" t="b">
        <v>1</v>
      </c>
    </row>
    <row r="464" spans="1:12" x14ac:dyDescent="0.3">
      <c r="A464" t="s">
        <v>598</v>
      </c>
      <c r="B464" t="s">
        <v>13</v>
      </c>
      <c r="C464" t="s">
        <v>86</v>
      </c>
      <c r="D464">
        <v>35</v>
      </c>
      <c r="E464" t="s">
        <v>21</v>
      </c>
      <c r="F464" t="s">
        <v>33</v>
      </c>
      <c r="G464" s="1">
        <v>44260</v>
      </c>
      <c r="H464">
        <v>67467.86</v>
      </c>
      <c r="I464" t="s">
        <v>87</v>
      </c>
      <c r="J464">
        <v>-6974132833</v>
      </c>
      <c r="K464" t="s">
        <v>30</v>
      </c>
      <c r="L464" t="b">
        <v>1</v>
      </c>
    </row>
    <row r="465" spans="1:12" x14ac:dyDescent="0.3">
      <c r="A465" t="s">
        <v>599</v>
      </c>
      <c r="B465" t="s">
        <v>32</v>
      </c>
      <c r="C465" t="s">
        <v>111</v>
      </c>
      <c r="D465">
        <v>25</v>
      </c>
      <c r="E465" t="s">
        <v>197</v>
      </c>
      <c r="F465" t="s">
        <v>16</v>
      </c>
      <c r="G465" s="1">
        <v>44621</v>
      </c>
      <c r="H465">
        <v>80675.41</v>
      </c>
      <c r="I465" t="s">
        <v>384</v>
      </c>
      <c r="J465">
        <v>-8315203770</v>
      </c>
      <c r="K465" t="s">
        <v>23</v>
      </c>
      <c r="L465" t="b">
        <v>0</v>
      </c>
    </row>
    <row r="466" spans="1:12" x14ac:dyDescent="0.3">
      <c r="A466" t="s">
        <v>600</v>
      </c>
      <c r="B466" t="s">
        <v>52</v>
      </c>
      <c r="C466" t="s">
        <v>20</v>
      </c>
      <c r="D466">
        <v>40</v>
      </c>
      <c r="E466" t="s">
        <v>103</v>
      </c>
      <c r="F466" t="s">
        <v>33</v>
      </c>
      <c r="G466" s="1">
        <v>44949</v>
      </c>
      <c r="H466">
        <v>76274.33</v>
      </c>
      <c r="I466" t="s">
        <v>114</v>
      </c>
      <c r="J466">
        <v>-704496409</v>
      </c>
      <c r="K466" t="s">
        <v>18</v>
      </c>
      <c r="L466" t="b">
        <v>0</v>
      </c>
    </row>
    <row r="467" spans="1:12" x14ac:dyDescent="0.3">
      <c r="A467" t="s">
        <v>601</v>
      </c>
      <c r="B467" t="s">
        <v>57</v>
      </c>
      <c r="C467" t="s">
        <v>14</v>
      </c>
      <c r="D467">
        <v>30</v>
      </c>
      <c r="E467" t="s">
        <v>21</v>
      </c>
      <c r="F467" t="s">
        <v>16</v>
      </c>
      <c r="G467" s="1">
        <v>44434</v>
      </c>
      <c r="H467">
        <v>51405.46</v>
      </c>
      <c r="I467" t="s">
        <v>61</v>
      </c>
      <c r="J467">
        <v>-4967066702</v>
      </c>
      <c r="K467" t="s">
        <v>18</v>
      </c>
      <c r="L467" t="b">
        <v>1</v>
      </c>
    </row>
    <row r="468" spans="1:12" x14ac:dyDescent="0.3">
      <c r="A468" t="s">
        <v>602</v>
      </c>
      <c r="B468" t="s">
        <v>13</v>
      </c>
      <c r="C468" t="s">
        <v>42</v>
      </c>
      <c r="D468">
        <v>25</v>
      </c>
      <c r="E468" t="s">
        <v>64</v>
      </c>
      <c r="F468" t="s">
        <v>33</v>
      </c>
      <c r="G468" s="1">
        <v>44160</v>
      </c>
      <c r="H468">
        <v>101238.96</v>
      </c>
      <c r="I468" t="s">
        <v>136</v>
      </c>
      <c r="J468">
        <v>-3626804084</v>
      </c>
      <c r="K468" t="s">
        <v>18</v>
      </c>
      <c r="L468" t="b">
        <v>1</v>
      </c>
    </row>
    <row r="469" spans="1:12" x14ac:dyDescent="0.3">
      <c r="A469" t="s">
        <v>603</v>
      </c>
      <c r="B469" t="s">
        <v>13</v>
      </c>
      <c r="C469" t="s">
        <v>111</v>
      </c>
      <c r="D469">
        <v>35</v>
      </c>
      <c r="E469" t="s">
        <v>91</v>
      </c>
      <c r="F469" t="s">
        <v>33</v>
      </c>
      <c r="G469" s="1">
        <v>45273</v>
      </c>
      <c r="H469">
        <v>52169.52</v>
      </c>
      <c r="I469" t="s">
        <v>112</v>
      </c>
      <c r="J469">
        <v>-954930595</v>
      </c>
      <c r="K469" t="s">
        <v>23</v>
      </c>
      <c r="L469" t="b">
        <v>0</v>
      </c>
    </row>
    <row r="470" spans="1:12" x14ac:dyDescent="0.3">
      <c r="A470" t="s">
        <v>604</v>
      </c>
      <c r="B470" t="s">
        <v>52</v>
      </c>
      <c r="C470" t="s">
        <v>26</v>
      </c>
      <c r="E470" t="s">
        <v>190</v>
      </c>
      <c r="F470" t="s">
        <v>16</v>
      </c>
      <c r="G470" s="1">
        <v>44038</v>
      </c>
      <c r="H470">
        <v>73176.62</v>
      </c>
      <c r="I470" t="s">
        <v>109</v>
      </c>
      <c r="J470">
        <v>-6018648768</v>
      </c>
      <c r="K470" t="s">
        <v>23</v>
      </c>
      <c r="L470" t="b">
        <v>0</v>
      </c>
    </row>
    <row r="471" spans="1:12" x14ac:dyDescent="0.3">
      <c r="A471" t="s">
        <v>605</v>
      </c>
      <c r="B471" t="s">
        <v>67</v>
      </c>
      <c r="C471" t="s">
        <v>20</v>
      </c>
      <c r="E471" t="s">
        <v>258</v>
      </c>
      <c r="F471" t="s">
        <v>28</v>
      </c>
      <c r="G471" s="1">
        <v>44374</v>
      </c>
      <c r="H471">
        <v>96241.85</v>
      </c>
      <c r="I471" t="s">
        <v>173</v>
      </c>
      <c r="J471">
        <v>-9842673203</v>
      </c>
      <c r="K471" t="s">
        <v>23</v>
      </c>
      <c r="L471" t="b">
        <v>0</v>
      </c>
    </row>
    <row r="472" spans="1:12" x14ac:dyDescent="0.3">
      <c r="A472" t="s">
        <v>606</v>
      </c>
      <c r="B472" t="s">
        <v>13</v>
      </c>
      <c r="C472" t="s">
        <v>26</v>
      </c>
      <c r="D472">
        <v>25</v>
      </c>
      <c r="E472" t="s">
        <v>215</v>
      </c>
      <c r="F472" t="s">
        <v>28</v>
      </c>
      <c r="G472" s="1">
        <v>45551</v>
      </c>
      <c r="H472">
        <v>84366.38</v>
      </c>
      <c r="I472" t="s">
        <v>48</v>
      </c>
      <c r="J472">
        <v>-4138459608</v>
      </c>
      <c r="K472" t="s">
        <v>23</v>
      </c>
      <c r="L472" t="b">
        <v>0</v>
      </c>
    </row>
    <row r="473" spans="1:12" x14ac:dyDescent="0.3">
      <c r="A473" t="s">
        <v>607</v>
      </c>
      <c r="B473" t="s">
        <v>25</v>
      </c>
      <c r="C473" t="s">
        <v>42</v>
      </c>
      <c r="D473">
        <v>40</v>
      </c>
      <c r="E473" t="s">
        <v>217</v>
      </c>
      <c r="F473" t="s">
        <v>28</v>
      </c>
      <c r="G473" s="1">
        <v>45111</v>
      </c>
      <c r="H473">
        <v>92015.09</v>
      </c>
      <c r="I473" t="s">
        <v>44</v>
      </c>
      <c r="J473">
        <v>-4544901494</v>
      </c>
      <c r="K473" t="s">
        <v>18</v>
      </c>
      <c r="L473" t="b">
        <v>1</v>
      </c>
    </row>
    <row r="474" spans="1:12" x14ac:dyDescent="0.3">
      <c r="A474" t="s">
        <v>608</v>
      </c>
      <c r="B474" t="s">
        <v>25</v>
      </c>
      <c r="C474" t="s">
        <v>37</v>
      </c>
      <c r="D474">
        <v>30</v>
      </c>
      <c r="E474" t="s">
        <v>27</v>
      </c>
      <c r="F474" t="s">
        <v>33</v>
      </c>
      <c r="G474" s="1">
        <v>43998</v>
      </c>
      <c r="H474">
        <v>83149.95</v>
      </c>
      <c r="I474" t="s">
        <v>281</v>
      </c>
      <c r="J474">
        <v>-4277070704</v>
      </c>
      <c r="K474" t="s">
        <v>18</v>
      </c>
      <c r="L474" t="b">
        <v>0</v>
      </c>
    </row>
    <row r="475" spans="1:12" x14ac:dyDescent="0.3">
      <c r="A475" t="s">
        <v>609</v>
      </c>
      <c r="B475" t="s">
        <v>67</v>
      </c>
      <c r="C475" t="s">
        <v>20</v>
      </c>
      <c r="D475">
        <v>40</v>
      </c>
      <c r="E475" t="s">
        <v>93</v>
      </c>
      <c r="F475" t="s">
        <v>33</v>
      </c>
      <c r="G475" s="1">
        <v>44017</v>
      </c>
      <c r="H475">
        <v>94930.65</v>
      </c>
      <c r="I475" t="s">
        <v>173</v>
      </c>
      <c r="J475">
        <v>-7836091497</v>
      </c>
      <c r="K475" t="s">
        <v>30</v>
      </c>
      <c r="L475" t="b">
        <v>0</v>
      </c>
    </row>
    <row r="476" spans="1:12" x14ac:dyDescent="0.3">
      <c r="A476" t="s">
        <v>610</v>
      </c>
      <c r="B476" t="s">
        <v>36</v>
      </c>
      <c r="C476" t="s">
        <v>37</v>
      </c>
      <c r="D476">
        <v>40</v>
      </c>
      <c r="E476" t="s">
        <v>64</v>
      </c>
      <c r="F476" t="s">
        <v>33</v>
      </c>
      <c r="G476" s="1">
        <v>43922</v>
      </c>
      <c r="H476">
        <v>68430.720000000001</v>
      </c>
      <c r="I476" t="s">
        <v>39</v>
      </c>
      <c r="J476">
        <v>-5172444722</v>
      </c>
      <c r="K476" t="s">
        <v>30</v>
      </c>
      <c r="L476" t="b">
        <v>1</v>
      </c>
    </row>
    <row r="477" spans="1:12" x14ac:dyDescent="0.3">
      <c r="A477" t="s">
        <v>611</v>
      </c>
      <c r="B477" t="s">
        <v>57</v>
      </c>
      <c r="C477" t="s">
        <v>42</v>
      </c>
      <c r="D477">
        <v>35</v>
      </c>
      <c r="E477" t="s">
        <v>43</v>
      </c>
      <c r="F477" t="s">
        <v>16</v>
      </c>
      <c r="G477" s="1">
        <v>45371</v>
      </c>
      <c r="H477">
        <v>98752.97</v>
      </c>
      <c r="I477" t="s">
        <v>94</v>
      </c>
      <c r="J477">
        <v>-2290310286</v>
      </c>
      <c r="K477" t="s">
        <v>23</v>
      </c>
      <c r="L477" t="b">
        <v>0</v>
      </c>
    </row>
    <row r="478" spans="1:12" x14ac:dyDescent="0.3">
      <c r="A478" t="s">
        <v>612</v>
      </c>
      <c r="B478" t="s">
        <v>36</v>
      </c>
      <c r="C478" t="s">
        <v>111</v>
      </c>
      <c r="E478" t="s">
        <v>215</v>
      </c>
      <c r="F478" t="s">
        <v>16</v>
      </c>
      <c r="G478" s="1">
        <v>44964</v>
      </c>
      <c r="H478">
        <v>54268.86</v>
      </c>
      <c r="I478" t="s">
        <v>124</v>
      </c>
      <c r="J478">
        <v>-9508304404</v>
      </c>
      <c r="K478" t="s">
        <v>40</v>
      </c>
      <c r="L478" t="b">
        <v>1</v>
      </c>
    </row>
    <row r="479" spans="1:12" x14ac:dyDescent="0.3">
      <c r="A479" t="s">
        <v>613</v>
      </c>
      <c r="B479" t="s">
        <v>67</v>
      </c>
      <c r="C479" t="s">
        <v>42</v>
      </c>
      <c r="E479" t="s">
        <v>192</v>
      </c>
      <c r="F479" t="s">
        <v>28</v>
      </c>
      <c r="G479" s="1">
        <v>45636</v>
      </c>
      <c r="H479">
        <v>66494.94</v>
      </c>
      <c r="I479" t="s">
        <v>78</v>
      </c>
      <c r="J479">
        <v>-8093511870</v>
      </c>
      <c r="K479" t="s">
        <v>40</v>
      </c>
      <c r="L479" t="b">
        <v>0</v>
      </c>
    </row>
    <row r="480" spans="1:12" x14ac:dyDescent="0.3">
      <c r="A480" t="s">
        <v>614</v>
      </c>
      <c r="B480" t="s">
        <v>67</v>
      </c>
      <c r="C480" t="s">
        <v>111</v>
      </c>
      <c r="D480">
        <v>25</v>
      </c>
      <c r="E480" t="s">
        <v>91</v>
      </c>
      <c r="F480" t="s">
        <v>28</v>
      </c>
      <c r="G480" s="1">
        <v>45470</v>
      </c>
      <c r="H480">
        <v>90003.98</v>
      </c>
      <c r="I480" t="s">
        <v>122</v>
      </c>
      <c r="J480">
        <v>-8133595615</v>
      </c>
      <c r="K480" t="s">
        <v>18</v>
      </c>
      <c r="L480" t="b">
        <v>0</v>
      </c>
    </row>
    <row r="481" spans="1:12" x14ac:dyDescent="0.3">
      <c r="A481" t="s">
        <v>615</v>
      </c>
      <c r="B481" t="s">
        <v>52</v>
      </c>
      <c r="C481" t="s">
        <v>20</v>
      </c>
      <c r="D481">
        <v>25</v>
      </c>
      <c r="E481" t="s">
        <v>190</v>
      </c>
      <c r="F481" t="s">
        <v>16</v>
      </c>
      <c r="G481" s="1">
        <v>44264</v>
      </c>
      <c r="H481">
        <v>106592.25</v>
      </c>
      <c r="I481" t="s">
        <v>114</v>
      </c>
      <c r="J481">
        <v>-4205955656</v>
      </c>
      <c r="K481" t="s">
        <v>18</v>
      </c>
      <c r="L481" t="b">
        <v>1</v>
      </c>
    </row>
    <row r="482" spans="1:12" x14ac:dyDescent="0.3">
      <c r="A482" t="s">
        <v>616</v>
      </c>
      <c r="B482" t="s">
        <v>67</v>
      </c>
      <c r="C482" t="s">
        <v>20</v>
      </c>
      <c r="D482">
        <v>25</v>
      </c>
      <c r="E482" t="s">
        <v>192</v>
      </c>
      <c r="F482" t="s">
        <v>16</v>
      </c>
      <c r="G482" s="1">
        <v>45515</v>
      </c>
      <c r="H482">
        <v>93905.83</v>
      </c>
      <c r="I482" t="s">
        <v>173</v>
      </c>
      <c r="J482">
        <v>-4902504289</v>
      </c>
      <c r="K482" t="s">
        <v>18</v>
      </c>
      <c r="L482" t="b">
        <v>1</v>
      </c>
    </row>
    <row r="483" spans="1:12" x14ac:dyDescent="0.3">
      <c r="A483" t="s">
        <v>617</v>
      </c>
      <c r="B483" t="s">
        <v>32</v>
      </c>
      <c r="C483" t="s">
        <v>86</v>
      </c>
      <c r="D483">
        <v>35</v>
      </c>
      <c r="E483" t="s">
        <v>197</v>
      </c>
      <c r="F483" t="s">
        <v>16</v>
      </c>
      <c r="G483" s="1">
        <v>44625</v>
      </c>
      <c r="H483">
        <v>88945.49</v>
      </c>
      <c r="I483" t="s">
        <v>213</v>
      </c>
      <c r="J483">
        <v>-1935889535</v>
      </c>
      <c r="K483" t="s">
        <v>30</v>
      </c>
      <c r="L483" t="b">
        <v>0</v>
      </c>
    </row>
    <row r="484" spans="1:12" x14ac:dyDescent="0.3">
      <c r="A484" t="s">
        <v>618</v>
      </c>
      <c r="B484" t="s">
        <v>32</v>
      </c>
      <c r="C484" t="s">
        <v>26</v>
      </c>
      <c r="E484" t="s">
        <v>21</v>
      </c>
      <c r="F484" t="s">
        <v>28</v>
      </c>
      <c r="G484" s="1">
        <v>45107</v>
      </c>
      <c r="H484">
        <v>91130.33</v>
      </c>
      <c r="I484" t="s">
        <v>224</v>
      </c>
      <c r="J484">
        <v>-9026113988</v>
      </c>
      <c r="K484" t="s">
        <v>30</v>
      </c>
      <c r="L484" t="b">
        <v>0</v>
      </c>
    </row>
    <row r="485" spans="1:12" x14ac:dyDescent="0.3">
      <c r="A485" t="s">
        <v>619</v>
      </c>
      <c r="B485" t="s">
        <v>13</v>
      </c>
      <c r="C485" t="s">
        <v>86</v>
      </c>
      <c r="D485">
        <v>40</v>
      </c>
      <c r="E485" t="s">
        <v>169</v>
      </c>
      <c r="F485" t="s">
        <v>28</v>
      </c>
      <c r="G485" s="1">
        <v>45035</v>
      </c>
      <c r="H485">
        <v>90787.4</v>
      </c>
      <c r="I485" t="s">
        <v>87</v>
      </c>
      <c r="J485">
        <v>-8681809787</v>
      </c>
      <c r="K485" t="s">
        <v>18</v>
      </c>
      <c r="L485" t="b">
        <v>0</v>
      </c>
    </row>
    <row r="486" spans="1:12" x14ac:dyDescent="0.3">
      <c r="A486" t="s">
        <v>620</v>
      </c>
      <c r="B486" t="s">
        <v>13</v>
      </c>
      <c r="C486" t="s">
        <v>26</v>
      </c>
      <c r="D486">
        <v>25</v>
      </c>
      <c r="E486" t="s">
        <v>43</v>
      </c>
      <c r="F486" t="s">
        <v>33</v>
      </c>
      <c r="G486" s="1">
        <v>45607</v>
      </c>
      <c r="H486">
        <v>87494.34</v>
      </c>
      <c r="I486" t="s">
        <v>48</v>
      </c>
      <c r="J486">
        <v>-7543943534</v>
      </c>
      <c r="K486" t="s">
        <v>18</v>
      </c>
      <c r="L486" t="b">
        <v>1</v>
      </c>
    </row>
    <row r="487" spans="1:12" x14ac:dyDescent="0.3">
      <c r="A487" t="s">
        <v>621</v>
      </c>
      <c r="B487" t="s">
        <v>67</v>
      </c>
      <c r="C487" t="s">
        <v>86</v>
      </c>
      <c r="D487">
        <v>35</v>
      </c>
      <c r="E487" t="s">
        <v>93</v>
      </c>
      <c r="F487" t="s">
        <v>33</v>
      </c>
      <c r="G487" s="1">
        <v>45002</v>
      </c>
      <c r="H487">
        <v>92627.35</v>
      </c>
      <c r="I487" t="s">
        <v>147</v>
      </c>
      <c r="J487">
        <v>-3751376514</v>
      </c>
      <c r="K487" t="s">
        <v>18</v>
      </c>
      <c r="L487" t="b">
        <v>0</v>
      </c>
    </row>
    <row r="488" spans="1:12" x14ac:dyDescent="0.3">
      <c r="A488" t="s">
        <v>622</v>
      </c>
      <c r="B488" t="s">
        <v>32</v>
      </c>
      <c r="C488" t="s">
        <v>37</v>
      </c>
      <c r="D488">
        <v>40</v>
      </c>
      <c r="E488" t="s">
        <v>83</v>
      </c>
      <c r="F488" t="s">
        <v>28</v>
      </c>
      <c r="G488" s="1">
        <v>45225</v>
      </c>
      <c r="H488">
        <v>98556.29</v>
      </c>
      <c r="I488" t="s">
        <v>127</v>
      </c>
      <c r="J488">
        <v>-8815793762</v>
      </c>
      <c r="K488" t="s">
        <v>40</v>
      </c>
      <c r="L488" t="b">
        <v>1</v>
      </c>
    </row>
    <row r="489" spans="1:12" x14ac:dyDescent="0.3">
      <c r="A489" t="s">
        <v>623</v>
      </c>
      <c r="B489" t="s">
        <v>36</v>
      </c>
      <c r="C489" t="s">
        <v>20</v>
      </c>
      <c r="D489">
        <v>30</v>
      </c>
      <c r="E489" t="s">
        <v>80</v>
      </c>
      <c r="F489" t="s">
        <v>33</v>
      </c>
      <c r="G489" s="1">
        <v>44381</v>
      </c>
      <c r="H489">
        <v>112792.2</v>
      </c>
      <c r="I489" t="s">
        <v>198</v>
      </c>
      <c r="J489">
        <v>-9283692943</v>
      </c>
      <c r="K489" t="s">
        <v>30</v>
      </c>
      <c r="L489" t="b">
        <v>1</v>
      </c>
    </row>
    <row r="490" spans="1:12" x14ac:dyDescent="0.3">
      <c r="A490" t="s">
        <v>624</v>
      </c>
      <c r="B490" t="s">
        <v>32</v>
      </c>
      <c r="C490" t="s">
        <v>111</v>
      </c>
      <c r="D490">
        <v>35</v>
      </c>
      <c r="E490" t="s">
        <v>180</v>
      </c>
      <c r="F490" t="s">
        <v>28</v>
      </c>
      <c r="G490" s="1">
        <v>45233</v>
      </c>
      <c r="H490">
        <v>56875.22</v>
      </c>
      <c r="I490" t="s">
        <v>384</v>
      </c>
      <c r="J490">
        <v>-5511668296</v>
      </c>
      <c r="K490" t="s">
        <v>40</v>
      </c>
      <c r="L490" t="b">
        <v>0</v>
      </c>
    </row>
    <row r="491" spans="1:12" x14ac:dyDescent="0.3">
      <c r="A491" t="s">
        <v>625</v>
      </c>
      <c r="B491" t="s">
        <v>52</v>
      </c>
      <c r="C491" t="s">
        <v>26</v>
      </c>
      <c r="D491">
        <v>35</v>
      </c>
      <c r="E491" t="s">
        <v>192</v>
      </c>
      <c r="F491" t="s">
        <v>33</v>
      </c>
      <c r="G491" s="1">
        <v>44382</v>
      </c>
      <c r="H491">
        <v>101015.96</v>
      </c>
      <c r="I491" t="s">
        <v>109</v>
      </c>
      <c r="J491">
        <v>-3270216486</v>
      </c>
      <c r="K491" t="s">
        <v>40</v>
      </c>
      <c r="L491" t="b">
        <v>1</v>
      </c>
    </row>
    <row r="492" spans="1:12" x14ac:dyDescent="0.3">
      <c r="A492" t="s">
        <v>626</v>
      </c>
      <c r="B492" t="s">
        <v>13</v>
      </c>
      <c r="C492" t="s">
        <v>42</v>
      </c>
      <c r="D492">
        <v>30</v>
      </c>
      <c r="E492" t="s">
        <v>190</v>
      </c>
      <c r="F492" t="s">
        <v>33</v>
      </c>
      <c r="G492" s="1">
        <v>45348</v>
      </c>
      <c r="H492">
        <v>83912.22</v>
      </c>
      <c r="I492" t="s">
        <v>136</v>
      </c>
      <c r="J492">
        <v>-1206021287</v>
      </c>
      <c r="K492" t="s">
        <v>18</v>
      </c>
      <c r="L492" t="b">
        <v>0</v>
      </c>
    </row>
    <row r="493" spans="1:12" x14ac:dyDescent="0.3">
      <c r="A493" t="s">
        <v>627</v>
      </c>
      <c r="B493" t="s">
        <v>36</v>
      </c>
      <c r="C493" t="s">
        <v>26</v>
      </c>
      <c r="D493">
        <v>25</v>
      </c>
      <c r="E493" t="s">
        <v>100</v>
      </c>
      <c r="F493" t="s">
        <v>16</v>
      </c>
      <c r="G493" s="1">
        <v>44468</v>
      </c>
      <c r="H493">
        <v>99669.86</v>
      </c>
      <c r="I493" t="s">
        <v>46</v>
      </c>
      <c r="J493">
        <v>-6652683414</v>
      </c>
      <c r="K493" t="s">
        <v>18</v>
      </c>
      <c r="L493" t="b">
        <v>0</v>
      </c>
    </row>
    <row r="494" spans="1:12" x14ac:dyDescent="0.3">
      <c r="A494" t="s">
        <v>628</v>
      </c>
      <c r="B494" t="s">
        <v>25</v>
      </c>
      <c r="C494" t="s">
        <v>111</v>
      </c>
      <c r="D494">
        <v>30</v>
      </c>
      <c r="E494" t="s">
        <v>169</v>
      </c>
      <c r="F494" t="s">
        <v>16</v>
      </c>
      <c r="G494" s="1">
        <v>44341</v>
      </c>
      <c r="H494">
        <v>52314.97</v>
      </c>
      <c r="I494" t="s">
        <v>159</v>
      </c>
      <c r="J494">
        <v>-5999101575</v>
      </c>
      <c r="K494" t="s">
        <v>23</v>
      </c>
      <c r="L494" t="b">
        <v>0</v>
      </c>
    </row>
    <row r="495" spans="1:12" x14ac:dyDescent="0.3">
      <c r="A495" t="s">
        <v>629</v>
      </c>
      <c r="B495" t="s">
        <v>36</v>
      </c>
      <c r="C495" t="s">
        <v>86</v>
      </c>
      <c r="D495">
        <v>30</v>
      </c>
      <c r="E495" t="s">
        <v>131</v>
      </c>
      <c r="F495" t="s">
        <v>33</v>
      </c>
      <c r="G495" s="1">
        <v>44865</v>
      </c>
      <c r="H495">
        <v>77785.960000000006</v>
      </c>
      <c r="I495" t="s">
        <v>101</v>
      </c>
      <c r="J495">
        <v>-7647229811</v>
      </c>
      <c r="K495" t="s">
        <v>23</v>
      </c>
      <c r="L495" t="b">
        <v>0</v>
      </c>
    </row>
    <row r="496" spans="1:12" x14ac:dyDescent="0.3">
      <c r="A496" t="s">
        <v>630</v>
      </c>
      <c r="B496" t="s">
        <v>25</v>
      </c>
      <c r="C496" t="s">
        <v>26</v>
      </c>
      <c r="D496">
        <v>30</v>
      </c>
      <c r="E496" t="s">
        <v>180</v>
      </c>
      <c r="F496" t="s">
        <v>28</v>
      </c>
      <c r="G496" s="1">
        <v>44744</v>
      </c>
      <c r="H496">
        <v>62430.86</v>
      </c>
      <c r="I496" t="s">
        <v>29</v>
      </c>
      <c r="J496">
        <v>-995765727</v>
      </c>
      <c r="K496" t="s">
        <v>40</v>
      </c>
      <c r="L496" t="b">
        <v>0</v>
      </c>
    </row>
    <row r="497" spans="1:12" x14ac:dyDescent="0.3">
      <c r="A497" t="s">
        <v>631</v>
      </c>
      <c r="B497" t="s">
        <v>36</v>
      </c>
      <c r="C497" t="s">
        <v>14</v>
      </c>
      <c r="D497">
        <v>35</v>
      </c>
      <c r="E497" t="s">
        <v>108</v>
      </c>
      <c r="F497" t="s">
        <v>28</v>
      </c>
      <c r="G497" s="1">
        <v>45532</v>
      </c>
      <c r="H497">
        <v>98219.54</v>
      </c>
      <c r="I497" t="s">
        <v>50</v>
      </c>
      <c r="J497">
        <v>-9413475097</v>
      </c>
      <c r="K497" t="s">
        <v>30</v>
      </c>
      <c r="L497" t="b">
        <v>1</v>
      </c>
    </row>
    <row r="498" spans="1:12" x14ac:dyDescent="0.3">
      <c r="A498" t="s">
        <v>632</v>
      </c>
      <c r="B498" t="s">
        <v>67</v>
      </c>
      <c r="C498" t="s">
        <v>37</v>
      </c>
      <c r="D498">
        <v>25</v>
      </c>
      <c r="E498" t="s">
        <v>83</v>
      </c>
      <c r="F498" t="s">
        <v>16</v>
      </c>
      <c r="G498" s="1">
        <v>45586</v>
      </c>
      <c r="H498">
        <v>65494.58</v>
      </c>
      <c r="I498" t="s">
        <v>69</v>
      </c>
      <c r="J498">
        <v>-8986456521</v>
      </c>
      <c r="K498" t="s">
        <v>18</v>
      </c>
      <c r="L498" t="b">
        <v>1</v>
      </c>
    </row>
    <row r="499" spans="1:12" x14ac:dyDescent="0.3">
      <c r="A499" t="s">
        <v>633</v>
      </c>
      <c r="B499" t="s">
        <v>57</v>
      </c>
      <c r="C499" t="s">
        <v>20</v>
      </c>
      <c r="D499">
        <v>35</v>
      </c>
      <c r="E499" t="s">
        <v>192</v>
      </c>
      <c r="F499" t="s">
        <v>28</v>
      </c>
      <c r="G499" s="1">
        <v>43872</v>
      </c>
      <c r="H499">
        <v>110524.1</v>
      </c>
      <c r="I499" t="s">
        <v>188</v>
      </c>
      <c r="J499">
        <v>-368499514</v>
      </c>
      <c r="K499" t="s">
        <v>18</v>
      </c>
      <c r="L499" t="b">
        <v>0</v>
      </c>
    </row>
    <row r="500" spans="1:12" x14ac:dyDescent="0.3">
      <c r="A500" t="s">
        <v>634</v>
      </c>
      <c r="B500" t="s">
        <v>25</v>
      </c>
      <c r="C500" t="s">
        <v>111</v>
      </c>
      <c r="D500">
        <v>40</v>
      </c>
      <c r="E500" t="s">
        <v>27</v>
      </c>
      <c r="F500" t="s">
        <v>16</v>
      </c>
      <c r="G500" s="1">
        <v>45062</v>
      </c>
      <c r="H500">
        <v>106060.54</v>
      </c>
      <c r="I500" t="s">
        <v>159</v>
      </c>
      <c r="J500">
        <v>-4214477323</v>
      </c>
      <c r="K500" t="s">
        <v>40</v>
      </c>
      <c r="L500" t="b">
        <v>0</v>
      </c>
    </row>
    <row r="501" spans="1:12" x14ac:dyDescent="0.3">
      <c r="A501" t="s">
        <v>635</v>
      </c>
      <c r="B501" t="s">
        <v>32</v>
      </c>
      <c r="C501" t="s">
        <v>20</v>
      </c>
      <c r="D501">
        <v>35</v>
      </c>
      <c r="E501" t="s">
        <v>103</v>
      </c>
      <c r="F501" t="s">
        <v>33</v>
      </c>
      <c r="G501" s="1">
        <v>44771</v>
      </c>
      <c r="H501">
        <v>67639.91</v>
      </c>
      <c r="I501" t="s">
        <v>138</v>
      </c>
      <c r="J501">
        <v>-4913421387</v>
      </c>
      <c r="K501" t="s">
        <v>23</v>
      </c>
      <c r="L501" t="b">
        <v>1</v>
      </c>
    </row>
    <row r="502" spans="1:12" x14ac:dyDescent="0.3">
      <c r="A502" t="s">
        <v>636</v>
      </c>
      <c r="B502" t="s">
        <v>67</v>
      </c>
      <c r="C502" t="s">
        <v>14</v>
      </c>
      <c r="E502" t="s">
        <v>141</v>
      </c>
      <c r="F502" t="s">
        <v>28</v>
      </c>
      <c r="G502" s="1">
        <v>45187</v>
      </c>
      <c r="H502">
        <v>117653.98</v>
      </c>
      <c r="I502" t="s">
        <v>195</v>
      </c>
      <c r="J502">
        <v>-2090883069</v>
      </c>
      <c r="K502" t="s">
        <v>30</v>
      </c>
      <c r="L502" t="b">
        <v>1</v>
      </c>
    </row>
    <row r="503" spans="1:12" x14ac:dyDescent="0.3">
      <c r="A503" t="s">
        <v>637</v>
      </c>
      <c r="B503" t="s">
        <v>32</v>
      </c>
      <c r="C503" t="s">
        <v>26</v>
      </c>
      <c r="D503">
        <v>35</v>
      </c>
      <c r="E503" t="s">
        <v>197</v>
      </c>
      <c r="F503" t="s">
        <v>33</v>
      </c>
      <c r="G503" s="1">
        <v>43961</v>
      </c>
      <c r="H503">
        <v>73539.86</v>
      </c>
      <c r="I503" t="s">
        <v>224</v>
      </c>
      <c r="J503">
        <v>-5349678273</v>
      </c>
      <c r="K503" t="s">
        <v>23</v>
      </c>
      <c r="L503" t="b">
        <v>1</v>
      </c>
    </row>
    <row r="504" spans="1:12" x14ac:dyDescent="0.3">
      <c r="A504" t="s">
        <v>638</v>
      </c>
      <c r="B504" t="s">
        <v>36</v>
      </c>
      <c r="C504" t="s">
        <v>26</v>
      </c>
      <c r="D504">
        <v>35</v>
      </c>
      <c r="E504" t="s">
        <v>133</v>
      </c>
      <c r="F504" t="s">
        <v>28</v>
      </c>
      <c r="G504" s="1">
        <v>45165</v>
      </c>
      <c r="H504">
        <v>70915.38</v>
      </c>
      <c r="I504" t="s">
        <v>46</v>
      </c>
      <c r="J504">
        <v>-1176741240</v>
      </c>
      <c r="K504" t="s">
        <v>23</v>
      </c>
      <c r="L504" t="b">
        <v>1</v>
      </c>
    </row>
    <row r="505" spans="1:12" x14ac:dyDescent="0.3">
      <c r="A505" t="s">
        <v>639</v>
      </c>
      <c r="B505" t="s">
        <v>57</v>
      </c>
      <c r="C505" t="s">
        <v>42</v>
      </c>
      <c r="D505">
        <v>25</v>
      </c>
      <c r="E505" t="s">
        <v>72</v>
      </c>
      <c r="F505" t="s">
        <v>28</v>
      </c>
      <c r="G505" s="1">
        <v>44485</v>
      </c>
      <c r="H505">
        <v>97652.9</v>
      </c>
      <c r="I505" t="s">
        <v>94</v>
      </c>
      <c r="J505">
        <v>-5131528546</v>
      </c>
      <c r="K505" t="s">
        <v>23</v>
      </c>
      <c r="L505" t="b">
        <v>0</v>
      </c>
    </row>
    <row r="506" spans="1:12" x14ac:dyDescent="0.3">
      <c r="A506" t="s">
        <v>640</v>
      </c>
      <c r="B506" t="s">
        <v>63</v>
      </c>
      <c r="C506" t="s">
        <v>14</v>
      </c>
      <c r="D506">
        <v>35</v>
      </c>
      <c r="E506" t="s">
        <v>180</v>
      </c>
      <c r="F506" t="s">
        <v>33</v>
      </c>
      <c r="G506" s="1">
        <v>44626</v>
      </c>
      <c r="H506">
        <v>101571.25</v>
      </c>
      <c r="I506" t="s">
        <v>301</v>
      </c>
      <c r="J506">
        <v>-8150618537</v>
      </c>
      <c r="K506" t="s">
        <v>23</v>
      </c>
      <c r="L506" t="b">
        <v>0</v>
      </c>
    </row>
    <row r="507" spans="1:12" x14ac:dyDescent="0.3">
      <c r="A507" t="s">
        <v>641</v>
      </c>
      <c r="B507" t="s">
        <v>57</v>
      </c>
      <c r="C507" t="s">
        <v>111</v>
      </c>
      <c r="D507">
        <v>35</v>
      </c>
      <c r="E507" t="s">
        <v>258</v>
      </c>
      <c r="F507" t="s">
        <v>16</v>
      </c>
      <c r="G507" s="1">
        <v>45236</v>
      </c>
      <c r="H507">
        <v>87424.46</v>
      </c>
      <c r="I507" t="s">
        <v>266</v>
      </c>
      <c r="J507">
        <v>-32963346</v>
      </c>
      <c r="K507" t="s">
        <v>18</v>
      </c>
      <c r="L507" t="b">
        <v>1</v>
      </c>
    </row>
    <row r="508" spans="1:12" x14ac:dyDescent="0.3">
      <c r="A508" t="s">
        <v>642</v>
      </c>
      <c r="B508" t="s">
        <v>36</v>
      </c>
      <c r="C508" t="s">
        <v>42</v>
      </c>
      <c r="E508" t="s">
        <v>64</v>
      </c>
      <c r="F508" t="s">
        <v>28</v>
      </c>
      <c r="G508" s="1">
        <v>45626</v>
      </c>
      <c r="H508">
        <v>89077.36</v>
      </c>
      <c r="I508" t="s">
        <v>157</v>
      </c>
      <c r="J508">
        <v>-2727423182</v>
      </c>
      <c r="K508" t="s">
        <v>18</v>
      </c>
      <c r="L508" t="b">
        <v>0</v>
      </c>
    </row>
    <row r="509" spans="1:12" x14ac:dyDescent="0.3">
      <c r="A509" t="s">
        <v>643</v>
      </c>
      <c r="B509" t="s">
        <v>63</v>
      </c>
      <c r="C509" t="s">
        <v>37</v>
      </c>
      <c r="D509">
        <v>30</v>
      </c>
      <c r="E509" t="s">
        <v>15</v>
      </c>
      <c r="F509" t="s">
        <v>28</v>
      </c>
      <c r="G509" s="1">
        <v>45486</v>
      </c>
      <c r="H509">
        <v>89132.22</v>
      </c>
      <c r="I509" t="s">
        <v>65</v>
      </c>
      <c r="J509">
        <v>-617893205</v>
      </c>
      <c r="K509" t="s">
        <v>23</v>
      </c>
      <c r="L509" t="b">
        <v>1</v>
      </c>
    </row>
    <row r="510" spans="1:12" x14ac:dyDescent="0.3">
      <c r="A510" t="s">
        <v>644</v>
      </c>
      <c r="B510" t="s">
        <v>36</v>
      </c>
      <c r="C510" t="s">
        <v>42</v>
      </c>
      <c r="D510">
        <v>25</v>
      </c>
      <c r="E510" t="s">
        <v>108</v>
      </c>
      <c r="F510" t="s">
        <v>16</v>
      </c>
      <c r="G510" s="1">
        <v>45355</v>
      </c>
      <c r="H510">
        <v>111000.26</v>
      </c>
      <c r="I510" t="s">
        <v>157</v>
      </c>
      <c r="J510">
        <v>-4969357823</v>
      </c>
      <c r="K510" t="s">
        <v>30</v>
      </c>
      <c r="L510" t="b">
        <v>0</v>
      </c>
    </row>
    <row r="511" spans="1:12" x14ac:dyDescent="0.3">
      <c r="A511" t="s">
        <v>645</v>
      </c>
      <c r="B511" t="s">
        <v>36</v>
      </c>
      <c r="C511" t="s">
        <v>53</v>
      </c>
      <c r="D511">
        <v>35</v>
      </c>
      <c r="E511" t="s">
        <v>166</v>
      </c>
      <c r="F511" t="s">
        <v>33</v>
      </c>
      <c r="G511" s="1">
        <v>44780</v>
      </c>
      <c r="H511">
        <v>109584.97</v>
      </c>
      <c r="I511" t="s">
        <v>219</v>
      </c>
      <c r="J511">
        <v>-3477695873</v>
      </c>
      <c r="K511" t="s">
        <v>40</v>
      </c>
      <c r="L511" t="b">
        <v>1</v>
      </c>
    </row>
    <row r="512" spans="1:12" x14ac:dyDescent="0.3">
      <c r="A512" t="s">
        <v>646</v>
      </c>
      <c r="B512" t="s">
        <v>13</v>
      </c>
      <c r="C512" t="s">
        <v>111</v>
      </c>
      <c r="D512">
        <v>40</v>
      </c>
      <c r="E512" t="s">
        <v>83</v>
      </c>
      <c r="F512" t="s">
        <v>16</v>
      </c>
      <c r="G512" s="1">
        <v>45607</v>
      </c>
      <c r="H512">
        <v>97648.84</v>
      </c>
      <c r="I512" t="s">
        <v>112</v>
      </c>
      <c r="J512">
        <v>-1314675360</v>
      </c>
      <c r="K512" t="s">
        <v>30</v>
      </c>
      <c r="L512" t="b">
        <v>0</v>
      </c>
    </row>
    <row r="513" spans="1:12" x14ac:dyDescent="0.3">
      <c r="A513" t="s">
        <v>647</v>
      </c>
      <c r="B513" t="s">
        <v>67</v>
      </c>
      <c r="C513" t="s">
        <v>53</v>
      </c>
      <c r="D513">
        <v>25</v>
      </c>
      <c r="E513" t="s">
        <v>169</v>
      </c>
      <c r="F513" t="s">
        <v>16</v>
      </c>
      <c r="G513" s="1">
        <v>44532</v>
      </c>
      <c r="H513">
        <v>78643.429999999993</v>
      </c>
      <c r="I513" t="s">
        <v>116</v>
      </c>
      <c r="J513">
        <v>-2751562778</v>
      </c>
      <c r="K513" t="s">
        <v>30</v>
      </c>
      <c r="L513" t="b">
        <v>1</v>
      </c>
    </row>
    <row r="514" spans="1:12" x14ac:dyDescent="0.3">
      <c r="A514" t="s">
        <v>648</v>
      </c>
      <c r="B514" t="s">
        <v>63</v>
      </c>
      <c r="C514" t="s">
        <v>14</v>
      </c>
      <c r="D514">
        <v>30</v>
      </c>
      <c r="E514" t="s">
        <v>133</v>
      </c>
      <c r="F514" t="s">
        <v>16</v>
      </c>
      <c r="G514" s="1">
        <v>45426</v>
      </c>
      <c r="H514">
        <v>55656.800000000003</v>
      </c>
      <c r="I514" t="s">
        <v>301</v>
      </c>
      <c r="J514">
        <v>-6304483607</v>
      </c>
      <c r="K514" t="s">
        <v>30</v>
      </c>
      <c r="L514" t="b">
        <v>1</v>
      </c>
    </row>
    <row r="515" spans="1:12" x14ac:dyDescent="0.3">
      <c r="A515" t="s">
        <v>649</v>
      </c>
      <c r="B515" t="s">
        <v>52</v>
      </c>
      <c r="C515" t="s">
        <v>86</v>
      </c>
      <c r="D515">
        <v>35</v>
      </c>
      <c r="E515" t="s">
        <v>197</v>
      </c>
      <c r="F515" t="s">
        <v>16</v>
      </c>
      <c r="G515" s="1">
        <v>44756</v>
      </c>
      <c r="H515">
        <v>69146.95</v>
      </c>
      <c r="I515" t="s">
        <v>371</v>
      </c>
      <c r="J515">
        <v>-5456676639</v>
      </c>
      <c r="K515" t="s">
        <v>23</v>
      </c>
      <c r="L515" t="b">
        <v>0</v>
      </c>
    </row>
    <row r="516" spans="1:12" x14ac:dyDescent="0.3">
      <c r="A516" t="s">
        <v>650</v>
      </c>
      <c r="B516" t="s">
        <v>52</v>
      </c>
      <c r="C516" t="s">
        <v>53</v>
      </c>
      <c r="E516" t="s">
        <v>176</v>
      </c>
      <c r="F516" t="s">
        <v>16</v>
      </c>
      <c r="G516" s="1">
        <v>44096</v>
      </c>
      <c r="H516">
        <v>93013.58</v>
      </c>
      <c r="I516" t="s">
        <v>55</v>
      </c>
      <c r="J516">
        <v>-4735047638</v>
      </c>
      <c r="K516" t="s">
        <v>18</v>
      </c>
      <c r="L516" t="b">
        <v>1</v>
      </c>
    </row>
    <row r="517" spans="1:12" x14ac:dyDescent="0.3">
      <c r="A517" t="s">
        <v>651</v>
      </c>
      <c r="B517" t="s">
        <v>67</v>
      </c>
      <c r="C517" t="s">
        <v>37</v>
      </c>
      <c r="D517">
        <v>40</v>
      </c>
      <c r="E517" t="s">
        <v>103</v>
      </c>
      <c r="F517" t="s">
        <v>16</v>
      </c>
      <c r="G517" s="1">
        <v>43908</v>
      </c>
      <c r="H517">
        <v>87364.78</v>
      </c>
      <c r="I517" t="s">
        <v>69</v>
      </c>
      <c r="J517">
        <v>-2831995297</v>
      </c>
      <c r="K517" t="s">
        <v>30</v>
      </c>
      <c r="L517" t="b">
        <v>0</v>
      </c>
    </row>
    <row r="518" spans="1:12" x14ac:dyDescent="0.3">
      <c r="A518" t="s">
        <v>652</v>
      </c>
      <c r="B518" t="s">
        <v>25</v>
      </c>
      <c r="C518" t="s">
        <v>42</v>
      </c>
      <c r="D518">
        <v>35</v>
      </c>
      <c r="E518" t="s">
        <v>100</v>
      </c>
      <c r="F518" t="s">
        <v>16</v>
      </c>
      <c r="G518" s="1">
        <v>45216</v>
      </c>
      <c r="H518">
        <v>50288.67</v>
      </c>
      <c r="I518" t="s">
        <v>44</v>
      </c>
      <c r="J518">
        <v>-61558107</v>
      </c>
      <c r="K518" t="s">
        <v>23</v>
      </c>
      <c r="L518" t="b">
        <v>0</v>
      </c>
    </row>
    <row r="519" spans="1:12" x14ac:dyDescent="0.3">
      <c r="A519" t="s">
        <v>653</v>
      </c>
      <c r="B519" t="s">
        <v>57</v>
      </c>
      <c r="C519" t="s">
        <v>86</v>
      </c>
      <c r="D519">
        <v>35</v>
      </c>
      <c r="E519" t="s">
        <v>64</v>
      </c>
      <c r="F519" t="s">
        <v>16</v>
      </c>
      <c r="G519" s="1">
        <v>44616</v>
      </c>
      <c r="H519">
        <v>85233.55</v>
      </c>
      <c r="I519" t="s">
        <v>98</v>
      </c>
      <c r="J519">
        <v>-3583286341</v>
      </c>
      <c r="K519" t="s">
        <v>30</v>
      </c>
      <c r="L519" t="b">
        <v>1</v>
      </c>
    </row>
    <row r="520" spans="1:12" x14ac:dyDescent="0.3">
      <c r="A520" t="s">
        <v>654</v>
      </c>
      <c r="B520" t="s">
        <v>13</v>
      </c>
      <c r="C520" t="s">
        <v>42</v>
      </c>
      <c r="D520">
        <v>25</v>
      </c>
      <c r="E520" t="s">
        <v>131</v>
      </c>
      <c r="F520" t="s">
        <v>33</v>
      </c>
      <c r="G520" s="1">
        <v>45321</v>
      </c>
      <c r="H520">
        <v>86420.19</v>
      </c>
      <c r="I520" t="s">
        <v>136</v>
      </c>
      <c r="J520">
        <v>-5563830007</v>
      </c>
      <c r="K520" t="s">
        <v>30</v>
      </c>
      <c r="L520" t="b">
        <v>0</v>
      </c>
    </row>
    <row r="521" spans="1:12" x14ac:dyDescent="0.3">
      <c r="A521" t="s">
        <v>655</v>
      </c>
      <c r="B521" t="s">
        <v>67</v>
      </c>
      <c r="C521" t="s">
        <v>53</v>
      </c>
      <c r="D521">
        <v>30</v>
      </c>
      <c r="E521" t="s">
        <v>180</v>
      </c>
      <c r="F521" t="s">
        <v>33</v>
      </c>
      <c r="G521" s="1">
        <v>45367</v>
      </c>
      <c r="H521">
        <v>63189.82</v>
      </c>
      <c r="I521" t="s">
        <v>116</v>
      </c>
      <c r="J521">
        <v>-1867024402</v>
      </c>
      <c r="K521" t="s">
        <v>23</v>
      </c>
      <c r="L521" t="b">
        <v>0</v>
      </c>
    </row>
    <row r="522" spans="1:12" x14ac:dyDescent="0.3">
      <c r="A522" t="s">
        <v>656</v>
      </c>
      <c r="B522" t="s">
        <v>67</v>
      </c>
      <c r="C522" t="s">
        <v>42</v>
      </c>
      <c r="D522">
        <v>25</v>
      </c>
      <c r="E522" t="s">
        <v>169</v>
      </c>
      <c r="F522" t="s">
        <v>28</v>
      </c>
      <c r="G522" s="1">
        <v>44099</v>
      </c>
      <c r="H522">
        <v>64783.32</v>
      </c>
      <c r="I522" t="s">
        <v>78</v>
      </c>
      <c r="J522">
        <v>-3041662410</v>
      </c>
      <c r="K522" t="s">
        <v>18</v>
      </c>
      <c r="L522" t="b">
        <v>0</v>
      </c>
    </row>
    <row r="523" spans="1:12" x14ac:dyDescent="0.3">
      <c r="A523" t="s">
        <v>657</v>
      </c>
      <c r="B523" t="s">
        <v>52</v>
      </c>
      <c r="C523" t="s">
        <v>14</v>
      </c>
      <c r="D523">
        <v>25</v>
      </c>
      <c r="E523" t="s">
        <v>133</v>
      </c>
      <c r="F523" t="s">
        <v>28</v>
      </c>
      <c r="G523" s="1">
        <v>45453</v>
      </c>
      <c r="H523">
        <v>52615.44</v>
      </c>
      <c r="I523" t="s">
        <v>149</v>
      </c>
      <c r="J523">
        <v>-1860089218</v>
      </c>
      <c r="K523" t="s">
        <v>18</v>
      </c>
      <c r="L523" t="b">
        <v>0</v>
      </c>
    </row>
    <row r="524" spans="1:12" x14ac:dyDescent="0.3">
      <c r="A524" t="s">
        <v>658</v>
      </c>
      <c r="B524" t="s">
        <v>32</v>
      </c>
      <c r="C524" t="s">
        <v>86</v>
      </c>
      <c r="E524" t="s">
        <v>43</v>
      </c>
      <c r="F524" t="s">
        <v>28</v>
      </c>
      <c r="G524" s="1">
        <v>43929</v>
      </c>
      <c r="H524">
        <v>96337.89</v>
      </c>
      <c r="I524" t="s">
        <v>213</v>
      </c>
      <c r="J524">
        <v>-6394568043</v>
      </c>
      <c r="K524" t="s">
        <v>40</v>
      </c>
      <c r="L524" t="b">
        <v>0</v>
      </c>
    </row>
    <row r="525" spans="1:12" x14ac:dyDescent="0.3">
      <c r="A525" t="s">
        <v>659</v>
      </c>
      <c r="B525" t="s">
        <v>25</v>
      </c>
      <c r="C525" t="s">
        <v>14</v>
      </c>
      <c r="D525">
        <v>25</v>
      </c>
      <c r="E525" t="s">
        <v>197</v>
      </c>
      <c r="F525" t="s">
        <v>33</v>
      </c>
      <c r="G525" s="1">
        <v>44740</v>
      </c>
      <c r="H525">
        <v>76617.759999999995</v>
      </c>
      <c r="I525" t="s">
        <v>143</v>
      </c>
      <c r="J525">
        <v>-7314976460</v>
      </c>
      <c r="K525" t="s">
        <v>23</v>
      </c>
      <c r="L525" t="b">
        <v>1</v>
      </c>
    </row>
    <row r="526" spans="1:12" x14ac:dyDescent="0.3">
      <c r="A526" t="s">
        <v>660</v>
      </c>
      <c r="B526" t="s">
        <v>63</v>
      </c>
      <c r="C526" t="s">
        <v>53</v>
      </c>
      <c r="D526">
        <v>30</v>
      </c>
      <c r="E526" t="s">
        <v>27</v>
      </c>
      <c r="F526" t="s">
        <v>28</v>
      </c>
      <c r="G526" s="1">
        <v>45121</v>
      </c>
      <c r="H526">
        <v>50651.32</v>
      </c>
      <c r="I526" t="s">
        <v>104</v>
      </c>
      <c r="J526">
        <v>-3684748835</v>
      </c>
      <c r="K526" t="s">
        <v>40</v>
      </c>
      <c r="L526" t="b">
        <v>0</v>
      </c>
    </row>
    <row r="527" spans="1:12" x14ac:dyDescent="0.3">
      <c r="A527" t="s">
        <v>661</v>
      </c>
      <c r="B527" t="s">
        <v>13</v>
      </c>
      <c r="C527" t="s">
        <v>14</v>
      </c>
      <c r="E527" t="s">
        <v>166</v>
      </c>
      <c r="F527" t="s">
        <v>28</v>
      </c>
      <c r="G527" s="1">
        <v>45266</v>
      </c>
      <c r="H527">
        <v>59601.45</v>
      </c>
      <c r="I527" t="s">
        <v>17</v>
      </c>
      <c r="J527">
        <v>-765817389</v>
      </c>
      <c r="K527" t="s">
        <v>40</v>
      </c>
      <c r="L527" t="b">
        <v>0</v>
      </c>
    </row>
    <row r="528" spans="1:12" x14ac:dyDescent="0.3">
      <c r="A528" t="s">
        <v>662</v>
      </c>
      <c r="B528" t="s">
        <v>13</v>
      </c>
      <c r="C528" t="s">
        <v>37</v>
      </c>
      <c r="E528" t="s">
        <v>75</v>
      </c>
      <c r="F528" t="s">
        <v>16</v>
      </c>
      <c r="G528" s="1">
        <v>44409</v>
      </c>
      <c r="H528">
        <v>57980.88</v>
      </c>
      <c r="I528" t="s">
        <v>129</v>
      </c>
      <c r="J528">
        <v>-6375791451</v>
      </c>
      <c r="K528" t="s">
        <v>40</v>
      </c>
      <c r="L528" t="b">
        <v>0</v>
      </c>
    </row>
    <row r="529" spans="1:12" x14ac:dyDescent="0.3">
      <c r="A529" t="s">
        <v>663</v>
      </c>
      <c r="B529" t="s">
        <v>57</v>
      </c>
      <c r="C529" t="s">
        <v>53</v>
      </c>
      <c r="E529" t="s">
        <v>108</v>
      </c>
      <c r="F529" t="s">
        <v>28</v>
      </c>
      <c r="G529" s="1">
        <v>44244</v>
      </c>
      <c r="H529">
        <v>75054.53</v>
      </c>
      <c r="I529" t="s">
        <v>183</v>
      </c>
      <c r="J529">
        <v>-1182379311</v>
      </c>
      <c r="K529" t="s">
        <v>18</v>
      </c>
      <c r="L529" t="b">
        <v>0</v>
      </c>
    </row>
    <row r="530" spans="1:12" x14ac:dyDescent="0.3">
      <c r="A530" t="s">
        <v>664</v>
      </c>
      <c r="B530" t="s">
        <v>52</v>
      </c>
      <c r="C530" t="s">
        <v>53</v>
      </c>
      <c r="D530">
        <v>25</v>
      </c>
      <c r="E530" t="s">
        <v>72</v>
      </c>
      <c r="F530" t="s">
        <v>16</v>
      </c>
      <c r="G530" s="1">
        <v>45240</v>
      </c>
      <c r="H530">
        <v>115318.7</v>
      </c>
      <c r="I530" t="s">
        <v>55</v>
      </c>
      <c r="J530">
        <v>-6978930745</v>
      </c>
      <c r="K530" t="s">
        <v>23</v>
      </c>
      <c r="L530" t="b">
        <v>0</v>
      </c>
    </row>
    <row r="531" spans="1:12" x14ac:dyDescent="0.3">
      <c r="A531" t="s">
        <v>665</v>
      </c>
      <c r="B531" t="s">
        <v>25</v>
      </c>
      <c r="C531" t="s">
        <v>53</v>
      </c>
      <c r="D531">
        <v>25</v>
      </c>
      <c r="E531" t="s">
        <v>197</v>
      </c>
      <c r="F531" t="s">
        <v>16</v>
      </c>
      <c r="G531" s="1">
        <v>45541</v>
      </c>
      <c r="H531">
        <v>90190.69</v>
      </c>
      <c r="I531" t="s">
        <v>134</v>
      </c>
      <c r="J531">
        <v>-4520599603</v>
      </c>
      <c r="K531" t="s">
        <v>40</v>
      </c>
      <c r="L531" t="b">
        <v>1</v>
      </c>
    </row>
    <row r="532" spans="1:12" x14ac:dyDescent="0.3">
      <c r="A532" t="s">
        <v>666</v>
      </c>
      <c r="B532" t="s">
        <v>13</v>
      </c>
      <c r="C532" t="s">
        <v>111</v>
      </c>
      <c r="E532" t="s">
        <v>80</v>
      </c>
      <c r="F532" t="s">
        <v>28</v>
      </c>
      <c r="G532" s="1">
        <v>44038</v>
      </c>
      <c r="H532">
        <v>113334.56</v>
      </c>
      <c r="I532" t="s">
        <v>112</v>
      </c>
      <c r="J532">
        <v>-3878753576</v>
      </c>
      <c r="K532" t="s">
        <v>23</v>
      </c>
      <c r="L532" t="b">
        <v>0</v>
      </c>
    </row>
    <row r="533" spans="1:12" x14ac:dyDescent="0.3">
      <c r="A533" t="s">
        <v>667</v>
      </c>
      <c r="B533" t="s">
        <v>63</v>
      </c>
      <c r="C533" t="s">
        <v>42</v>
      </c>
      <c r="D533">
        <v>35</v>
      </c>
      <c r="E533" t="s">
        <v>180</v>
      </c>
      <c r="F533" t="s">
        <v>16</v>
      </c>
      <c r="G533" s="1">
        <v>44035</v>
      </c>
      <c r="H533">
        <v>106922.49</v>
      </c>
      <c r="I533" t="s">
        <v>209</v>
      </c>
      <c r="J533">
        <v>-8811616201</v>
      </c>
      <c r="K533" t="s">
        <v>23</v>
      </c>
      <c r="L533" t="b">
        <v>1</v>
      </c>
    </row>
    <row r="534" spans="1:12" x14ac:dyDescent="0.3">
      <c r="A534" t="s">
        <v>668</v>
      </c>
      <c r="B534" t="s">
        <v>32</v>
      </c>
      <c r="C534" t="s">
        <v>111</v>
      </c>
      <c r="D534">
        <v>35</v>
      </c>
      <c r="E534" t="s">
        <v>15</v>
      </c>
      <c r="F534" t="s">
        <v>33</v>
      </c>
      <c r="G534" s="1">
        <v>45343</v>
      </c>
      <c r="H534">
        <v>58113.07</v>
      </c>
      <c r="I534" t="s">
        <v>384</v>
      </c>
      <c r="J534">
        <v>-8123710671</v>
      </c>
      <c r="K534" t="s">
        <v>18</v>
      </c>
      <c r="L534" t="b">
        <v>1</v>
      </c>
    </row>
    <row r="535" spans="1:12" x14ac:dyDescent="0.3">
      <c r="A535" t="s">
        <v>669</v>
      </c>
      <c r="B535" t="s">
        <v>25</v>
      </c>
      <c r="C535" t="s">
        <v>111</v>
      </c>
      <c r="D535">
        <v>25</v>
      </c>
      <c r="E535" t="s">
        <v>27</v>
      </c>
      <c r="F535" t="s">
        <v>28</v>
      </c>
      <c r="G535" s="1">
        <v>44180</v>
      </c>
      <c r="H535">
        <v>73006.259999999995</v>
      </c>
      <c r="I535" t="s">
        <v>159</v>
      </c>
      <c r="J535">
        <v>-8728660415</v>
      </c>
      <c r="K535" t="s">
        <v>40</v>
      </c>
      <c r="L535" t="b">
        <v>1</v>
      </c>
    </row>
    <row r="536" spans="1:12" x14ac:dyDescent="0.3">
      <c r="A536" t="s">
        <v>670</v>
      </c>
      <c r="B536" t="s">
        <v>32</v>
      </c>
      <c r="C536" t="s">
        <v>37</v>
      </c>
      <c r="D536">
        <v>25</v>
      </c>
      <c r="E536" t="s">
        <v>131</v>
      </c>
      <c r="F536" t="s">
        <v>16</v>
      </c>
      <c r="G536" s="1">
        <v>44064</v>
      </c>
      <c r="H536">
        <v>78054.429999999993</v>
      </c>
      <c r="I536" t="s">
        <v>127</v>
      </c>
      <c r="J536">
        <v>-4485959223</v>
      </c>
      <c r="K536" t="s">
        <v>40</v>
      </c>
      <c r="L536" t="b">
        <v>1</v>
      </c>
    </row>
    <row r="537" spans="1:12" x14ac:dyDescent="0.3">
      <c r="A537" t="s">
        <v>671</v>
      </c>
      <c r="B537" t="s">
        <v>32</v>
      </c>
      <c r="C537" t="s">
        <v>86</v>
      </c>
      <c r="D537">
        <v>40</v>
      </c>
      <c r="E537" t="s">
        <v>192</v>
      </c>
      <c r="F537" t="s">
        <v>33</v>
      </c>
      <c r="G537" s="1">
        <v>45159</v>
      </c>
      <c r="H537">
        <v>112028.67</v>
      </c>
      <c r="I537" t="s">
        <v>213</v>
      </c>
      <c r="J537">
        <v>-8395894772</v>
      </c>
      <c r="K537" t="s">
        <v>23</v>
      </c>
      <c r="L537" t="b">
        <v>0</v>
      </c>
    </row>
    <row r="538" spans="1:12" x14ac:dyDescent="0.3">
      <c r="A538" t="s">
        <v>672</v>
      </c>
      <c r="B538" t="s">
        <v>52</v>
      </c>
      <c r="C538" t="s">
        <v>42</v>
      </c>
      <c r="D538">
        <v>25</v>
      </c>
      <c r="E538" t="s">
        <v>96</v>
      </c>
      <c r="F538" t="s">
        <v>33</v>
      </c>
      <c r="G538" s="1">
        <v>45040</v>
      </c>
      <c r="H538">
        <v>83787.240000000005</v>
      </c>
      <c r="I538" t="s">
        <v>81</v>
      </c>
      <c r="J538">
        <v>-5228705621</v>
      </c>
      <c r="K538" t="s">
        <v>30</v>
      </c>
      <c r="L538" t="b">
        <v>1</v>
      </c>
    </row>
    <row r="539" spans="1:12" x14ac:dyDescent="0.3">
      <c r="A539" t="s">
        <v>673</v>
      </c>
      <c r="B539" t="s">
        <v>63</v>
      </c>
      <c r="C539" t="s">
        <v>14</v>
      </c>
      <c r="D539">
        <v>30</v>
      </c>
      <c r="E539" t="s">
        <v>72</v>
      </c>
      <c r="F539" t="s">
        <v>33</v>
      </c>
      <c r="G539" s="1">
        <v>45083</v>
      </c>
      <c r="H539">
        <v>52017.14</v>
      </c>
      <c r="I539" t="s">
        <v>301</v>
      </c>
      <c r="J539">
        <v>-7104331874</v>
      </c>
      <c r="K539" t="s">
        <v>18</v>
      </c>
      <c r="L539" t="b">
        <v>1</v>
      </c>
    </row>
    <row r="540" spans="1:12" x14ac:dyDescent="0.3">
      <c r="A540" t="s">
        <v>674</v>
      </c>
      <c r="B540" t="s">
        <v>52</v>
      </c>
      <c r="C540" t="s">
        <v>26</v>
      </c>
      <c r="D540">
        <v>40</v>
      </c>
      <c r="E540" t="s">
        <v>21</v>
      </c>
      <c r="F540" t="s">
        <v>33</v>
      </c>
      <c r="G540" s="1">
        <v>44733</v>
      </c>
      <c r="H540">
        <v>53218.06</v>
      </c>
      <c r="I540" t="s">
        <v>109</v>
      </c>
      <c r="J540">
        <v>-1097921582</v>
      </c>
      <c r="K540" t="s">
        <v>18</v>
      </c>
      <c r="L540" t="b">
        <v>0</v>
      </c>
    </row>
    <row r="541" spans="1:12" x14ac:dyDescent="0.3">
      <c r="A541" t="s">
        <v>675</v>
      </c>
      <c r="B541" t="s">
        <v>36</v>
      </c>
      <c r="C541" t="s">
        <v>53</v>
      </c>
      <c r="D541">
        <v>25</v>
      </c>
      <c r="E541" t="s">
        <v>258</v>
      </c>
      <c r="F541" t="s">
        <v>28</v>
      </c>
      <c r="G541" s="1">
        <v>45402</v>
      </c>
      <c r="H541">
        <v>102053.67</v>
      </c>
      <c r="I541" t="s">
        <v>219</v>
      </c>
      <c r="J541">
        <v>-5034469458</v>
      </c>
      <c r="K541" t="s">
        <v>18</v>
      </c>
      <c r="L541" t="b">
        <v>0</v>
      </c>
    </row>
    <row r="542" spans="1:12" x14ac:dyDescent="0.3">
      <c r="A542" t="s">
        <v>676</v>
      </c>
      <c r="B542" t="s">
        <v>57</v>
      </c>
      <c r="C542" t="s">
        <v>14</v>
      </c>
      <c r="D542">
        <v>35</v>
      </c>
      <c r="E542" t="s">
        <v>91</v>
      </c>
      <c r="F542" t="s">
        <v>28</v>
      </c>
      <c r="G542" s="1">
        <v>45265</v>
      </c>
      <c r="H542">
        <v>93276.73</v>
      </c>
      <c r="I542" t="s">
        <v>61</v>
      </c>
      <c r="J542">
        <v>-6488319212</v>
      </c>
      <c r="K542" t="s">
        <v>18</v>
      </c>
      <c r="L542" t="b">
        <v>0</v>
      </c>
    </row>
    <row r="543" spans="1:12" x14ac:dyDescent="0.3">
      <c r="A543" t="s">
        <v>677</v>
      </c>
      <c r="B543" t="s">
        <v>57</v>
      </c>
      <c r="C543" t="s">
        <v>53</v>
      </c>
      <c r="D543">
        <v>40</v>
      </c>
      <c r="E543" t="s">
        <v>133</v>
      </c>
      <c r="F543" t="s">
        <v>28</v>
      </c>
      <c r="G543" s="1">
        <v>45144</v>
      </c>
      <c r="H543">
        <v>76941.36</v>
      </c>
      <c r="I543" t="s">
        <v>183</v>
      </c>
      <c r="J543">
        <v>-4249128964</v>
      </c>
      <c r="K543" t="s">
        <v>40</v>
      </c>
      <c r="L543" t="b">
        <v>1</v>
      </c>
    </row>
    <row r="544" spans="1:12" x14ac:dyDescent="0.3">
      <c r="A544" t="s">
        <v>678</v>
      </c>
      <c r="B544" t="s">
        <v>25</v>
      </c>
      <c r="C544" t="s">
        <v>37</v>
      </c>
      <c r="D544">
        <v>25</v>
      </c>
      <c r="E544" t="s">
        <v>54</v>
      </c>
      <c r="F544" t="s">
        <v>28</v>
      </c>
      <c r="G544" s="1">
        <v>45569</v>
      </c>
      <c r="H544">
        <v>82850.23</v>
      </c>
      <c r="I544" t="s">
        <v>281</v>
      </c>
      <c r="J544">
        <v>-9994973202</v>
      </c>
      <c r="K544" t="s">
        <v>40</v>
      </c>
      <c r="L544" t="b">
        <v>0</v>
      </c>
    </row>
    <row r="545" spans="1:12" x14ac:dyDescent="0.3">
      <c r="A545" t="s">
        <v>679</v>
      </c>
      <c r="B545" t="s">
        <v>52</v>
      </c>
      <c r="C545" t="s">
        <v>53</v>
      </c>
      <c r="D545">
        <v>25</v>
      </c>
      <c r="E545" t="s">
        <v>68</v>
      </c>
      <c r="F545" t="s">
        <v>16</v>
      </c>
      <c r="G545" s="1">
        <v>44508</v>
      </c>
      <c r="H545">
        <v>117910.15</v>
      </c>
      <c r="I545" t="s">
        <v>55</v>
      </c>
      <c r="J545">
        <v>-3192227050</v>
      </c>
      <c r="K545" t="s">
        <v>30</v>
      </c>
      <c r="L545" t="b">
        <v>0</v>
      </c>
    </row>
    <row r="546" spans="1:12" x14ac:dyDescent="0.3">
      <c r="A546" t="s">
        <v>680</v>
      </c>
      <c r="B546" t="s">
        <v>57</v>
      </c>
      <c r="C546" t="s">
        <v>111</v>
      </c>
      <c r="E546" t="s">
        <v>192</v>
      </c>
      <c r="F546" t="s">
        <v>33</v>
      </c>
      <c r="G546" s="1">
        <v>45504</v>
      </c>
      <c r="H546">
        <v>66450</v>
      </c>
      <c r="I546" t="s">
        <v>266</v>
      </c>
      <c r="J546">
        <v>-287675480</v>
      </c>
      <c r="K546" t="s">
        <v>18</v>
      </c>
      <c r="L546" t="b">
        <v>1</v>
      </c>
    </row>
    <row r="547" spans="1:12" x14ac:dyDescent="0.3">
      <c r="A547" t="s">
        <v>681</v>
      </c>
      <c r="B547" t="s">
        <v>63</v>
      </c>
      <c r="C547" t="s">
        <v>42</v>
      </c>
      <c r="D547">
        <v>25</v>
      </c>
      <c r="E547" t="s">
        <v>103</v>
      </c>
      <c r="F547" t="s">
        <v>33</v>
      </c>
      <c r="G547" s="1">
        <v>44074</v>
      </c>
      <c r="H547">
        <v>118646.95</v>
      </c>
      <c r="I547" t="s">
        <v>209</v>
      </c>
      <c r="J547">
        <v>-3866675484</v>
      </c>
      <c r="K547" t="s">
        <v>18</v>
      </c>
      <c r="L547" t="b">
        <v>0</v>
      </c>
    </row>
    <row r="548" spans="1:12" x14ac:dyDescent="0.3">
      <c r="A548" t="s">
        <v>682</v>
      </c>
      <c r="B548" t="s">
        <v>25</v>
      </c>
      <c r="C548" t="s">
        <v>26</v>
      </c>
      <c r="D548">
        <v>25</v>
      </c>
      <c r="E548" t="s">
        <v>103</v>
      </c>
      <c r="F548" t="s">
        <v>16</v>
      </c>
      <c r="G548" s="1">
        <v>44972</v>
      </c>
      <c r="H548">
        <v>88436.92</v>
      </c>
      <c r="I548" t="s">
        <v>29</v>
      </c>
      <c r="J548">
        <v>-8193242686</v>
      </c>
      <c r="K548" t="s">
        <v>23</v>
      </c>
      <c r="L548" t="b">
        <v>0</v>
      </c>
    </row>
    <row r="549" spans="1:12" x14ac:dyDescent="0.3">
      <c r="A549" t="s">
        <v>683</v>
      </c>
      <c r="B549" t="s">
        <v>32</v>
      </c>
      <c r="C549" t="s">
        <v>20</v>
      </c>
      <c r="E549" t="s">
        <v>100</v>
      </c>
      <c r="F549" t="s">
        <v>28</v>
      </c>
      <c r="G549" s="1">
        <v>45206</v>
      </c>
      <c r="H549">
        <v>81934.55</v>
      </c>
      <c r="I549" t="s">
        <v>138</v>
      </c>
      <c r="J549">
        <v>-7418652056</v>
      </c>
      <c r="K549" t="s">
        <v>40</v>
      </c>
      <c r="L549" t="b">
        <v>0</v>
      </c>
    </row>
    <row r="550" spans="1:12" x14ac:dyDescent="0.3">
      <c r="A550" t="s">
        <v>684</v>
      </c>
      <c r="B550" t="s">
        <v>25</v>
      </c>
      <c r="C550" t="s">
        <v>53</v>
      </c>
      <c r="D550">
        <v>30</v>
      </c>
      <c r="E550" t="s">
        <v>68</v>
      </c>
      <c r="F550" t="s">
        <v>28</v>
      </c>
      <c r="G550" s="1">
        <v>45402</v>
      </c>
      <c r="H550">
        <v>93383.06</v>
      </c>
      <c r="I550" t="s">
        <v>134</v>
      </c>
      <c r="J550">
        <v>-5639836519</v>
      </c>
      <c r="K550" t="s">
        <v>18</v>
      </c>
      <c r="L550" t="b">
        <v>0</v>
      </c>
    </row>
    <row r="551" spans="1:12" x14ac:dyDescent="0.3">
      <c r="A551" t="s">
        <v>685</v>
      </c>
      <c r="B551" t="s">
        <v>36</v>
      </c>
      <c r="C551" t="s">
        <v>14</v>
      </c>
      <c r="D551">
        <v>40</v>
      </c>
      <c r="E551" t="s">
        <v>141</v>
      </c>
      <c r="F551" t="s">
        <v>28</v>
      </c>
      <c r="G551" s="1">
        <v>44285</v>
      </c>
      <c r="H551">
        <v>50153.79</v>
      </c>
      <c r="I551" t="s">
        <v>50</v>
      </c>
      <c r="J551">
        <v>-3758309450</v>
      </c>
      <c r="K551" t="s">
        <v>30</v>
      </c>
      <c r="L551" t="b">
        <v>1</v>
      </c>
    </row>
    <row r="552" spans="1:12" x14ac:dyDescent="0.3">
      <c r="A552" t="s">
        <v>686</v>
      </c>
      <c r="B552" t="s">
        <v>32</v>
      </c>
      <c r="C552" t="s">
        <v>111</v>
      </c>
      <c r="E552" t="s">
        <v>155</v>
      </c>
      <c r="F552" t="s">
        <v>28</v>
      </c>
      <c r="G552" s="1">
        <v>44048</v>
      </c>
      <c r="H552">
        <v>53204.47</v>
      </c>
      <c r="I552" t="s">
        <v>384</v>
      </c>
      <c r="J552">
        <v>-5480940475</v>
      </c>
      <c r="K552" t="s">
        <v>30</v>
      </c>
      <c r="L552" t="b">
        <v>0</v>
      </c>
    </row>
    <row r="553" spans="1:12" x14ac:dyDescent="0.3">
      <c r="A553" t="s">
        <v>687</v>
      </c>
      <c r="B553" t="s">
        <v>52</v>
      </c>
      <c r="C553" t="s">
        <v>20</v>
      </c>
      <c r="D553">
        <v>40</v>
      </c>
      <c r="E553" t="s">
        <v>217</v>
      </c>
      <c r="F553" t="s">
        <v>28</v>
      </c>
      <c r="G553" s="1">
        <v>44232</v>
      </c>
      <c r="H553">
        <v>63128.04</v>
      </c>
      <c r="I553" t="s">
        <v>114</v>
      </c>
      <c r="J553">
        <v>-440907976</v>
      </c>
      <c r="K553" t="s">
        <v>40</v>
      </c>
      <c r="L553" t="b">
        <v>0</v>
      </c>
    </row>
    <row r="554" spans="1:12" x14ac:dyDescent="0.3">
      <c r="A554" t="s">
        <v>688</v>
      </c>
      <c r="B554" t="s">
        <v>67</v>
      </c>
      <c r="C554" t="s">
        <v>26</v>
      </c>
      <c r="D554">
        <v>30</v>
      </c>
      <c r="E554" t="s">
        <v>190</v>
      </c>
      <c r="F554" t="s">
        <v>28</v>
      </c>
      <c r="G554" s="1">
        <v>44523</v>
      </c>
      <c r="H554">
        <v>57543.6</v>
      </c>
      <c r="I554" t="s">
        <v>73</v>
      </c>
      <c r="J554">
        <v>-2781050921</v>
      </c>
      <c r="K554" t="s">
        <v>30</v>
      </c>
      <c r="L554" t="b">
        <v>1</v>
      </c>
    </row>
    <row r="555" spans="1:12" x14ac:dyDescent="0.3">
      <c r="A555" t="s">
        <v>689</v>
      </c>
      <c r="B555" t="s">
        <v>13</v>
      </c>
      <c r="C555" t="s">
        <v>20</v>
      </c>
      <c r="D555">
        <v>40</v>
      </c>
      <c r="E555" t="s">
        <v>93</v>
      </c>
      <c r="F555" t="s">
        <v>28</v>
      </c>
      <c r="G555" s="1">
        <v>44863</v>
      </c>
      <c r="H555">
        <v>59424.52</v>
      </c>
      <c r="I555" t="s">
        <v>22</v>
      </c>
      <c r="J555">
        <v>-2161070517</v>
      </c>
      <c r="K555" t="s">
        <v>30</v>
      </c>
      <c r="L555" t="b">
        <v>0</v>
      </c>
    </row>
    <row r="556" spans="1:12" x14ac:dyDescent="0.3">
      <c r="A556" t="s">
        <v>690</v>
      </c>
      <c r="B556" t="s">
        <v>25</v>
      </c>
      <c r="C556" t="s">
        <v>111</v>
      </c>
      <c r="E556" t="s">
        <v>215</v>
      </c>
      <c r="F556" t="s">
        <v>33</v>
      </c>
      <c r="G556" s="1">
        <v>44872</v>
      </c>
      <c r="H556">
        <v>104675.7</v>
      </c>
      <c r="I556" t="s">
        <v>159</v>
      </c>
      <c r="J556">
        <v>-4390552957</v>
      </c>
      <c r="K556" t="s">
        <v>40</v>
      </c>
      <c r="L556" t="b">
        <v>1</v>
      </c>
    </row>
    <row r="557" spans="1:12" x14ac:dyDescent="0.3">
      <c r="A557" t="s">
        <v>691</v>
      </c>
      <c r="B557" t="s">
        <v>52</v>
      </c>
      <c r="C557" t="s">
        <v>42</v>
      </c>
      <c r="D557">
        <v>30</v>
      </c>
      <c r="E557" t="s">
        <v>38</v>
      </c>
      <c r="F557" t="s">
        <v>28</v>
      </c>
      <c r="G557" s="1">
        <v>45060</v>
      </c>
      <c r="H557">
        <v>92431.25</v>
      </c>
      <c r="I557" t="s">
        <v>81</v>
      </c>
      <c r="J557">
        <v>-660138240</v>
      </c>
      <c r="K557" t="s">
        <v>18</v>
      </c>
      <c r="L557" t="b">
        <v>0</v>
      </c>
    </row>
    <row r="558" spans="1:12" x14ac:dyDescent="0.3">
      <c r="A558" t="s">
        <v>692</v>
      </c>
      <c r="B558" t="s">
        <v>67</v>
      </c>
      <c r="C558" t="s">
        <v>42</v>
      </c>
      <c r="D558">
        <v>40</v>
      </c>
      <c r="E558" t="s">
        <v>185</v>
      </c>
      <c r="F558" t="s">
        <v>16</v>
      </c>
      <c r="G558" s="1">
        <v>44391</v>
      </c>
      <c r="H558">
        <v>77850.899999999994</v>
      </c>
      <c r="I558" t="s">
        <v>78</v>
      </c>
      <c r="J558">
        <v>-2704938619</v>
      </c>
      <c r="K558" t="s">
        <v>18</v>
      </c>
      <c r="L558" t="b">
        <v>1</v>
      </c>
    </row>
    <row r="559" spans="1:12" x14ac:dyDescent="0.3">
      <c r="A559" t="s">
        <v>693</v>
      </c>
      <c r="B559" t="s">
        <v>32</v>
      </c>
      <c r="C559" t="s">
        <v>86</v>
      </c>
      <c r="D559">
        <v>40</v>
      </c>
      <c r="E559" t="s">
        <v>169</v>
      </c>
      <c r="F559" t="s">
        <v>33</v>
      </c>
      <c r="G559" s="1">
        <v>45064</v>
      </c>
      <c r="H559">
        <v>99001</v>
      </c>
      <c r="I559" t="s">
        <v>213</v>
      </c>
      <c r="J559">
        <v>-4485157918</v>
      </c>
      <c r="K559" t="s">
        <v>30</v>
      </c>
      <c r="L559" t="b">
        <v>1</v>
      </c>
    </row>
    <row r="560" spans="1:12" x14ac:dyDescent="0.3">
      <c r="A560" t="s">
        <v>694</v>
      </c>
      <c r="B560" t="s">
        <v>32</v>
      </c>
      <c r="C560" t="s">
        <v>42</v>
      </c>
      <c r="E560" t="s">
        <v>133</v>
      </c>
      <c r="F560" t="s">
        <v>28</v>
      </c>
      <c r="G560" s="1">
        <v>44964</v>
      </c>
      <c r="H560">
        <v>94280.83</v>
      </c>
      <c r="I560" t="s">
        <v>236</v>
      </c>
      <c r="J560">
        <v>-7111212589</v>
      </c>
      <c r="K560" t="s">
        <v>30</v>
      </c>
      <c r="L560" t="b">
        <v>1</v>
      </c>
    </row>
    <row r="561" spans="1:12" x14ac:dyDescent="0.3">
      <c r="A561" t="s">
        <v>695</v>
      </c>
      <c r="B561" t="s">
        <v>32</v>
      </c>
      <c r="C561" t="s">
        <v>86</v>
      </c>
      <c r="D561">
        <v>35</v>
      </c>
      <c r="E561" t="s">
        <v>54</v>
      </c>
      <c r="F561" t="s">
        <v>28</v>
      </c>
      <c r="G561" s="1">
        <v>45162</v>
      </c>
      <c r="H561">
        <v>118262.56</v>
      </c>
      <c r="I561" t="s">
        <v>213</v>
      </c>
      <c r="J561">
        <v>-2035713431</v>
      </c>
      <c r="K561" t="s">
        <v>18</v>
      </c>
      <c r="L561" t="b">
        <v>1</v>
      </c>
    </row>
    <row r="562" spans="1:12" x14ac:dyDescent="0.3">
      <c r="A562" t="s">
        <v>696</v>
      </c>
      <c r="B562" t="s">
        <v>36</v>
      </c>
      <c r="C562" t="s">
        <v>20</v>
      </c>
      <c r="D562">
        <v>25</v>
      </c>
      <c r="E562" t="s">
        <v>166</v>
      </c>
      <c r="F562" t="s">
        <v>33</v>
      </c>
      <c r="G562" s="1">
        <v>45024</v>
      </c>
      <c r="H562">
        <v>89944.67</v>
      </c>
      <c r="I562" t="s">
        <v>198</v>
      </c>
      <c r="J562">
        <v>-4064242955</v>
      </c>
      <c r="K562" t="s">
        <v>40</v>
      </c>
      <c r="L562" t="b">
        <v>0</v>
      </c>
    </row>
    <row r="563" spans="1:12" x14ac:dyDescent="0.3">
      <c r="A563" t="s">
        <v>697</v>
      </c>
      <c r="B563" t="s">
        <v>67</v>
      </c>
      <c r="C563" t="s">
        <v>37</v>
      </c>
      <c r="E563" t="s">
        <v>180</v>
      </c>
      <c r="F563" t="s">
        <v>16</v>
      </c>
      <c r="G563" s="1">
        <v>44901</v>
      </c>
      <c r="H563">
        <v>57452.93</v>
      </c>
      <c r="I563" t="s">
        <v>69</v>
      </c>
      <c r="J563">
        <v>-3343244740</v>
      </c>
      <c r="K563" t="s">
        <v>30</v>
      </c>
      <c r="L563" t="b">
        <v>1</v>
      </c>
    </row>
    <row r="564" spans="1:12" x14ac:dyDescent="0.3">
      <c r="A564" t="s">
        <v>698</v>
      </c>
      <c r="B564" t="s">
        <v>25</v>
      </c>
      <c r="C564" t="s">
        <v>14</v>
      </c>
      <c r="D564">
        <v>25</v>
      </c>
      <c r="E564" t="s">
        <v>108</v>
      </c>
      <c r="F564" t="s">
        <v>16</v>
      </c>
      <c r="G564" s="1">
        <v>44417</v>
      </c>
      <c r="H564">
        <v>97837.32</v>
      </c>
      <c r="I564" t="s">
        <v>143</v>
      </c>
      <c r="J564">
        <v>-7595587208</v>
      </c>
      <c r="K564" t="s">
        <v>23</v>
      </c>
      <c r="L564" t="b">
        <v>0</v>
      </c>
    </row>
    <row r="565" spans="1:12" x14ac:dyDescent="0.3">
      <c r="A565" t="s">
        <v>699</v>
      </c>
      <c r="B565" t="s">
        <v>25</v>
      </c>
      <c r="C565" t="s">
        <v>14</v>
      </c>
      <c r="D565">
        <v>35</v>
      </c>
      <c r="E565" t="s">
        <v>83</v>
      </c>
      <c r="F565" t="s">
        <v>16</v>
      </c>
      <c r="G565" s="1">
        <v>44565</v>
      </c>
      <c r="H565">
        <v>106981.84</v>
      </c>
      <c r="I565" t="s">
        <v>143</v>
      </c>
      <c r="J565">
        <v>-6289365434</v>
      </c>
      <c r="K565" t="s">
        <v>40</v>
      </c>
      <c r="L565" t="b">
        <v>1</v>
      </c>
    </row>
    <row r="566" spans="1:12" x14ac:dyDescent="0.3">
      <c r="A566" t="s">
        <v>700</v>
      </c>
      <c r="B566" t="s">
        <v>57</v>
      </c>
      <c r="C566" t="s">
        <v>20</v>
      </c>
      <c r="E566" t="s">
        <v>190</v>
      </c>
      <c r="F566" t="s">
        <v>28</v>
      </c>
      <c r="G566" s="1">
        <v>45437</v>
      </c>
      <c r="H566">
        <v>105778.36</v>
      </c>
      <c r="I566" t="s">
        <v>188</v>
      </c>
      <c r="J566">
        <v>-8841834373</v>
      </c>
      <c r="K566" t="s">
        <v>30</v>
      </c>
      <c r="L566" t="b">
        <v>1</v>
      </c>
    </row>
    <row r="567" spans="1:12" x14ac:dyDescent="0.3">
      <c r="A567" t="s">
        <v>701</v>
      </c>
      <c r="B567" t="s">
        <v>25</v>
      </c>
      <c r="C567" t="s">
        <v>53</v>
      </c>
      <c r="D567">
        <v>40</v>
      </c>
      <c r="E567" t="s">
        <v>103</v>
      </c>
      <c r="F567" t="s">
        <v>28</v>
      </c>
      <c r="G567" s="1">
        <v>44471</v>
      </c>
      <c r="H567">
        <v>117608.32000000001</v>
      </c>
      <c r="I567" t="s">
        <v>134</v>
      </c>
      <c r="J567">
        <v>-182727954</v>
      </c>
      <c r="K567" t="s">
        <v>30</v>
      </c>
      <c r="L567" t="b">
        <v>1</v>
      </c>
    </row>
    <row r="568" spans="1:12" x14ac:dyDescent="0.3">
      <c r="A568" t="s">
        <v>702</v>
      </c>
      <c r="B568" t="s">
        <v>32</v>
      </c>
      <c r="C568" t="s">
        <v>53</v>
      </c>
      <c r="D568">
        <v>30</v>
      </c>
      <c r="E568" t="s">
        <v>72</v>
      </c>
      <c r="F568" t="s">
        <v>16</v>
      </c>
      <c r="G568" s="1">
        <v>45128</v>
      </c>
      <c r="H568">
        <v>99324.03</v>
      </c>
      <c r="I568" t="s">
        <v>254</v>
      </c>
      <c r="J568">
        <v>-9690515025</v>
      </c>
      <c r="K568" t="s">
        <v>23</v>
      </c>
      <c r="L568" t="b">
        <v>0</v>
      </c>
    </row>
    <row r="569" spans="1:12" x14ac:dyDescent="0.3">
      <c r="A569" t="s">
        <v>703</v>
      </c>
      <c r="B569" t="s">
        <v>57</v>
      </c>
      <c r="C569" t="s">
        <v>42</v>
      </c>
      <c r="D569">
        <v>30</v>
      </c>
      <c r="E569" t="s">
        <v>180</v>
      </c>
      <c r="F569" t="s">
        <v>16</v>
      </c>
      <c r="G569" s="1">
        <v>45229</v>
      </c>
      <c r="H569">
        <v>55212.83</v>
      </c>
      <c r="I569" t="s">
        <v>94</v>
      </c>
      <c r="J569">
        <v>-7551254277</v>
      </c>
      <c r="K569" t="s">
        <v>23</v>
      </c>
      <c r="L569" t="b">
        <v>1</v>
      </c>
    </row>
    <row r="570" spans="1:12" x14ac:dyDescent="0.3">
      <c r="A570" t="s">
        <v>704</v>
      </c>
      <c r="B570" t="s">
        <v>13</v>
      </c>
      <c r="C570" t="s">
        <v>14</v>
      </c>
      <c r="D570">
        <v>40</v>
      </c>
      <c r="E570" t="s">
        <v>38</v>
      </c>
      <c r="F570" t="s">
        <v>33</v>
      </c>
      <c r="G570" s="1">
        <v>44970</v>
      </c>
      <c r="H570">
        <v>68496.77</v>
      </c>
      <c r="I570" t="s">
        <v>17</v>
      </c>
      <c r="J570">
        <v>-2079799666</v>
      </c>
      <c r="K570" t="s">
        <v>18</v>
      </c>
      <c r="L570" t="b">
        <v>0</v>
      </c>
    </row>
    <row r="571" spans="1:12" x14ac:dyDescent="0.3">
      <c r="A571" t="s">
        <v>705</v>
      </c>
      <c r="B571" t="s">
        <v>32</v>
      </c>
      <c r="C571" t="s">
        <v>14</v>
      </c>
      <c r="D571">
        <v>25</v>
      </c>
      <c r="E571" t="s">
        <v>180</v>
      </c>
      <c r="F571" t="s">
        <v>28</v>
      </c>
      <c r="G571" s="1">
        <v>44148</v>
      </c>
      <c r="H571">
        <v>52795.839999999997</v>
      </c>
      <c r="I571" t="s">
        <v>34</v>
      </c>
      <c r="J571">
        <v>-3459576402</v>
      </c>
      <c r="K571" t="s">
        <v>40</v>
      </c>
      <c r="L571" t="b">
        <v>0</v>
      </c>
    </row>
    <row r="572" spans="1:12" x14ac:dyDescent="0.3">
      <c r="A572" t="s">
        <v>706</v>
      </c>
      <c r="B572" t="s">
        <v>25</v>
      </c>
      <c r="C572" t="s">
        <v>86</v>
      </c>
      <c r="E572" t="s">
        <v>15</v>
      </c>
      <c r="F572" t="s">
        <v>33</v>
      </c>
      <c r="G572" s="1">
        <v>45448</v>
      </c>
      <c r="H572">
        <v>90087.39</v>
      </c>
      <c r="I572" t="s">
        <v>145</v>
      </c>
      <c r="J572">
        <v>-8166496901</v>
      </c>
      <c r="K572" t="s">
        <v>40</v>
      </c>
      <c r="L572" t="b">
        <v>0</v>
      </c>
    </row>
    <row r="573" spans="1:12" x14ac:dyDescent="0.3">
      <c r="A573" t="s">
        <v>707</v>
      </c>
      <c r="B573" t="s">
        <v>36</v>
      </c>
      <c r="C573" t="s">
        <v>37</v>
      </c>
      <c r="E573" t="s">
        <v>169</v>
      </c>
      <c r="F573" t="s">
        <v>28</v>
      </c>
      <c r="G573" s="1">
        <v>43970</v>
      </c>
      <c r="H573">
        <v>105038.08</v>
      </c>
      <c r="I573" t="s">
        <v>39</v>
      </c>
      <c r="J573">
        <v>-8249839224</v>
      </c>
      <c r="K573" t="s">
        <v>18</v>
      </c>
      <c r="L573" t="b">
        <v>0</v>
      </c>
    </row>
    <row r="574" spans="1:12" x14ac:dyDescent="0.3">
      <c r="A574" t="s">
        <v>708</v>
      </c>
      <c r="B574" t="s">
        <v>67</v>
      </c>
      <c r="C574" t="s">
        <v>111</v>
      </c>
      <c r="D574">
        <v>25</v>
      </c>
      <c r="E574" t="s">
        <v>64</v>
      </c>
      <c r="F574" t="s">
        <v>16</v>
      </c>
      <c r="G574" s="1">
        <v>45189</v>
      </c>
      <c r="H574">
        <v>73231.850000000006</v>
      </c>
      <c r="I574" t="s">
        <v>122</v>
      </c>
      <c r="J574">
        <v>-142576269</v>
      </c>
      <c r="K574" t="s">
        <v>40</v>
      </c>
      <c r="L574" t="b">
        <v>0</v>
      </c>
    </row>
    <row r="575" spans="1:12" x14ac:dyDescent="0.3">
      <c r="A575" t="s">
        <v>709</v>
      </c>
      <c r="B575" t="s">
        <v>57</v>
      </c>
      <c r="C575" t="s">
        <v>53</v>
      </c>
      <c r="E575" t="s">
        <v>72</v>
      </c>
      <c r="F575" t="s">
        <v>28</v>
      </c>
      <c r="G575" s="1">
        <v>45517</v>
      </c>
      <c r="H575">
        <v>102649.36</v>
      </c>
      <c r="I575" t="s">
        <v>183</v>
      </c>
      <c r="J575">
        <v>-2324412335</v>
      </c>
      <c r="K575" t="s">
        <v>40</v>
      </c>
      <c r="L575" t="b">
        <v>0</v>
      </c>
    </row>
    <row r="576" spans="1:12" x14ac:dyDescent="0.3">
      <c r="A576" t="s">
        <v>710</v>
      </c>
      <c r="B576" t="s">
        <v>13</v>
      </c>
      <c r="C576" t="s">
        <v>14</v>
      </c>
      <c r="D576">
        <v>35</v>
      </c>
      <c r="E576" t="s">
        <v>190</v>
      </c>
      <c r="F576" t="s">
        <v>28</v>
      </c>
      <c r="G576" s="1">
        <v>45087</v>
      </c>
      <c r="H576">
        <v>114302.51</v>
      </c>
      <c r="I576" t="s">
        <v>17</v>
      </c>
      <c r="J576">
        <v>-1328507250</v>
      </c>
      <c r="K576" t="s">
        <v>40</v>
      </c>
      <c r="L576" t="b">
        <v>0</v>
      </c>
    </row>
    <row r="577" spans="1:12" x14ac:dyDescent="0.3">
      <c r="A577" t="s">
        <v>711</v>
      </c>
      <c r="B577" t="s">
        <v>25</v>
      </c>
      <c r="C577" t="s">
        <v>86</v>
      </c>
      <c r="D577">
        <v>35</v>
      </c>
      <c r="E577" t="s">
        <v>21</v>
      </c>
      <c r="F577" t="s">
        <v>33</v>
      </c>
      <c r="G577" s="1">
        <v>44356</v>
      </c>
      <c r="H577">
        <v>87816.61</v>
      </c>
      <c r="I577" t="s">
        <v>145</v>
      </c>
      <c r="J577">
        <v>-7863767315</v>
      </c>
      <c r="K577" t="s">
        <v>40</v>
      </c>
      <c r="L577" t="b">
        <v>0</v>
      </c>
    </row>
    <row r="578" spans="1:12" x14ac:dyDescent="0.3">
      <c r="A578" t="s">
        <v>712</v>
      </c>
      <c r="B578" t="s">
        <v>36</v>
      </c>
      <c r="C578" t="s">
        <v>26</v>
      </c>
      <c r="E578" t="s">
        <v>72</v>
      </c>
      <c r="F578" t="s">
        <v>33</v>
      </c>
      <c r="G578" s="1">
        <v>43920</v>
      </c>
      <c r="H578">
        <v>70750.38</v>
      </c>
      <c r="I578" t="s">
        <v>46</v>
      </c>
      <c r="J578">
        <v>-2526546967</v>
      </c>
      <c r="K578" t="s">
        <v>40</v>
      </c>
      <c r="L578" t="b">
        <v>0</v>
      </c>
    </row>
    <row r="579" spans="1:12" x14ac:dyDescent="0.3">
      <c r="A579" t="s">
        <v>713</v>
      </c>
      <c r="B579" t="s">
        <v>36</v>
      </c>
      <c r="C579" t="s">
        <v>86</v>
      </c>
      <c r="E579" t="s">
        <v>141</v>
      </c>
      <c r="F579" t="s">
        <v>16</v>
      </c>
      <c r="G579" s="1">
        <v>45414</v>
      </c>
      <c r="H579" t="s">
        <v>223</v>
      </c>
      <c r="I579" t="s">
        <v>101</v>
      </c>
      <c r="J579">
        <v>-1579039234</v>
      </c>
      <c r="K579" t="s">
        <v>23</v>
      </c>
      <c r="L579" t="b">
        <v>1</v>
      </c>
    </row>
    <row r="580" spans="1:12" x14ac:dyDescent="0.3">
      <c r="A580" t="s">
        <v>714</v>
      </c>
      <c r="B580" t="s">
        <v>13</v>
      </c>
      <c r="C580" t="s">
        <v>53</v>
      </c>
      <c r="D580">
        <v>30</v>
      </c>
      <c r="E580" t="s">
        <v>258</v>
      </c>
      <c r="F580" t="s">
        <v>16</v>
      </c>
      <c r="G580" s="1">
        <v>45602</v>
      </c>
      <c r="H580">
        <v>97978.36</v>
      </c>
      <c r="I580" t="s">
        <v>171</v>
      </c>
      <c r="J580">
        <v>-5580996131</v>
      </c>
      <c r="K580" t="s">
        <v>40</v>
      </c>
      <c r="L580" t="b">
        <v>1</v>
      </c>
    </row>
    <row r="581" spans="1:12" x14ac:dyDescent="0.3">
      <c r="A581" t="s">
        <v>715</v>
      </c>
      <c r="B581" t="s">
        <v>57</v>
      </c>
      <c r="C581" t="s">
        <v>53</v>
      </c>
      <c r="E581" t="s">
        <v>258</v>
      </c>
      <c r="F581" t="s">
        <v>33</v>
      </c>
      <c r="G581" s="1">
        <v>45155</v>
      </c>
      <c r="H581">
        <v>107172.8</v>
      </c>
      <c r="I581" t="s">
        <v>183</v>
      </c>
      <c r="J581">
        <v>-7303461561</v>
      </c>
      <c r="K581" t="s">
        <v>23</v>
      </c>
      <c r="L581" t="b">
        <v>1</v>
      </c>
    </row>
    <row r="582" spans="1:12" x14ac:dyDescent="0.3">
      <c r="A582" t="s">
        <v>716</v>
      </c>
      <c r="B582" t="s">
        <v>52</v>
      </c>
      <c r="C582" t="s">
        <v>86</v>
      </c>
      <c r="D582">
        <v>25</v>
      </c>
      <c r="E582" t="s">
        <v>93</v>
      </c>
      <c r="F582" t="s">
        <v>33</v>
      </c>
      <c r="G582" s="1">
        <v>43908</v>
      </c>
      <c r="H582">
        <v>56126.46</v>
      </c>
      <c r="I582" t="s">
        <v>371</v>
      </c>
      <c r="J582">
        <v>-6244670461</v>
      </c>
      <c r="K582" t="s">
        <v>40</v>
      </c>
      <c r="L582" t="b">
        <v>1</v>
      </c>
    </row>
    <row r="583" spans="1:12" x14ac:dyDescent="0.3">
      <c r="A583" t="s">
        <v>717</v>
      </c>
      <c r="B583" t="s">
        <v>32</v>
      </c>
      <c r="C583" t="s">
        <v>111</v>
      </c>
      <c r="E583" t="s">
        <v>89</v>
      </c>
      <c r="F583" t="s">
        <v>16</v>
      </c>
      <c r="G583" s="1">
        <v>44360</v>
      </c>
      <c r="H583">
        <v>78534.289999999994</v>
      </c>
      <c r="I583" t="s">
        <v>384</v>
      </c>
      <c r="J583">
        <v>-2681715159</v>
      </c>
      <c r="K583" t="s">
        <v>18</v>
      </c>
      <c r="L583" t="b">
        <v>1</v>
      </c>
    </row>
    <row r="584" spans="1:12" x14ac:dyDescent="0.3">
      <c r="A584" t="s">
        <v>718</v>
      </c>
      <c r="B584" t="s">
        <v>67</v>
      </c>
      <c r="C584" t="s">
        <v>20</v>
      </c>
      <c r="D584">
        <v>40</v>
      </c>
      <c r="E584" t="s">
        <v>126</v>
      </c>
      <c r="F584" t="s">
        <v>33</v>
      </c>
      <c r="G584" s="1">
        <v>45209</v>
      </c>
      <c r="H584" t="s">
        <v>223</v>
      </c>
      <c r="I584" t="s">
        <v>173</v>
      </c>
      <c r="J584">
        <v>-2529867075</v>
      </c>
      <c r="K584" t="s">
        <v>30</v>
      </c>
      <c r="L584" t="b">
        <v>0</v>
      </c>
    </row>
    <row r="585" spans="1:12" x14ac:dyDescent="0.3">
      <c r="A585" t="s">
        <v>719</v>
      </c>
      <c r="B585" t="s">
        <v>13</v>
      </c>
      <c r="C585" t="s">
        <v>53</v>
      </c>
      <c r="E585" t="s">
        <v>80</v>
      </c>
      <c r="F585" t="s">
        <v>16</v>
      </c>
      <c r="G585" s="1">
        <v>44563</v>
      </c>
      <c r="H585">
        <v>114963.34</v>
      </c>
      <c r="I585" t="s">
        <v>171</v>
      </c>
      <c r="J585">
        <v>-6046419784</v>
      </c>
      <c r="K585" t="s">
        <v>23</v>
      </c>
      <c r="L585" t="b">
        <v>0</v>
      </c>
    </row>
    <row r="586" spans="1:12" x14ac:dyDescent="0.3">
      <c r="A586" t="s">
        <v>720</v>
      </c>
      <c r="B586" t="s">
        <v>32</v>
      </c>
      <c r="C586" t="s">
        <v>86</v>
      </c>
      <c r="E586" t="s">
        <v>217</v>
      </c>
      <c r="F586" t="s">
        <v>33</v>
      </c>
      <c r="G586" s="1">
        <v>44612</v>
      </c>
      <c r="H586">
        <v>77657.929999999993</v>
      </c>
      <c r="I586" t="s">
        <v>213</v>
      </c>
      <c r="J586">
        <v>-7585126860</v>
      </c>
      <c r="K586" t="s">
        <v>40</v>
      </c>
      <c r="L586" t="b">
        <v>0</v>
      </c>
    </row>
    <row r="587" spans="1:12" x14ac:dyDescent="0.3">
      <c r="A587" t="s">
        <v>721</v>
      </c>
      <c r="B587" t="s">
        <v>63</v>
      </c>
      <c r="C587" t="s">
        <v>14</v>
      </c>
      <c r="D587">
        <v>30</v>
      </c>
      <c r="E587" t="s">
        <v>100</v>
      </c>
      <c r="F587" t="s">
        <v>16</v>
      </c>
      <c r="G587" s="1">
        <v>45360</v>
      </c>
      <c r="H587">
        <v>77369.48</v>
      </c>
      <c r="I587" t="s">
        <v>301</v>
      </c>
      <c r="J587">
        <v>-2059438975</v>
      </c>
      <c r="K587" t="s">
        <v>18</v>
      </c>
      <c r="L587" t="b">
        <v>0</v>
      </c>
    </row>
    <row r="588" spans="1:12" x14ac:dyDescent="0.3">
      <c r="A588" t="s">
        <v>722</v>
      </c>
      <c r="B588" t="s">
        <v>32</v>
      </c>
      <c r="C588" t="s">
        <v>86</v>
      </c>
      <c r="D588">
        <v>30</v>
      </c>
      <c r="E588" t="s">
        <v>133</v>
      </c>
      <c r="F588" t="s">
        <v>28</v>
      </c>
      <c r="G588" s="1">
        <v>45157</v>
      </c>
      <c r="H588">
        <v>76119.14</v>
      </c>
      <c r="I588" t="s">
        <v>213</v>
      </c>
      <c r="J588">
        <v>-740177508</v>
      </c>
      <c r="K588" t="s">
        <v>30</v>
      </c>
      <c r="L588" t="b">
        <v>0</v>
      </c>
    </row>
    <row r="589" spans="1:12" x14ac:dyDescent="0.3">
      <c r="A589" t="s">
        <v>723</v>
      </c>
      <c r="B589" t="s">
        <v>52</v>
      </c>
      <c r="C589" t="s">
        <v>37</v>
      </c>
      <c r="D589">
        <v>25</v>
      </c>
      <c r="E589" t="s">
        <v>141</v>
      </c>
      <c r="F589" t="s">
        <v>28</v>
      </c>
      <c r="G589" s="1">
        <v>45052</v>
      </c>
      <c r="H589">
        <v>77585.72</v>
      </c>
      <c r="I589" t="s">
        <v>84</v>
      </c>
      <c r="J589">
        <v>-5465408423</v>
      </c>
      <c r="K589" t="s">
        <v>23</v>
      </c>
      <c r="L589" t="b">
        <v>0</v>
      </c>
    </row>
    <row r="590" spans="1:12" x14ac:dyDescent="0.3">
      <c r="A590" t="s">
        <v>724</v>
      </c>
      <c r="B590" t="s">
        <v>13</v>
      </c>
      <c r="C590" t="s">
        <v>20</v>
      </c>
      <c r="D590">
        <v>35</v>
      </c>
      <c r="E590" t="s">
        <v>27</v>
      </c>
      <c r="F590" t="s">
        <v>28</v>
      </c>
      <c r="G590" s="1">
        <v>45317</v>
      </c>
      <c r="H590">
        <v>74069.62</v>
      </c>
      <c r="I590" t="s">
        <v>22</v>
      </c>
      <c r="J590">
        <v>-5607540914</v>
      </c>
      <c r="K590" t="s">
        <v>30</v>
      </c>
      <c r="L590" t="b">
        <v>0</v>
      </c>
    </row>
    <row r="591" spans="1:12" x14ac:dyDescent="0.3">
      <c r="A591" t="s">
        <v>725</v>
      </c>
      <c r="B591" t="s">
        <v>52</v>
      </c>
      <c r="C591" t="s">
        <v>26</v>
      </c>
      <c r="D591">
        <v>30</v>
      </c>
      <c r="E591" t="s">
        <v>169</v>
      </c>
      <c r="F591" t="s">
        <v>28</v>
      </c>
      <c r="G591" s="1">
        <v>45540</v>
      </c>
      <c r="H591">
        <v>67691.92</v>
      </c>
      <c r="I591" t="s">
        <v>109</v>
      </c>
      <c r="J591">
        <v>-863218121</v>
      </c>
      <c r="K591" t="s">
        <v>18</v>
      </c>
      <c r="L591" t="b">
        <v>1</v>
      </c>
    </row>
    <row r="592" spans="1:12" x14ac:dyDescent="0.3">
      <c r="A592" t="s">
        <v>726</v>
      </c>
      <c r="B592" t="s">
        <v>25</v>
      </c>
      <c r="C592" t="s">
        <v>111</v>
      </c>
      <c r="E592" t="s">
        <v>93</v>
      </c>
      <c r="F592" t="s">
        <v>28</v>
      </c>
      <c r="G592" s="1">
        <v>43980</v>
      </c>
      <c r="H592">
        <v>70345.69</v>
      </c>
      <c r="I592" t="s">
        <v>159</v>
      </c>
      <c r="J592">
        <v>-7645793896</v>
      </c>
      <c r="K592" t="s">
        <v>23</v>
      </c>
      <c r="L592" t="b">
        <v>1</v>
      </c>
    </row>
    <row r="593" spans="1:12" x14ac:dyDescent="0.3">
      <c r="A593" t="s">
        <v>727</v>
      </c>
      <c r="B593" t="s">
        <v>13</v>
      </c>
      <c r="C593" t="s">
        <v>42</v>
      </c>
      <c r="D593">
        <v>30</v>
      </c>
      <c r="E593" t="s">
        <v>75</v>
      </c>
      <c r="F593" t="s">
        <v>33</v>
      </c>
      <c r="G593" s="1">
        <v>44508</v>
      </c>
      <c r="H593">
        <v>74999.69</v>
      </c>
      <c r="I593" t="s">
        <v>136</v>
      </c>
      <c r="J593">
        <v>-155029167</v>
      </c>
      <c r="K593" t="s">
        <v>30</v>
      </c>
      <c r="L593" t="b">
        <v>1</v>
      </c>
    </row>
    <row r="594" spans="1:12" x14ac:dyDescent="0.3">
      <c r="A594" t="s">
        <v>728</v>
      </c>
      <c r="B594" t="s">
        <v>57</v>
      </c>
      <c r="C594" t="s">
        <v>26</v>
      </c>
      <c r="D594">
        <v>25</v>
      </c>
      <c r="E594" t="s">
        <v>166</v>
      </c>
      <c r="F594" t="s">
        <v>16</v>
      </c>
      <c r="G594" s="1">
        <v>44227</v>
      </c>
      <c r="H594">
        <v>72245.02</v>
      </c>
      <c r="I594" t="s">
        <v>200</v>
      </c>
      <c r="J594">
        <v>-1546602415</v>
      </c>
      <c r="K594" t="s">
        <v>40</v>
      </c>
      <c r="L594" t="b">
        <v>1</v>
      </c>
    </row>
    <row r="595" spans="1:12" x14ac:dyDescent="0.3">
      <c r="A595" t="s">
        <v>729</v>
      </c>
      <c r="B595" t="s">
        <v>32</v>
      </c>
      <c r="C595" t="s">
        <v>20</v>
      </c>
      <c r="E595" t="s">
        <v>83</v>
      </c>
      <c r="F595" t="s">
        <v>28</v>
      </c>
      <c r="G595" s="1">
        <v>44577</v>
      </c>
      <c r="H595">
        <v>106538.98</v>
      </c>
      <c r="I595" t="s">
        <v>138</v>
      </c>
      <c r="J595">
        <v>-1394498829</v>
      </c>
      <c r="K595" t="s">
        <v>23</v>
      </c>
      <c r="L595" t="b">
        <v>0</v>
      </c>
    </row>
    <row r="596" spans="1:12" x14ac:dyDescent="0.3">
      <c r="A596" t="s">
        <v>730</v>
      </c>
      <c r="B596" t="s">
        <v>52</v>
      </c>
      <c r="C596" t="s">
        <v>20</v>
      </c>
      <c r="D596">
        <v>25</v>
      </c>
      <c r="E596" t="s">
        <v>64</v>
      </c>
      <c r="F596" t="s">
        <v>16</v>
      </c>
      <c r="G596" s="1">
        <v>45289</v>
      </c>
      <c r="H596">
        <v>101787.14</v>
      </c>
      <c r="I596" t="s">
        <v>114</v>
      </c>
      <c r="J596">
        <v>-5973642479</v>
      </c>
      <c r="K596" t="s">
        <v>30</v>
      </c>
      <c r="L596" t="b">
        <v>0</v>
      </c>
    </row>
    <row r="597" spans="1:12" x14ac:dyDescent="0.3">
      <c r="A597" t="s">
        <v>731</v>
      </c>
      <c r="B597" t="s">
        <v>36</v>
      </c>
      <c r="C597" t="s">
        <v>20</v>
      </c>
      <c r="D597">
        <v>30</v>
      </c>
      <c r="E597" t="s">
        <v>258</v>
      </c>
      <c r="F597" t="s">
        <v>33</v>
      </c>
      <c r="G597" s="1">
        <v>45628</v>
      </c>
      <c r="H597">
        <v>83596.78</v>
      </c>
      <c r="I597" t="s">
        <v>198</v>
      </c>
      <c r="J597">
        <v>-9624406305</v>
      </c>
      <c r="K597" t="s">
        <v>18</v>
      </c>
      <c r="L597" t="b">
        <v>0</v>
      </c>
    </row>
    <row r="598" spans="1:12" x14ac:dyDescent="0.3">
      <c r="A598" t="s">
        <v>732</v>
      </c>
      <c r="B598" t="s">
        <v>32</v>
      </c>
      <c r="C598" t="s">
        <v>26</v>
      </c>
      <c r="D598">
        <v>40</v>
      </c>
      <c r="E598" t="s">
        <v>43</v>
      </c>
      <c r="F598" t="s">
        <v>16</v>
      </c>
      <c r="G598" s="1">
        <v>45153</v>
      </c>
      <c r="H598">
        <v>92463.94</v>
      </c>
      <c r="I598" t="s">
        <v>224</v>
      </c>
      <c r="J598">
        <v>-2447951329</v>
      </c>
      <c r="K598" t="s">
        <v>18</v>
      </c>
      <c r="L598" t="b">
        <v>1</v>
      </c>
    </row>
    <row r="599" spans="1:12" x14ac:dyDescent="0.3">
      <c r="A599" t="s">
        <v>733</v>
      </c>
      <c r="B599" t="s">
        <v>52</v>
      </c>
      <c r="C599" t="s">
        <v>14</v>
      </c>
      <c r="E599" t="s">
        <v>108</v>
      </c>
      <c r="F599" t="s">
        <v>28</v>
      </c>
      <c r="G599" s="1">
        <v>45646</v>
      </c>
      <c r="H599">
        <v>93863.32</v>
      </c>
      <c r="I599" t="s">
        <v>149</v>
      </c>
      <c r="J599">
        <v>-5319497968</v>
      </c>
      <c r="K599" t="s">
        <v>23</v>
      </c>
      <c r="L599" t="b">
        <v>0</v>
      </c>
    </row>
    <row r="600" spans="1:12" x14ac:dyDescent="0.3">
      <c r="A600" t="s">
        <v>734</v>
      </c>
      <c r="B600" t="s">
        <v>25</v>
      </c>
      <c r="C600" t="s">
        <v>20</v>
      </c>
      <c r="E600" t="s">
        <v>197</v>
      </c>
      <c r="F600" t="s">
        <v>28</v>
      </c>
      <c r="G600" s="1">
        <v>45016</v>
      </c>
      <c r="H600">
        <v>78359.41</v>
      </c>
      <c r="I600" t="s">
        <v>76</v>
      </c>
      <c r="J600">
        <v>-5867805554</v>
      </c>
      <c r="K600" t="s">
        <v>30</v>
      </c>
      <c r="L600" t="b">
        <v>0</v>
      </c>
    </row>
    <row r="601" spans="1:12" x14ac:dyDescent="0.3">
      <c r="A601" t="s">
        <v>735</v>
      </c>
      <c r="B601" t="s">
        <v>25</v>
      </c>
      <c r="C601" t="s">
        <v>86</v>
      </c>
      <c r="E601" t="s">
        <v>166</v>
      </c>
      <c r="F601" t="s">
        <v>28</v>
      </c>
      <c r="G601" s="1">
        <v>44797</v>
      </c>
      <c r="H601">
        <v>95773.57</v>
      </c>
      <c r="I601" t="s">
        <v>145</v>
      </c>
      <c r="J601">
        <v>-7277382645</v>
      </c>
      <c r="K601" t="s">
        <v>23</v>
      </c>
      <c r="L601" t="b">
        <v>0</v>
      </c>
    </row>
    <row r="602" spans="1:12" x14ac:dyDescent="0.3">
      <c r="A602" t="s">
        <v>736</v>
      </c>
      <c r="B602" t="s">
        <v>67</v>
      </c>
      <c r="C602" t="s">
        <v>26</v>
      </c>
      <c r="D602">
        <v>30</v>
      </c>
      <c r="E602" t="s">
        <v>185</v>
      </c>
      <c r="F602" t="s">
        <v>33</v>
      </c>
      <c r="G602" s="1">
        <v>44105</v>
      </c>
      <c r="H602">
        <v>82529.08</v>
      </c>
      <c r="I602" t="s">
        <v>73</v>
      </c>
      <c r="J602">
        <v>-917851384</v>
      </c>
      <c r="K602" t="s">
        <v>23</v>
      </c>
      <c r="L602" t="b">
        <v>1</v>
      </c>
    </row>
    <row r="603" spans="1:12" x14ac:dyDescent="0.3">
      <c r="A603" t="s">
        <v>737</v>
      </c>
      <c r="B603" t="s">
        <v>67</v>
      </c>
      <c r="C603" t="s">
        <v>42</v>
      </c>
      <c r="D603">
        <v>35</v>
      </c>
      <c r="E603" t="s">
        <v>43</v>
      </c>
      <c r="F603" t="s">
        <v>28</v>
      </c>
      <c r="G603" s="1">
        <v>44320</v>
      </c>
      <c r="H603">
        <v>109358.73</v>
      </c>
      <c r="I603" t="s">
        <v>78</v>
      </c>
      <c r="J603">
        <v>-4457702991</v>
      </c>
      <c r="K603" t="s">
        <v>30</v>
      </c>
      <c r="L603" t="b">
        <v>0</v>
      </c>
    </row>
    <row r="604" spans="1:12" x14ac:dyDescent="0.3">
      <c r="A604" t="s">
        <v>738</v>
      </c>
      <c r="B604" t="s">
        <v>52</v>
      </c>
      <c r="C604" t="s">
        <v>20</v>
      </c>
      <c r="E604" t="s">
        <v>176</v>
      </c>
      <c r="F604" t="s">
        <v>16</v>
      </c>
      <c r="G604" s="1">
        <v>44197</v>
      </c>
      <c r="H604">
        <v>89645.01</v>
      </c>
      <c r="I604" t="s">
        <v>114</v>
      </c>
      <c r="J604">
        <v>-9596604872</v>
      </c>
      <c r="K604" t="s">
        <v>30</v>
      </c>
      <c r="L604" t="b">
        <v>1</v>
      </c>
    </row>
    <row r="605" spans="1:12" x14ac:dyDescent="0.3">
      <c r="A605" t="s">
        <v>739</v>
      </c>
      <c r="B605" t="s">
        <v>52</v>
      </c>
      <c r="C605" t="s">
        <v>86</v>
      </c>
      <c r="D605">
        <v>40</v>
      </c>
      <c r="E605" t="s">
        <v>126</v>
      </c>
      <c r="F605" t="s">
        <v>16</v>
      </c>
      <c r="G605" s="1">
        <v>45390</v>
      </c>
      <c r="H605">
        <v>84134.95</v>
      </c>
      <c r="I605" t="s">
        <v>371</v>
      </c>
      <c r="J605">
        <v>-6826911632</v>
      </c>
      <c r="K605" t="s">
        <v>40</v>
      </c>
      <c r="L605" t="b">
        <v>1</v>
      </c>
    </row>
    <row r="606" spans="1:12" x14ac:dyDescent="0.3">
      <c r="A606" t="s">
        <v>740</v>
      </c>
      <c r="B606" t="s">
        <v>36</v>
      </c>
      <c r="C606" t="s">
        <v>14</v>
      </c>
      <c r="D606">
        <v>30</v>
      </c>
      <c r="E606" t="s">
        <v>80</v>
      </c>
      <c r="F606" t="s">
        <v>16</v>
      </c>
      <c r="G606" s="1">
        <v>44891</v>
      </c>
      <c r="H606">
        <v>113540.83</v>
      </c>
      <c r="I606" t="s">
        <v>50</v>
      </c>
      <c r="J606">
        <v>-1942268652</v>
      </c>
      <c r="K606" t="s">
        <v>30</v>
      </c>
      <c r="L606" t="b">
        <v>1</v>
      </c>
    </row>
    <row r="607" spans="1:12" x14ac:dyDescent="0.3">
      <c r="A607" t="s">
        <v>741</v>
      </c>
      <c r="B607" t="s">
        <v>63</v>
      </c>
      <c r="C607" t="s">
        <v>37</v>
      </c>
      <c r="D607">
        <v>40</v>
      </c>
      <c r="E607" t="s">
        <v>141</v>
      </c>
      <c r="F607" t="s">
        <v>28</v>
      </c>
      <c r="G607" s="1">
        <v>44494</v>
      </c>
      <c r="H607">
        <v>57225.75</v>
      </c>
      <c r="I607" t="s">
        <v>65</v>
      </c>
      <c r="J607">
        <v>-6945515887</v>
      </c>
      <c r="K607" t="s">
        <v>18</v>
      </c>
      <c r="L607" t="b">
        <v>1</v>
      </c>
    </row>
    <row r="608" spans="1:12" x14ac:dyDescent="0.3">
      <c r="A608" t="s">
        <v>742</v>
      </c>
      <c r="B608" t="s">
        <v>32</v>
      </c>
      <c r="C608" t="s">
        <v>14</v>
      </c>
      <c r="D608">
        <v>35</v>
      </c>
      <c r="E608" t="s">
        <v>91</v>
      </c>
      <c r="F608" t="s">
        <v>28</v>
      </c>
      <c r="G608" s="1">
        <v>44187</v>
      </c>
      <c r="H608">
        <v>76366.17</v>
      </c>
      <c r="I608" t="s">
        <v>34</v>
      </c>
      <c r="J608">
        <v>-6367747225</v>
      </c>
      <c r="K608" t="s">
        <v>23</v>
      </c>
      <c r="L608" t="b">
        <v>0</v>
      </c>
    </row>
    <row r="609" spans="1:12" x14ac:dyDescent="0.3">
      <c r="A609" t="s">
        <v>743</v>
      </c>
      <c r="B609" t="s">
        <v>13</v>
      </c>
      <c r="C609" t="s">
        <v>42</v>
      </c>
      <c r="E609" t="s">
        <v>180</v>
      </c>
      <c r="F609" t="s">
        <v>16</v>
      </c>
      <c r="G609" s="1">
        <v>44888</v>
      </c>
      <c r="H609">
        <v>78408.95</v>
      </c>
      <c r="I609" t="s">
        <v>136</v>
      </c>
      <c r="J609">
        <v>-4085721695</v>
      </c>
      <c r="K609" t="s">
        <v>23</v>
      </c>
      <c r="L609" t="b">
        <v>1</v>
      </c>
    </row>
    <row r="610" spans="1:12" x14ac:dyDescent="0.3">
      <c r="A610" t="s">
        <v>744</v>
      </c>
      <c r="B610" t="s">
        <v>36</v>
      </c>
      <c r="C610" t="s">
        <v>20</v>
      </c>
      <c r="D610">
        <v>40</v>
      </c>
      <c r="E610" t="s">
        <v>215</v>
      </c>
      <c r="F610" t="s">
        <v>16</v>
      </c>
      <c r="G610" s="1">
        <v>44858</v>
      </c>
      <c r="H610">
        <v>111742.39999999999</v>
      </c>
      <c r="I610" t="s">
        <v>198</v>
      </c>
      <c r="J610">
        <v>-6630932997</v>
      </c>
      <c r="K610" t="s">
        <v>18</v>
      </c>
      <c r="L610" t="b">
        <v>1</v>
      </c>
    </row>
    <row r="611" spans="1:12" x14ac:dyDescent="0.3">
      <c r="A611" t="s">
        <v>745</v>
      </c>
      <c r="B611" t="s">
        <v>57</v>
      </c>
      <c r="C611" t="s">
        <v>42</v>
      </c>
      <c r="D611">
        <v>25</v>
      </c>
      <c r="E611" t="s">
        <v>185</v>
      </c>
      <c r="F611" t="s">
        <v>33</v>
      </c>
      <c r="G611" s="1">
        <v>44264</v>
      </c>
      <c r="H611">
        <v>60516.83</v>
      </c>
      <c r="I611" t="s">
        <v>94</v>
      </c>
      <c r="J611">
        <v>-1996059328</v>
      </c>
      <c r="K611" t="s">
        <v>30</v>
      </c>
      <c r="L611" t="b">
        <v>0</v>
      </c>
    </row>
    <row r="612" spans="1:12" x14ac:dyDescent="0.3">
      <c r="A612" t="s">
        <v>746</v>
      </c>
      <c r="B612" t="s">
        <v>13</v>
      </c>
      <c r="C612" t="s">
        <v>26</v>
      </c>
      <c r="D612">
        <v>30</v>
      </c>
      <c r="E612" t="s">
        <v>68</v>
      </c>
      <c r="F612" t="s">
        <v>28</v>
      </c>
      <c r="G612" s="1">
        <v>44063</v>
      </c>
      <c r="H612">
        <v>83706.17</v>
      </c>
      <c r="I612" t="s">
        <v>48</v>
      </c>
      <c r="J612">
        <v>-7150968831</v>
      </c>
      <c r="K612" t="s">
        <v>18</v>
      </c>
      <c r="L612" t="b">
        <v>0</v>
      </c>
    </row>
    <row r="613" spans="1:12" x14ac:dyDescent="0.3">
      <c r="A613" t="s">
        <v>747</v>
      </c>
      <c r="B613" t="s">
        <v>57</v>
      </c>
      <c r="C613" t="s">
        <v>53</v>
      </c>
      <c r="E613" t="s">
        <v>27</v>
      </c>
      <c r="F613" t="s">
        <v>33</v>
      </c>
      <c r="G613" s="1">
        <v>43876</v>
      </c>
      <c r="H613">
        <v>67056.92</v>
      </c>
      <c r="I613" t="s">
        <v>183</v>
      </c>
      <c r="J613">
        <v>-7532735240</v>
      </c>
      <c r="K613" t="s">
        <v>18</v>
      </c>
      <c r="L613" t="b">
        <v>1</v>
      </c>
    </row>
    <row r="614" spans="1:12" x14ac:dyDescent="0.3">
      <c r="A614" t="s">
        <v>748</v>
      </c>
      <c r="B614" t="s">
        <v>52</v>
      </c>
      <c r="C614" t="s">
        <v>20</v>
      </c>
      <c r="D614">
        <v>30</v>
      </c>
      <c r="E614" t="s">
        <v>75</v>
      </c>
      <c r="F614" t="s">
        <v>16</v>
      </c>
      <c r="G614" s="1">
        <v>45655</v>
      </c>
      <c r="H614">
        <v>90058.85</v>
      </c>
      <c r="I614" t="s">
        <v>114</v>
      </c>
      <c r="J614">
        <v>-397739731</v>
      </c>
      <c r="K614" t="s">
        <v>40</v>
      </c>
      <c r="L614" t="b">
        <v>0</v>
      </c>
    </row>
    <row r="615" spans="1:12" x14ac:dyDescent="0.3">
      <c r="A615" t="s">
        <v>749</v>
      </c>
      <c r="B615" t="s">
        <v>32</v>
      </c>
      <c r="C615" t="s">
        <v>53</v>
      </c>
      <c r="D615">
        <v>30</v>
      </c>
      <c r="E615" t="s">
        <v>72</v>
      </c>
      <c r="F615" t="s">
        <v>28</v>
      </c>
      <c r="G615" s="1">
        <v>44985</v>
      </c>
      <c r="H615">
        <v>94633.59</v>
      </c>
      <c r="I615" t="s">
        <v>254</v>
      </c>
      <c r="J615">
        <v>-7819523709</v>
      </c>
      <c r="K615" t="s">
        <v>18</v>
      </c>
      <c r="L615" t="b">
        <v>1</v>
      </c>
    </row>
    <row r="616" spans="1:12" x14ac:dyDescent="0.3">
      <c r="A616" t="s">
        <v>750</v>
      </c>
      <c r="B616" t="s">
        <v>32</v>
      </c>
      <c r="C616" t="s">
        <v>86</v>
      </c>
      <c r="D616">
        <v>25</v>
      </c>
      <c r="E616" t="s">
        <v>176</v>
      </c>
      <c r="F616" t="s">
        <v>28</v>
      </c>
      <c r="G616" s="1">
        <v>44796</v>
      </c>
      <c r="H616">
        <v>110711.17</v>
      </c>
      <c r="I616" t="s">
        <v>213</v>
      </c>
      <c r="J616">
        <v>-687616480</v>
      </c>
      <c r="K616" t="s">
        <v>23</v>
      </c>
      <c r="L616" t="b">
        <v>1</v>
      </c>
    </row>
    <row r="617" spans="1:12" x14ac:dyDescent="0.3">
      <c r="A617" t="s">
        <v>751</v>
      </c>
      <c r="B617" t="s">
        <v>67</v>
      </c>
      <c r="C617" t="s">
        <v>37</v>
      </c>
      <c r="E617" t="s">
        <v>83</v>
      </c>
      <c r="F617" t="s">
        <v>16</v>
      </c>
      <c r="G617" s="1">
        <v>45107</v>
      </c>
      <c r="H617">
        <v>96175.41</v>
      </c>
      <c r="I617" t="s">
        <v>69</v>
      </c>
      <c r="J617">
        <v>-9807704604</v>
      </c>
      <c r="K617" t="s">
        <v>18</v>
      </c>
      <c r="L617" t="b">
        <v>1</v>
      </c>
    </row>
    <row r="618" spans="1:12" x14ac:dyDescent="0.3">
      <c r="A618" t="s">
        <v>752</v>
      </c>
      <c r="B618" t="s">
        <v>36</v>
      </c>
      <c r="C618" t="s">
        <v>111</v>
      </c>
      <c r="D618">
        <v>40</v>
      </c>
      <c r="E618" t="s">
        <v>91</v>
      </c>
      <c r="F618" t="s">
        <v>16</v>
      </c>
      <c r="G618" s="1">
        <v>44301</v>
      </c>
      <c r="H618">
        <v>76474.789999999994</v>
      </c>
      <c r="I618" t="s">
        <v>124</v>
      </c>
      <c r="J618">
        <v>-6876112490</v>
      </c>
      <c r="K618" t="s">
        <v>23</v>
      </c>
      <c r="L618" t="b">
        <v>1</v>
      </c>
    </row>
    <row r="619" spans="1:12" x14ac:dyDescent="0.3">
      <c r="A619" t="s">
        <v>753</v>
      </c>
      <c r="B619" t="s">
        <v>25</v>
      </c>
      <c r="C619" t="s">
        <v>42</v>
      </c>
      <c r="D619">
        <v>30</v>
      </c>
      <c r="E619" t="s">
        <v>91</v>
      </c>
      <c r="F619" t="s">
        <v>28</v>
      </c>
      <c r="G619" s="1">
        <v>44690</v>
      </c>
      <c r="H619">
        <v>107855.99</v>
      </c>
      <c r="I619" t="s">
        <v>44</v>
      </c>
      <c r="J619">
        <v>-2565237340</v>
      </c>
      <c r="K619" t="s">
        <v>23</v>
      </c>
      <c r="L619" t="b">
        <v>0</v>
      </c>
    </row>
    <row r="620" spans="1:12" x14ac:dyDescent="0.3">
      <c r="A620" t="s">
        <v>754</v>
      </c>
      <c r="B620" t="s">
        <v>52</v>
      </c>
      <c r="C620" t="s">
        <v>14</v>
      </c>
      <c r="D620">
        <v>40</v>
      </c>
      <c r="E620" t="s">
        <v>91</v>
      </c>
      <c r="F620" t="s">
        <v>16</v>
      </c>
      <c r="G620" s="1">
        <v>45628</v>
      </c>
      <c r="H620">
        <v>104870.78</v>
      </c>
      <c r="I620" t="s">
        <v>149</v>
      </c>
      <c r="J620">
        <v>-5177345474</v>
      </c>
      <c r="K620" t="s">
        <v>23</v>
      </c>
      <c r="L620" t="b">
        <v>1</v>
      </c>
    </row>
    <row r="621" spans="1:12" x14ac:dyDescent="0.3">
      <c r="A621" t="s">
        <v>755</v>
      </c>
      <c r="B621" t="s">
        <v>13</v>
      </c>
      <c r="C621" t="s">
        <v>37</v>
      </c>
      <c r="D621">
        <v>25</v>
      </c>
      <c r="E621" t="s">
        <v>93</v>
      </c>
      <c r="F621" t="s">
        <v>16</v>
      </c>
      <c r="G621" s="1">
        <v>45066</v>
      </c>
      <c r="H621" t="s">
        <v>223</v>
      </c>
      <c r="I621" t="s">
        <v>129</v>
      </c>
      <c r="J621">
        <v>-7494902283</v>
      </c>
      <c r="K621" t="s">
        <v>30</v>
      </c>
      <c r="L621" t="b">
        <v>0</v>
      </c>
    </row>
    <row r="622" spans="1:12" x14ac:dyDescent="0.3">
      <c r="A622" t="s">
        <v>756</v>
      </c>
      <c r="B622" t="s">
        <v>67</v>
      </c>
      <c r="C622" t="s">
        <v>20</v>
      </c>
      <c r="E622" t="s">
        <v>68</v>
      </c>
      <c r="F622" t="s">
        <v>16</v>
      </c>
      <c r="G622" s="1">
        <v>45259</v>
      </c>
      <c r="H622">
        <v>87087.16</v>
      </c>
      <c r="I622" t="s">
        <v>173</v>
      </c>
      <c r="J622">
        <v>-359544293</v>
      </c>
      <c r="K622" t="s">
        <v>40</v>
      </c>
      <c r="L622" t="b">
        <v>0</v>
      </c>
    </row>
    <row r="623" spans="1:12" x14ac:dyDescent="0.3">
      <c r="A623" t="s">
        <v>757</v>
      </c>
      <c r="B623" t="s">
        <v>63</v>
      </c>
      <c r="C623" t="s">
        <v>53</v>
      </c>
      <c r="D623">
        <v>40</v>
      </c>
      <c r="E623" t="s">
        <v>166</v>
      </c>
      <c r="F623" t="s">
        <v>28</v>
      </c>
      <c r="G623" s="1">
        <v>45390</v>
      </c>
      <c r="H623">
        <v>108603.34</v>
      </c>
      <c r="I623" t="s">
        <v>104</v>
      </c>
      <c r="J623">
        <v>-7742229463</v>
      </c>
      <c r="K623" t="s">
        <v>23</v>
      </c>
      <c r="L623" t="b">
        <v>0</v>
      </c>
    </row>
    <row r="624" spans="1:12" x14ac:dyDescent="0.3">
      <c r="A624" t="s">
        <v>758</v>
      </c>
      <c r="B624" t="s">
        <v>67</v>
      </c>
      <c r="C624" t="s">
        <v>14</v>
      </c>
      <c r="D624">
        <v>30</v>
      </c>
      <c r="E624" t="s">
        <v>180</v>
      </c>
      <c r="F624" t="s">
        <v>16</v>
      </c>
      <c r="G624" s="1">
        <v>45590</v>
      </c>
      <c r="H624">
        <v>55867.23</v>
      </c>
      <c r="I624" t="s">
        <v>195</v>
      </c>
      <c r="J624">
        <v>-3039429044</v>
      </c>
      <c r="K624" t="s">
        <v>23</v>
      </c>
      <c r="L624" t="b">
        <v>0</v>
      </c>
    </row>
    <row r="625" spans="1:12" x14ac:dyDescent="0.3">
      <c r="A625" t="s">
        <v>759</v>
      </c>
      <c r="B625" t="s">
        <v>67</v>
      </c>
      <c r="C625" t="s">
        <v>53</v>
      </c>
      <c r="D625">
        <v>35</v>
      </c>
      <c r="E625" t="s">
        <v>96</v>
      </c>
      <c r="F625" t="s">
        <v>28</v>
      </c>
      <c r="G625" s="1">
        <v>45353</v>
      </c>
      <c r="H625">
        <v>105259.57</v>
      </c>
      <c r="I625" t="s">
        <v>116</v>
      </c>
      <c r="J625">
        <v>-8867925297</v>
      </c>
      <c r="K625" t="s">
        <v>30</v>
      </c>
      <c r="L625" t="b">
        <v>1</v>
      </c>
    </row>
    <row r="626" spans="1:12" x14ac:dyDescent="0.3">
      <c r="A626" t="s">
        <v>760</v>
      </c>
      <c r="B626" t="s">
        <v>13</v>
      </c>
      <c r="C626" t="s">
        <v>26</v>
      </c>
      <c r="E626" t="s">
        <v>38</v>
      </c>
      <c r="F626" t="s">
        <v>28</v>
      </c>
      <c r="G626" s="1">
        <v>44251</v>
      </c>
      <c r="H626">
        <v>98143.67</v>
      </c>
      <c r="I626" t="s">
        <v>48</v>
      </c>
      <c r="J626">
        <v>-5856728726</v>
      </c>
      <c r="K626" t="s">
        <v>23</v>
      </c>
      <c r="L626" t="b">
        <v>0</v>
      </c>
    </row>
    <row r="627" spans="1:12" x14ac:dyDescent="0.3">
      <c r="A627" t="s">
        <v>761</v>
      </c>
      <c r="B627" t="s">
        <v>36</v>
      </c>
      <c r="C627" t="s">
        <v>53</v>
      </c>
      <c r="D627">
        <v>25</v>
      </c>
      <c r="E627" t="s">
        <v>176</v>
      </c>
      <c r="F627" t="s">
        <v>28</v>
      </c>
      <c r="G627" s="1">
        <v>45029</v>
      </c>
      <c r="H627">
        <v>67754.289999999994</v>
      </c>
      <c r="I627" t="s">
        <v>219</v>
      </c>
      <c r="J627">
        <v>-6015343323</v>
      </c>
      <c r="K627" t="s">
        <v>18</v>
      </c>
      <c r="L627" t="b">
        <v>1</v>
      </c>
    </row>
    <row r="628" spans="1:12" x14ac:dyDescent="0.3">
      <c r="A628" t="s">
        <v>762</v>
      </c>
      <c r="B628" t="s">
        <v>67</v>
      </c>
      <c r="C628" t="s">
        <v>26</v>
      </c>
      <c r="E628" t="s">
        <v>166</v>
      </c>
      <c r="F628" t="s">
        <v>33</v>
      </c>
      <c r="G628" s="1">
        <v>45224</v>
      </c>
      <c r="H628">
        <v>77821.789999999994</v>
      </c>
      <c r="I628" t="s">
        <v>73</v>
      </c>
      <c r="J628">
        <v>-9135779082</v>
      </c>
      <c r="K628" t="s">
        <v>18</v>
      </c>
      <c r="L628" t="b">
        <v>0</v>
      </c>
    </row>
    <row r="629" spans="1:12" x14ac:dyDescent="0.3">
      <c r="A629" t="s">
        <v>763</v>
      </c>
      <c r="B629" t="s">
        <v>63</v>
      </c>
      <c r="C629" t="s">
        <v>86</v>
      </c>
      <c r="D629">
        <v>30</v>
      </c>
      <c r="E629" t="s">
        <v>166</v>
      </c>
      <c r="F629" t="s">
        <v>28</v>
      </c>
      <c r="G629" s="1">
        <v>44821</v>
      </c>
      <c r="H629">
        <v>67764.44</v>
      </c>
      <c r="I629" t="s">
        <v>118</v>
      </c>
      <c r="J629">
        <v>-3506158147</v>
      </c>
      <c r="K629" t="s">
        <v>40</v>
      </c>
      <c r="L629" t="b">
        <v>0</v>
      </c>
    </row>
    <row r="630" spans="1:12" x14ac:dyDescent="0.3">
      <c r="A630" t="s">
        <v>764</v>
      </c>
      <c r="B630" t="s">
        <v>36</v>
      </c>
      <c r="C630" t="s">
        <v>14</v>
      </c>
      <c r="D630">
        <v>40</v>
      </c>
      <c r="E630" t="s">
        <v>54</v>
      </c>
      <c r="F630" t="s">
        <v>28</v>
      </c>
      <c r="G630" s="1">
        <v>44074</v>
      </c>
      <c r="H630">
        <v>102346.99</v>
      </c>
      <c r="I630" t="s">
        <v>50</v>
      </c>
      <c r="J630">
        <v>-8810798333</v>
      </c>
      <c r="K630" t="s">
        <v>23</v>
      </c>
      <c r="L630" t="b">
        <v>1</v>
      </c>
    </row>
    <row r="631" spans="1:12" x14ac:dyDescent="0.3">
      <c r="A631" t="s">
        <v>765</v>
      </c>
      <c r="B631" t="s">
        <v>52</v>
      </c>
      <c r="C631" t="s">
        <v>14</v>
      </c>
      <c r="D631">
        <v>25</v>
      </c>
      <c r="E631" t="s">
        <v>83</v>
      </c>
      <c r="F631" t="s">
        <v>33</v>
      </c>
      <c r="G631" s="1">
        <v>45440</v>
      </c>
      <c r="H631">
        <v>73690.649999999994</v>
      </c>
      <c r="I631" t="s">
        <v>149</v>
      </c>
      <c r="J631">
        <v>-2337209483</v>
      </c>
      <c r="K631" t="s">
        <v>30</v>
      </c>
      <c r="L631" t="b">
        <v>1</v>
      </c>
    </row>
    <row r="632" spans="1:12" x14ac:dyDescent="0.3">
      <c r="A632" t="s">
        <v>766</v>
      </c>
      <c r="B632" t="s">
        <v>25</v>
      </c>
      <c r="C632" t="s">
        <v>111</v>
      </c>
      <c r="D632">
        <v>30</v>
      </c>
      <c r="E632" t="s">
        <v>93</v>
      </c>
      <c r="F632" t="s">
        <v>16</v>
      </c>
      <c r="G632" s="1">
        <v>45478</v>
      </c>
      <c r="H632">
        <v>56376.2</v>
      </c>
      <c r="I632" t="s">
        <v>159</v>
      </c>
      <c r="J632">
        <v>-1312840332</v>
      </c>
      <c r="K632" t="s">
        <v>18</v>
      </c>
      <c r="L632" t="b">
        <v>1</v>
      </c>
    </row>
    <row r="633" spans="1:12" x14ac:dyDescent="0.3">
      <c r="A633" t="s">
        <v>767</v>
      </c>
      <c r="B633" t="s">
        <v>67</v>
      </c>
      <c r="C633" t="s">
        <v>20</v>
      </c>
      <c r="D633">
        <v>25</v>
      </c>
      <c r="E633" t="s">
        <v>217</v>
      </c>
      <c r="F633" t="s">
        <v>16</v>
      </c>
      <c r="G633" s="1">
        <v>44590</v>
      </c>
      <c r="H633">
        <v>55602.78</v>
      </c>
      <c r="I633" t="s">
        <v>173</v>
      </c>
      <c r="J633">
        <v>-9977180512</v>
      </c>
      <c r="K633" t="s">
        <v>30</v>
      </c>
      <c r="L633" t="b">
        <v>0</v>
      </c>
    </row>
    <row r="634" spans="1:12" x14ac:dyDescent="0.3">
      <c r="A634" t="s">
        <v>768</v>
      </c>
      <c r="B634" t="s">
        <v>67</v>
      </c>
      <c r="C634" t="s">
        <v>26</v>
      </c>
      <c r="D634">
        <v>40</v>
      </c>
      <c r="E634" t="s">
        <v>185</v>
      </c>
      <c r="F634" t="s">
        <v>28</v>
      </c>
      <c r="G634" s="1">
        <v>44417</v>
      </c>
      <c r="H634">
        <v>99812.41</v>
      </c>
      <c r="I634" t="s">
        <v>73</v>
      </c>
      <c r="J634">
        <v>-7171731892</v>
      </c>
      <c r="K634" t="s">
        <v>30</v>
      </c>
      <c r="L634" t="b">
        <v>0</v>
      </c>
    </row>
    <row r="635" spans="1:12" x14ac:dyDescent="0.3">
      <c r="A635" t="s">
        <v>769</v>
      </c>
      <c r="B635" t="s">
        <v>52</v>
      </c>
      <c r="C635" t="s">
        <v>111</v>
      </c>
      <c r="D635">
        <v>40</v>
      </c>
      <c r="E635" t="s">
        <v>21</v>
      </c>
      <c r="F635" t="s">
        <v>16</v>
      </c>
      <c r="G635" s="1">
        <v>45572</v>
      </c>
      <c r="H635">
        <v>95981.9</v>
      </c>
      <c r="I635" t="s">
        <v>167</v>
      </c>
      <c r="J635">
        <v>-9749096172</v>
      </c>
      <c r="K635" t="s">
        <v>18</v>
      </c>
      <c r="L635" t="b">
        <v>1</v>
      </c>
    </row>
    <row r="636" spans="1:12" x14ac:dyDescent="0.3">
      <c r="A636" t="s">
        <v>770</v>
      </c>
      <c r="B636" t="s">
        <v>32</v>
      </c>
      <c r="C636" t="s">
        <v>53</v>
      </c>
      <c r="D636">
        <v>30</v>
      </c>
      <c r="E636" t="s">
        <v>89</v>
      </c>
      <c r="F636" t="s">
        <v>28</v>
      </c>
      <c r="G636" s="1">
        <v>44887</v>
      </c>
      <c r="H636">
        <v>98891.48</v>
      </c>
      <c r="I636" t="s">
        <v>254</v>
      </c>
      <c r="J636">
        <v>-9970469471</v>
      </c>
      <c r="K636" t="s">
        <v>30</v>
      </c>
      <c r="L636" t="b">
        <v>1</v>
      </c>
    </row>
    <row r="637" spans="1:12" x14ac:dyDescent="0.3">
      <c r="A637" t="s">
        <v>771</v>
      </c>
      <c r="B637" t="s">
        <v>25</v>
      </c>
      <c r="C637" t="s">
        <v>53</v>
      </c>
      <c r="D637">
        <v>35</v>
      </c>
      <c r="E637" t="s">
        <v>27</v>
      </c>
      <c r="F637" t="s">
        <v>16</v>
      </c>
      <c r="G637" s="1">
        <v>44153</v>
      </c>
      <c r="H637">
        <v>56079</v>
      </c>
      <c r="I637" t="s">
        <v>134</v>
      </c>
      <c r="J637">
        <v>-5878444834</v>
      </c>
      <c r="K637" t="s">
        <v>18</v>
      </c>
      <c r="L637" t="b">
        <v>1</v>
      </c>
    </row>
    <row r="638" spans="1:12" x14ac:dyDescent="0.3">
      <c r="A638" t="s">
        <v>772</v>
      </c>
      <c r="B638" t="s">
        <v>67</v>
      </c>
      <c r="C638" t="s">
        <v>111</v>
      </c>
      <c r="D638">
        <v>35</v>
      </c>
      <c r="E638" t="s">
        <v>192</v>
      </c>
      <c r="F638" t="s">
        <v>33</v>
      </c>
      <c r="G638" s="1">
        <v>45031</v>
      </c>
      <c r="H638" t="s">
        <v>223</v>
      </c>
      <c r="I638" t="s">
        <v>122</v>
      </c>
      <c r="J638">
        <v>-4884712704</v>
      </c>
      <c r="K638" t="s">
        <v>30</v>
      </c>
      <c r="L638" t="b">
        <v>1</v>
      </c>
    </row>
    <row r="639" spans="1:12" x14ac:dyDescent="0.3">
      <c r="A639" t="s">
        <v>773</v>
      </c>
      <c r="B639" t="s">
        <v>13</v>
      </c>
      <c r="C639" t="s">
        <v>14</v>
      </c>
      <c r="D639">
        <v>25</v>
      </c>
      <c r="E639" t="s">
        <v>155</v>
      </c>
      <c r="F639" t="s">
        <v>28</v>
      </c>
      <c r="G639" s="1">
        <v>45530</v>
      </c>
      <c r="H639">
        <v>89137.97</v>
      </c>
      <c r="I639" t="s">
        <v>17</v>
      </c>
      <c r="J639">
        <v>-8772216416</v>
      </c>
      <c r="K639" t="s">
        <v>18</v>
      </c>
      <c r="L639" t="b">
        <v>0</v>
      </c>
    </row>
    <row r="640" spans="1:12" x14ac:dyDescent="0.3">
      <c r="A640" t="s">
        <v>774</v>
      </c>
      <c r="B640" t="s">
        <v>36</v>
      </c>
      <c r="C640" t="s">
        <v>53</v>
      </c>
      <c r="D640">
        <v>35</v>
      </c>
      <c r="E640" t="s">
        <v>83</v>
      </c>
      <c r="F640" t="s">
        <v>16</v>
      </c>
      <c r="G640" s="1">
        <v>44762</v>
      </c>
      <c r="H640">
        <v>115079.97</v>
      </c>
      <c r="I640" t="s">
        <v>219</v>
      </c>
      <c r="J640">
        <v>-5823133483</v>
      </c>
      <c r="K640" t="s">
        <v>23</v>
      </c>
      <c r="L640" t="b">
        <v>1</v>
      </c>
    </row>
    <row r="641" spans="1:12" x14ac:dyDescent="0.3">
      <c r="A641" t="s">
        <v>775</v>
      </c>
      <c r="B641" t="s">
        <v>32</v>
      </c>
      <c r="C641" t="s">
        <v>42</v>
      </c>
      <c r="D641">
        <v>30</v>
      </c>
      <c r="E641" t="s">
        <v>215</v>
      </c>
      <c r="F641" t="s">
        <v>16</v>
      </c>
      <c r="G641" s="1">
        <v>44975</v>
      </c>
      <c r="H641">
        <v>55067.02</v>
      </c>
      <c r="I641" t="s">
        <v>236</v>
      </c>
      <c r="J641">
        <v>-5871493924</v>
      </c>
      <c r="K641" t="s">
        <v>40</v>
      </c>
      <c r="L641" t="b">
        <v>1</v>
      </c>
    </row>
    <row r="642" spans="1:12" x14ac:dyDescent="0.3">
      <c r="A642" t="s">
        <v>776</v>
      </c>
      <c r="B642" t="s">
        <v>13</v>
      </c>
      <c r="C642" t="s">
        <v>86</v>
      </c>
      <c r="E642" t="s">
        <v>166</v>
      </c>
      <c r="F642" t="s">
        <v>28</v>
      </c>
      <c r="G642" s="1">
        <v>44343</v>
      </c>
      <c r="H642">
        <v>98593.43</v>
      </c>
      <c r="I642" t="s">
        <v>87</v>
      </c>
      <c r="J642">
        <v>-2362292586</v>
      </c>
      <c r="K642" t="s">
        <v>18</v>
      </c>
      <c r="L642" t="b">
        <v>1</v>
      </c>
    </row>
    <row r="643" spans="1:12" x14ac:dyDescent="0.3">
      <c r="A643" t="s">
        <v>777</v>
      </c>
      <c r="B643" t="s">
        <v>63</v>
      </c>
      <c r="C643" t="s">
        <v>86</v>
      </c>
      <c r="D643">
        <v>30</v>
      </c>
      <c r="E643" t="s">
        <v>180</v>
      </c>
      <c r="F643" t="s">
        <v>28</v>
      </c>
      <c r="G643" s="1">
        <v>44774</v>
      </c>
      <c r="H643">
        <v>112756.67</v>
      </c>
      <c r="I643" t="s">
        <v>118</v>
      </c>
      <c r="J643">
        <v>-9643474523</v>
      </c>
      <c r="K643" t="s">
        <v>18</v>
      </c>
      <c r="L643" t="b">
        <v>1</v>
      </c>
    </row>
    <row r="644" spans="1:12" x14ac:dyDescent="0.3">
      <c r="A644" t="s">
        <v>778</v>
      </c>
      <c r="B644" t="s">
        <v>63</v>
      </c>
      <c r="C644" t="s">
        <v>42</v>
      </c>
      <c r="D644">
        <v>25</v>
      </c>
      <c r="E644" t="s">
        <v>126</v>
      </c>
      <c r="F644" t="s">
        <v>33</v>
      </c>
      <c r="G644" s="1">
        <v>45128</v>
      </c>
      <c r="H644">
        <v>105205.92</v>
      </c>
      <c r="I644" t="s">
        <v>209</v>
      </c>
      <c r="J644">
        <v>-5557469659</v>
      </c>
      <c r="K644" t="s">
        <v>40</v>
      </c>
      <c r="L644" t="b">
        <v>0</v>
      </c>
    </row>
    <row r="645" spans="1:12" x14ac:dyDescent="0.3">
      <c r="A645" t="s">
        <v>779</v>
      </c>
      <c r="B645" t="s">
        <v>57</v>
      </c>
      <c r="C645" t="s">
        <v>111</v>
      </c>
      <c r="D645">
        <v>35</v>
      </c>
      <c r="E645" t="s">
        <v>68</v>
      </c>
      <c r="F645" t="s">
        <v>28</v>
      </c>
      <c r="G645" s="1">
        <v>44928</v>
      </c>
      <c r="H645">
        <v>50680.62</v>
      </c>
      <c r="I645" t="s">
        <v>266</v>
      </c>
      <c r="J645">
        <v>-6065274032</v>
      </c>
      <c r="K645" t="s">
        <v>18</v>
      </c>
      <c r="L645" t="b">
        <v>1</v>
      </c>
    </row>
    <row r="646" spans="1:12" x14ac:dyDescent="0.3">
      <c r="A646" t="s">
        <v>780</v>
      </c>
      <c r="B646" t="s">
        <v>57</v>
      </c>
      <c r="C646" t="s">
        <v>42</v>
      </c>
      <c r="D646">
        <v>35</v>
      </c>
      <c r="E646" t="s">
        <v>38</v>
      </c>
      <c r="F646" t="s">
        <v>28</v>
      </c>
      <c r="G646" s="1">
        <v>45364</v>
      </c>
      <c r="H646">
        <v>107475.23</v>
      </c>
      <c r="I646" t="s">
        <v>94</v>
      </c>
      <c r="J646">
        <v>-4450566587</v>
      </c>
      <c r="K646" t="s">
        <v>18</v>
      </c>
      <c r="L646" t="b">
        <v>0</v>
      </c>
    </row>
    <row r="647" spans="1:12" x14ac:dyDescent="0.3">
      <c r="A647" t="s">
        <v>781</v>
      </c>
      <c r="B647" t="s">
        <v>52</v>
      </c>
      <c r="C647" t="s">
        <v>26</v>
      </c>
      <c r="D647">
        <v>40</v>
      </c>
      <c r="E647" t="s">
        <v>131</v>
      </c>
      <c r="F647" t="s">
        <v>16</v>
      </c>
      <c r="G647" s="1">
        <v>45005</v>
      </c>
      <c r="H647">
        <v>68835.3</v>
      </c>
      <c r="I647" t="s">
        <v>109</v>
      </c>
      <c r="J647">
        <v>-3398741131</v>
      </c>
      <c r="K647" t="s">
        <v>30</v>
      </c>
      <c r="L647" t="b">
        <v>1</v>
      </c>
    </row>
    <row r="648" spans="1:12" x14ac:dyDescent="0.3">
      <c r="A648" t="s">
        <v>782</v>
      </c>
      <c r="B648" t="s">
        <v>57</v>
      </c>
      <c r="C648" t="s">
        <v>26</v>
      </c>
      <c r="D648">
        <v>40</v>
      </c>
      <c r="E648" t="s">
        <v>54</v>
      </c>
      <c r="F648" t="s">
        <v>16</v>
      </c>
      <c r="G648" s="1">
        <v>45337</v>
      </c>
      <c r="H648">
        <v>66943.960000000006</v>
      </c>
      <c r="I648" t="s">
        <v>200</v>
      </c>
      <c r="J648">
        <v>-5797067348</v>
      </c>
      <c r="K648" t="s">
        <v>40</v>
      </c>
      <c r="L648" t="b">
        <v>1</v>
      </c>
    </row>
    <row r="649" spans="1:12" x14ac:dyDescent="0.3">
      <c r="A649" t="s">
        <v>783</v>
      </c>
      <c r="B649" t="s">
        <v>57</v>
      </c>
      <c r="C649" t="s">
        <v>111</v>
      </c>
      <c r="D649">
        <v>30</v>
      </c>
      <c r="E649" t="s">
        <v>83</v>
      </c>
      <c r="F649" t="s">
        <v>33</v>
      </c>
      <c r="G649" s="1">
        <v>44150</v>
      </c>
      <c r="H649">
        <v>104525.69</v>
      </c>
      <c r="I649" t="s">
        <v>266</v>
      </c>
      <c r="J649">
        <v>-9601054856</v>
      </c>
      <c r="K649" t="s">
        <v>23</v>
      </c>
      <c r="L649" t="b">
        <v>0</v>
      </c>
    </row>
    <row r="650" spans="1:12" x14ac:dyDescent="0.3">
      <c r="A650" t="s">
        <v>784</v>
      </c>
      <c r="B650" t="s">
        <v>13</v>
      </c>
      <c r="C650" t="s">
        <v>42</v>
      </c>
      <c r="D650">
        <v>40</v>
      </c>
      <c r="E650" t="s">
        <v>43</v>
      </c>
      <c r="F650" t="s">
        <v>28</v>
      </c>
      <c r="G650" s="1">
        <v>43917</v>
      </c>
      <c r="H650">
        <v>109360.74</v>
      </c>
      <c r="I650" t="s">
        <v>136</v>
      </c>
      <c r="J650">
        <v>-4172156228</v>
      </c>
      <c r="K650" t="s">
        <v>18</v>
      </c>
      <c r="L650" t="b">
        <v>1</v>
      </c>
    </row>
    <row r="651" spans="1:12" x14ac:dyDescent="0.3">
      <c r="A651" t="s">
        <v>785</v>
      </c>
      <c r="B651" t="s">
        <v>36</v>
      </c>
      <c r="C651" t="s">
        <v>26</v>
      </c>
      <c r="D651">
        <v>40</v>
      </c>
      <c r="E651" t="s">
        <v>155</v>
      </c>
      <c r="F651" t="s">
        <v>33</v>
      </c>
      <c r="G651" s="1">
        <v>44205</v>
      </c>
      <c r="H651">
        <v>118907.63</v>
      </c>
      <c r="I651" t="s">
        <v>46</v>
      </c>
      <c r="J651">
        <v>-4938173597</v>
      </c>
      <c r="K651" t="s">
        <v>40</v>
      </c>
      <c r="L651" t="b">
        <v>0</v>
      </c>
    </row>
    <row r="652" spans="1:12" x14ac:dyDescent="0.3">
      <c r="A652" t="s">
        <v>786</v>
      </c>
      <c r="B652" t="s">
        <v>32</v>
      </c>
      <c r="C652" t="s">
        <v>14</v>
      </c>
      <c r="D652">
        <v>40</v>
      </c>
      <c r="E652" t="s">
        <v>83</v>
      </c>
      <c r="F652" t="s">
        <v>16</v>
      </c>
      <c r="G652" s="1">
        <v>43941</v>
      </c>
      <c r="H652">
        <v>86801.48</v>
      </c>
      <c r="I652" t="s">
        <v>34</v>
      </c>
      <c r="J652">
        <v>-4884021556</v>
      </c>
      <c r="K652" t="s">
        <v>30</v>
      </c>
      <c r="L652" t="b">
        <v>0</v>
      </c>
    </row>
    <row r="653" spans="1:12" x14ac:dyDescent="0.3">
      <c r="A653" t="s">
        <v>787</v>
      </c>
      <c r="B653" t="s">
        <v>25</v>
      </c>
      <c r="C653" t="s">
        <v>42</v>
      </c>
      <c r="E653" t="s">
        <v>180</v>
      </c>
      <c r="F653" t="s">
        <v>28</v>
      </c>
      <c r="G653" s="1">
        <v>45420</v>
      </c>
      <c r="H653">
        <v>62236.03</v>
      </c>
      <c r="I653" t="s">
        <v>44</v>
      </c>
      <c r="J653">
        <v>-3257375533</v>
      </c>
      <c r="K653" t="s">
        <v>23</v>
      </c>
      <c r="L653" t="b">
        <v>1</v>
      </c>
    </row>
    <row r="654" spans="1:12" x14ac:dyDescent="0.3">
      <c r="A654" t="s">
        <v>788</v>
      </c>
      <c r="B654" t="s">
        <v>63</v>
      </c>
      <c r="C654" t="s">
        <v>14</v>
      </c>
      <c r="D654">
        <v>35</v>
      </c>
      <c r="E654" t="s">
        <v>197</v>
      </c>
      <c r="F654" t="s">
        <v>16</v>
      </c>
      <c r="G654" s="1">
        <v>45211</v>
      </c>
      <c r="H654">
        <v>64752.67</v>
      </c>
      <c r="I654" t="s">
        <v>301</v>
      </c>
      <c r="J654">
        <v>-4902166669</v>
      </c>
      <c r="K654" t="s">
        <v>40</v>
      </c>
      <c r="L654" t="b">
        <v>0</v>
      </c>
    </row>
    <row r="655" spans="1:12" x14ac:dyDescent="0.3">
      <c r="A655" t="s">
        <v>789</v>
      </c>
      <c r="B655" t="s">
        <v>36</v>
      </c>
      <c r="C655" t="s">
        <v>26</v>
      </c>
      <c r="D655">
        <v>35</v>
      </c>
      <c r="E655" t="s">
        <v>155</v>
      </c>
      <c r="F655" t="s">
        <v>16</v>
      </c>
      <c r="G655" s="1">
        <v>44954</v>
      </c>
      <c r="H655">
        <v>68399.429999999993</v>
      </c>
      <c r="I655" t="s">
        <v>46</v>
      </c>
      <c r="J655">
        <v>-8085096084</v>
      </c>
      <c r="K655" t="s">
        <v>23</v>
      </c>
      <c r="L655" t="b">
        <v>0</v>
      </c>
    </row>
    <row r="656" spans="1:12" x14ac:dyDescent="0.3">
      <c r="A656" t="s">
        <v>790</v>
      </c>
      <c r="B656" t="s">
        <v>36</v>
      </c>
      <c r="C656" t="s">
        <v>86</v>
      </c>
      <c r="D656">
        <v>35</v>
      </c>
      <c r="E656" t="s">
        <v>176</v>
      </c>
      <c r="F656" t="s">
        <v>33</v>
      </c>
      <c r="G656" s="1">
        <v>44262</v>
      </c>
      <c r="H656">
        <v>79336.509999999995</v>
      </c>
      <c r="I656" t="s">
        <v>101</v>
      </c>
      <c r="J656">
        <v>-8749511917</v>
      </c>
      <c r="K656" t="s">
        <v>23</v>
      </c>
      <c r="L656" t="b">
        <v>0</v>
      </c>
    </row>
    <row r="657" spans="1:12" x14ac:dyDescent="0.3">
      <c r="A657" t="s">
        <v>791</v>
      </c>
      <c r="B657" t="s">
        <v>36</v>
      </c>
      <c r="C657" t="s">
        <v>26</v>
      </c>
      <c r="D657">
        <v>40</v>
      </c>
      <c r="E657" t="s">
        <v>180</v>
      </c>
      <c r="F657" t="s">
        <v>16</v>
      </c>
      <c r="G657" s="1">
        <v>45001</v>
      </c>
      <c r="H657">
        <v>59179.74</v>
      </c>
      <c r="I657" t="s">
        <v>46</v>
      </c>
      <c r="J657">
        <v>-1828197930</v>
      </c>
      <c r="K657" t="s">
        <v>23</v>
      </c>
      <c r="L657" t="b">
        <v>0</v>
      </c>
    </row>
    <row r="658" spans="1:12" x14ac:dyDescent="0.3">
      <c r="A658" t="s">
        <v>792</v>
      </c>
      <c r="B658" t="s">
        <v>57</v>
      </c>
      <c r="C658" t="s">
        <v>14</v>
      </c>
      <c r="D658">
        <v>25</v>
      </c>
      <c r="E658" t="s">
        <v>15</v>
      </c>
      <c r="F658" t="s">
        <v>16</v>
      </c>
      <c r="G658" s="1">
        <v>44968</v>
      </c>
      <c r="H658">
        <v>80255.31</v>
      </c>
      <c r="I658" t="s">
        <v>61</v>
      </c>
      <c r="J658">
        <v>-6477251294</v>
      </c>
      <c r="K658" t="s">
        <v>18</v>
      </c>
      <c r="L658" t="b">
        <v>0</v>
      </c>
    </row>
    <row r="659" spans="1:12" x14ac:dyDescent="0.3">
      <c r="A659" t="s">
        <v>793</v>
      </c>
      <c r="B659" t="s">
        <v>52</v>
      </c>
      <c r="C659" t="s">
        <v>37</v>
      </c>
      <c r="D659">
        <v>30</v>
      </c>
      <c r="E659" t="s">
        <v>21</v>
      </c>
      <c r="F659" t="s">
        <v>16</v>
      </c>
      <c r="G659" s="1">
        <v>44694</v>
      </c>
      <c r="H659">
        <v>84971.85</v>
      </c>
      <c r="I659" t="s">
        <v>84</v>
      </c>
      <c r="J659">
        <v>-7860694095</v>
      </c>
      <c r="K659" t="s">
        <v>18</v>
      </c>
      <c r="L659" t="b">
        <v>0</v>
      </c>
    </row>
    <row r="660" spans="1:12" x14ac:dyDescent="0.3">
      <c r="A660" t="s">
        <v>794</v>
      </c>
      <c r="B660" t="s">
        <v>36</v>
      </c>
      <c r="C660" t="s">
        <v>20</v>
      </c>
      <c r="D660">
        <v>40</v>
      </c>
      <c r="E660" t="s">
        <v>131</v>
      </c>
      <c r="F660" t="s">
        <v>28</v>
      </c>
      <c r="G660" s="1">
        <v>45589</v>
      </c>
      <c r="H660">
        <v>89748.42</v>
      </c>
      <c r="I660" t="s">
        <v>198</v>
      </c>
      <c r="J660">
        <v>-35624394</v>
      </c>
      <c r="K660" t="s">
        <v>30</v>
      </c>
      <c r="L660" t="b">
        <v>0</v>
      </c>
    </row>
    <row r="661" spans="1:12" x14ac:dyDescent="0.3">
      <c r="A661" t="s">
        <v>795</v>
      </c>
      <c r="B661" t="s">
        <v>52</v>
      </c>
      <c r="C661" t="s">
        <v>53</v>
      </c>
      <c r="D661">
        <v>25</v>
      </c>
      <c r="E661" t="s">
        <v>108</v>
      </c>
      <c r="F661" t="s">
        <v>33</v>
      </c>
      <c r="G661" s="1">
        <v>45549</v>
      </c>
      <c r="H661">
        <v>94090.35</v>
      </c>
      <c r="I661" t="s">
        <v>55</v>
      </c>
      <c r="J661">
        <v>-8739592322</v>
      </c>
      <c r="K661" t="s">
        <v>30</v>
      </c>
      <c r="L661" t="b">
        <v>0</v>
      </c>
    </row>
    <row r="662" spans="1:12" x14ac:dyDescent="0.3">
      <c r="A662" t="s">
        <v>796</v>
      </c>
      <c r="B662" t="s">
        <v>36</v>
      </c>
      <c r="C662" t="s">
        <v>42</v>
      </c>
      <c r="D662">
        <v>35</v>
      </c>
      <c r="E662" t="s">
        <v>131</v>
      </c>
      <c r="F662" t="s">
        <v>28</v>
      </c>
      <c r="G662" s="1">
        <v>44972</v>
      </c>
      <c r="H662">
        <v>115229.12</v>
      </c>
      <c r="I662" t="s">
        <v>157</v>
      </c>
      <c r="J662">
        <v>-4210890284</v>
      </c>
      <c r="K662" t="s">
        <v>40</v>
      </c>
      <c r="L662" t="b">
        <v>1</v>
      </c>
    </row>
    <row r="663" spans="1:12" x14ac:dyDescent="0.3">
      <c r="A663" t="s">
        <v>797</v>
      </c>
      <c r="B663" t="s">
        <v>25</v>
      </c>
      <c r="C663" t="s">
        <v>37</v>
      </c>
      <c r="D663">
        <v>40</v>
      </c>
      <c r="E663" t="s">
        <v>217</v>
      </c>
      <c r="F663" t="s">
        <v>28</v>
      </c>
      <c r="G663" s="1">
        <v>45071</v>
      </c>
      <c r="H663">
        <v>63927.07</v>
      </c>
      <c r="I663" t="s">
        <v>281</v>
      </c>
      <c r="J663">
        <v>-1553334263</v>
      </c>
      <c r="K663" t="s">
        <v>30</v>
      </c>
      <c r="L663" t="b">
        <v>1</v>
      </c>
    </row>
    <row r="664" spans="1:12" x14ac:dyDescent="0.3">
      <c r="A664" t="s">
        <v>798</v>
      </c>
      <c r="B664" t="s">
        <v>52</v>
      </c>
      <c r="C664" t="s">
        <v>26</v>
      </c>
      <c r="D664">
        <v>35</v>
      </c>
      <c r="E664" t="s">
        <v>131</v>
      </c>
      <c r="F664" t="s">
        <v>28</v>
      </c>
      <c r="G664" s="1">
        <v>44876</v>
      </c>
      <c r="H664">
        <v>84124.56</v>
      </c>
      <c r="I664" t="s">
        <v>109</v>
      </c>
      <c r="J664">
        <v>-3350271606</v>
      </c>
      <c r="K664" t="s">
        <v>23</v>
      </c>
      <c r="L664" t="b">
        <v>0</v>
      </c>
    </row>
    <row r="665" spans="1:12" x14ac:dyDescent="0.3">
      <c r="A665" t="s">
        <v>799</v>
      </c>
      <c r="B665" t="s">
        <v>13</v>
      </c>
      <c r="C665" t="s">
        <v>86</v>
      </c>
      <c r="D665">
        <v>40</v>
      </c>
      <c r="E665" t="s">
        <v>155</v>
      </c>
      <c r="F665" t="s">
        <v>33</v>
      </c>
      <c r="G665" s="1">
        <v>45124</v>
      </c>
      <c r="H665">
        <v>116961.61</v>
      </c>
      <c r="I665" t="s">
        <v>87</v>
      </c>
      <c r="J665">
        <v>-3607763368</v>
      </c>
      <c r="K665" t="s">
        <v>23</v>
      </c>
      <c r="L665" t="b">
        <v>1</v>
      </c>
    </row>
    <row r="666" spans="1:12" x14ac:dyDescent="0.3">
      <c r="A666" t="s">
        <v>800</v>
      </c>
      <c r="B666" t="s">
        <v>36</v>
      </c>
      <c r="C666" t="s">
        <v>111</v>
      </c>
      <c r="D666">
        <v>40</v>
      </c>
      <c r="E666" t="s">
        <v>75</v>
      </c>
      <c r="F666" t="s">
        <v>28</v>
      </c>
      <c r="G666" s="1">
        <v>44659</v>
      </c>
      <c r="H666">
        <v>109423.05</v>
      </c>
      <c r="I666" t="s">
        <v>124</v>
      </c>
      <c r="J666">
        <v>-1128981230</v>
      </c>
      <c r="K666" t="s">
        <v>18</v>
      </c>
      <c r="L666" t="b">
        <v>0</v>
      </c>
    </row>
    <row r="667" spans="1:12" x14ac:dyDescent="0.3">
      <c r="A667" t="s">
        <v>801</v>
      </c>
      <c r="B667" t="s">
        <v>52</v>
      </c>
      <c r="C667" t="s">
        <v>26</v>
      </c>
      <c r="D667">
        <v>35</v>
      </c>
      <c r="E667" t="s">
        <v>108</v>
      </c>
      <c r="F667" t="s">
        <v>33</v>
      </c>
      <c r="G667" s="1">
        <v>45168</v>
      </c>
      <c r="H667">
        <v>70394.94</v>
      </c>
      <c r="I667" t="s">
        <v>109</v>
      </c>
      <c r="J667">
        <v>-7955633184</v>
      </c>
      <c r="K667" t="s">
        <v>23</v>
      </c>
      <c r="L667" t="b">
        <v>0</v>
      </c>
    </row>
    <row r="668" spans="1:12" x14ac:dyDescent="0.3">
      <c r="A668" t="s">
        <v>802</v>
      </c>
      <c r="B668" t="s">
        <v>67</v>
      </c>
      <c r="C668" t="s">
        <v>86</v>
      </c>
      <c r="D668">
        <v>35</v>
      </c>
      <c r="E668" t="s">
        <v>68</v>
      </c>
      <c r="F668" t="s">
        <v>28</v>
      </c>
      <c r="G668" s="1">
        <v>45033</v>
      </c>
      <c r="H668">
        <v>86465.5</v>
      </c>
      <c r="I668" t="s">
        <v>147</v>
      </c>
      <c r="J668">
        <v>-7481700665</v>
      </c>
      <c r="K668" t="s">
        <v>40</v>
      </c>
      <c r="L668" t="b">
        <v>1</v>
      </c>
    </row>
    <row r="669" spans="1:12" x14ac:dyDescent="0.3">
      <c r="A669" t="s">
        <v>803</v>
      </c>
      <c r="B669" t="s">
        <v>52</v>
      </c>
      <c r="C669" t="s">
        <v>20</v>
      </c>
      <c r="D669">
        <v>30</v>
      </c>
      <c r="E669" t="s">
        <v>58</v>
      </c>
      <c r="F669" t="s">
        <v>28</v>
      </c>
      <c r="G669" s="1">
        <v>44311</v>
      </c>
      <c r="H669">
        <v>96341.58</v>
      </c>
      <c r="I669" t="s">
        <v>114</v>
      </c>
      <c r="J669">
        <v>-1554164315</v>
      </c>
      <c r="K669" t="s">
        <v>23</v>
      </c>
      <c r="L669" t="b">
        <v>0</v>
      </c>
    </row>
    <row r="670" spans="1:12" x14ac:dyDescent="0.3">
      <c r="A670" t="s">
        <v>804</v>
      </c>
      <c r="B670" t="s">
        <v>13</v>
      </c>
      <c r="C670" t="s">
        <v>26</v>
      </c>
      <c r="D670">
        <v>30</v>
      </c>
      <c r="E670" t="s">
        <v>176</v>
      </c>
      <c r="F670" t="s">
        <v>16</v>
      </c>
      <c r="G670" s="1">
        <v>44026</v>
      </c>
      <c r="H670">
        <v>54465.47</v>
      </c>
      <c r="I670" t="s">
        <v>48</v>
      </c>
      <c r="J670">
        <v>-7045023289</v>
      </c>
      <c r="K670" t="s">
        <v>23</v>
      </c>
      <c r="L670" t="b">
        <v>0</v>
      </c>
    </row>
    <row r="671" spans="1:12" x14ac:dyDescent="0.3">
      <c r="A671" t="s">
        <v>805</v>
      </c>
      <c r="B671" t="s">
        <v>25</v>
      </c>
      <c r="C671" t="s">
        <v>14</v>
      </c>
      <c r="D671">
        <v>25</v>
      </c>
      <c r="E671" t="s">
        <v>215</v>
      </c>
      <c r="F671" t="s">
        <v>16</v>
      </c>
      <c r="G671" s="1">
        <v>44043</v>
      </c>
      <c r="H671">
        <v>68371.66</v>
      </c>
      <c r="I671" t="s">
        <v>143</v>
      </c>
      <c r="J671">
        <v>-2822700933</v>
      </c>
      <c r="K671" t="s">
        <v>40</v>
      </c>
      <c r="L671" t="b">
        <v>0</v>
      </c>
    </row>
    <row r="672" spans="1:12" x14ac:dyDescent="0.3">
      <c r="A672" t="s">
        <v>806</v>
      </c>
      <c r="B672" t="s">
        <v>67</v>
      </c>
      <c r="C672" t="s">
        <v>111</v>
      </c>
      <c r="D672">
        <v>35</v>
      </c>
      <c r="E672" t="s">
        <v>169</v>
      </c>
      <c r="F672" t="s">
        <v>28</v>
      </c>
      <c r="G672" s="1">
        <v>44412</v>
      </c>
      <c r="H672">
        <v>81021.23</v>
      </c>
      <c r="I672" t="s">
        <v>122</v>
      </c>
      <c r="J672">
        <v>-5962622821</v>
      </c>
      <c r="K672" t="s">
        <v>30</v>
      </c>
      <c r="L672" t="b">
        <v>0</v>
      </c>
    </row>
    <row r="673" spans="1:12" x14ac:dyDescent="0.3">
      <c r="A673" t="s">
        <v>807</v>
      </c>
      <c r="B673" t="s">
        <v>52</v>
      </c>
      <c r="C673" t="s">
        <v>86</v>
      </c>
      <c r="D673">
        <v>25</v>
      </c>
      <c r="E673" t="s">
        <v>80</v>
      </c>
      <c r="F673" t="s">
        <v>33</v>
      </c>
      <c r="G673" s="1">
        <v>45593</v>
      </c>
      <c r="H673">
        <v>114069.07</v>
      </c>
      <c r="I673" t="s">
        <v>371</v>
      </c>
      <c r="J673">
        <v>-5120734653</v>
      </c>
      <c r="K673" t="s">
        <v>30</v>
      </c>
      <c r="L673" t="b">
        <v>1</v>
      </c>
    </row>
    <row r="674" spans="1:12" x14ac:dyDescent="0.3">
      <c r="A674" t="s">
        <v>808</v>
      </c>
      <c r="B674" t="s">
        <v>63</v>
      </c>
      <c r="C674" t="s">
        <v>86</v>
      </c>
      <c r="E674" t="s">
        <v>166</v>
      </c>
      <c r="F674" t="s">
        <v>33</v>
      </c>
      <c r="G674" s="1">
        <v>44107</v>
      </c>
      <c r="H674">
        <v>117867.96</v>
      </c>
      <c r="I674" t="s">
        <v>118</v>
      </c>
      <c r="J674">
        <v>-9500507025</v>
      </c>
      <c r="K674" t="s">
        <v>40</v>
      </c>
      <c r="L674" t="b">
        <v>0</v>
      </c>
    </row>
    <row r="675" spans="1:12" x14ac:dyDescent="0.3">
      <c r="A675" t="s">
        <v>809</v>
      </c>
      <c r="B675" t="s">
        <v>52</v>
      </c>
      <c r="C675" t="s">
        <v>86</v>
      </c>
      <c r="E675" t="s">
        <v>72</v>
      </c>
      <c r="F675" t="s">
        <v>28</v>
      </c>
      <c r="G675" s="1">
        <v>45364</v>
      </c>
      <c r="H675">
        <v>94509.58</v>
      </c>
      <c r="I675" t="s">
        <v>371</v>
      </c>
      <c r="J675">
        <v>-869822104</v>
      </c>
      <c r="K675" t="s">
        <v>18</v>
      </c>
      <c r="L675" t="b">
        <v>0</v>
      </c>
    </row>
    <row r="676" spans="1:12" x14ac:dyDescent="0.3">
      <c r="A676" t="s">
        <v>810</v>
      </c>
      <c r="B676" t="s">
        <v>32</v>
      </c>
      <c r="C676" t="s">
        <v>20</v>
      </c>
      <c r="D676">
        <v>35</v>
      </c>
      <c r="E676" t="s">
        <v>215</v>
      </c>
      <c r="F676" t="s">
        <v>16</v>
      </c>
      <c r="G676" s="1">
        <v>45479</v>
      </c>
      <c r="H676">
        <v>56268.78</v>
      </c>
      <c r="I676" t="s">
        <v>138</v>
      </c>
      <c r="J676">
        <v>-3161177686</v>
      </c>
      <c r="K676" t="s">
        <v>23</v>
      </c>
      <c r="L676" t="b">
        <v>0</v>
      </c>
    </row>
    <row r="677" spans="1:12" x14ac:dyDescent="0.3">
      <c r="A677" t="s">
        <v>811</v>
      </c>
      <c r="B677" t="s">
        <v>67</v>
      </c>
      <c r="C677" t="s">
        <v>26</v>
      </c>
      <c r="D677">
        <v>35</v>
      </c>
      <c r="E677" t="s">
        <v>108</v>
      </c>
      <c r="F677" t="s">
        <v>16</v>
      </c>
      <c r="G677" s="1">
        <v>43831</v>
      </c>
      <c r="H677">
        <v>86632.14</v>
      </c>
      <c r="I677" t="s">
        <v>73</v>
      </c>
      <c r="J677">
        <v>-2904774257</v>
      </c>
      <c r="K677" t="s">
        <v>40</v>
      </c>
      <c r="L677" t="b">
        <v>1</v>
      </c>
    </row>
    <row r="678" spans="1:12" x14ac:dyDescent="0.3">
      <c r="A678" t="s">
        <v>812</v>
      </c>
      <c r="B678" t="s">
        <v>52</v>
      </c>
      <c r="C678" t="s">
        <v>20</v>
      </c>
      <c r="D678">
        <v>35</v>
      </c>
      <c r="E678" t="s">
        <v>180</v>
      </c>
      <c r="F678" t="s">
        <v>28</v>
      </c>
      <c r="G678" s="1">
        <v>43848</v>
      </c>
      <c r="H678">
        <v>98143.9</v>
      </c>
      <c r="I678" t="s">
        <v>114</v>
      </c>
      <c r="J678">
        <v>-5917793237</v>
      </c>
      <c r="K678" t="s">
        <v>23</v>
      </c>
      <c r="L678" t="b">
        <v>0</v>
      </c>
    </row>
    <row r="679" spans="1:12" x14ac:dyDescent="0.3">
      <c r="A679" t="s">
        <v>813</v>
      </c>
      <c r="B679" t="s">
        <v>63</v>
      </c>
      <c r="C679" t="s">
        <v>42</v>
      </c>
      <c r="D679">
        <v>35</v>
      </c>
      <c r="E679" t="s">
        <v>38</v>
      </c>
      <c r="F679" t="s">
        <v>33</v>
      </c>
      <c r="G679" s="1">
        <v>45053</v>
      </c>
      <c r="H679" t="s">
        <v>223</v>
      </c>
      <c r="I679" t="s">
        <v>209</v>
      </c>
      <c r="J679">
        <v>-2231164912</v>
      </c>
      <c r="K679" t="s">
        <v>18</v>
      </c>
      <c r="L679" t="b">
        <v>1</v>
      </c>
    </row>
    <row r="680" spans="1:12" x14ac:dyDescent="0.3">
      <c r="A680" t="s">
        <v>814</v>
      </c>
      <c r="B680" t="s">
        <v>36</v>
      </c>
      <c r="C680" t="s">
        <v>53</v>
      </c>
      <c r="D680">
        <v>30</v>
      </c>
      <c r="E680" t="s">
        <v>215</v>
      </c>
      <c r="F680" t="s">
        <v>33</v>
      </c>
      <c r="G680" s="1">
        <v>44639</v>
      </c>
      <c r="H680">
        <v>67492.73</v>
      </c>
      <c r="I680" t="s">
        <v>219</v>
      </c>
      <c r="J680">
        <v>-3424579888</v>
      </c>
      <c r="K680" t="s">
        <v>23</v>
      </c>
      <c r="L680" t="b">
        <v>1</v>
      </c>
    </row>
    <row r="681" spans="1:12" x14ac:dyDescent="0.3">
      <c r="A681" t="s">
        <v>815</v>
      </c>
      <c r="B681" t="s">
        <v>67</v>
      </c>
      <c r="C681" t="s">
        <v>53</v>
      </c>
      <c r="D681">
        <v>40</v>
      </c>
      <c r="E681" t="s">
        <v>108</v>
      </c>
      <c r="F681" t="s">
        <v>16</v>
      </c>
      <c r="G681" s="1">
        <v>44695</v>
      </c>
      <c r="H681">
        <v>93772.61</v>
      </c>
      <c r="I681" t="s">
        <v>116</v>
      </c>
      <c r="J681">
        <v>-4256529059</v>
      </c>
      <c r="K681" t="s">
        <v>40</v>
      </c>
      <c r="L681" t="b">
        <v>0</v>
      </c>
    </row>
    <row r="682" spans="1:12" x14ac:dyDescent="0.3">
      <c r="A682" t="s">
        <v>816</v>
      </c>
      <c r="B682" t="s">
        <v>32</v>
      </c>
      <c r="C682" t="s">
        <v>42</v>
      </c>
      <c r="D682">
        <v>35</v>
      </c>
      <c r="E682" t="s">
        <v>258</v>
      </c>
      <c r="F682" t="s">
        <v>28</v>
      </c>
      <c r="G682" s="1">
        <v>45487</v>
      </c>
      <c r="H682">
        <v>68817.539999999994</v>
      </c>
      <c r="I682" t="s">
        <v>236</v>
      </c>
      <c r="J682">
        <v>-3202032649</v>
      </c>
      <c r="K682" t="s">
        <v>23</v>
      </c>
      <c r="L682" t="b">
        <v>0</v>
      </c>
    </row>
    <row r="683" spans="1:12" x14ac:dyDescent="0.3">
      <c r="A683" t="s">
        <v>817</v>
      </c>
      <c r="B683" t="s">
        <v>13</v>
      </c>
      <c r="C683" t="s">
        <v>26</v>
      </c>
      <c r="D683">
        <v>30</v>
      </c>
      <c r="E683" t="s">
        <v>108</v>
      </c>
      <c r="F683" t="s">
        <v>16</v>
      </c>
      <c r="G683" s="1">
        <v>45135</v>
      </c>
      <c r="H683">
        <v>81874.009999999995</v>
      </c>
      <c r="I683" t="s">
        <v>48</v>
      </c>
      <c r="J683">
        <v>-9775396736</v>
      </c>
      <c r="K683" t="s">
        <v>30</v>
      </c>
      <c r="L683" t="b">
        <v>1</v>
      </c>
    </row>
    <row r="684" spans="1:12" x14ac:dyDescent="0.3">
      <c r="A684" t="s">
        <v>818</v>
      </c>
      <c r="B684" t="s">
        <v>63</v>
      </c>
      <c r="C684" t="s">
        <v>14</v>
      </c>
      <c r="D684">
        <v>30</v>
      </c>
      <c r="E684" t="s">
        <v>126</v>
      </c>
      <c r="F684" t="s">
        <v>16</v>
      </c>
      <c r="G684" s="1">
        <v>43932</v>
      </c>
      <c r="H684">
        <v>117880.14</v>
      </c>
      <c r="I684" t="s">
        <v>301</v>
      </c>
      <c r="J684">
        <v>-9487148551</v>
      </c>
      <c r="K684" t="s">
        <v>18</v>
      </c>
      <c r="L684" t="b">
        <v>0</v>
      </c>
    </row>
    <row r="685" spans="1:12" x14ac:dyDescent="0.3">
      <c r="A685" t="s">
        <v>819</v>
      </c>
      <c r="B685" t="s">
        <v>13</v>
      </c>
      <c r="C685" t="s">
        <v>20</v>
      </c>
      <c r="D685">
        <v>35</v>
      </c>
      <c r="E685" t="s">
        <v>64</v>
      </c>
      <c r="F685" t="s">
        <v>28</v>
      </c>
      <c r="G685" s="1">
        <v>44728</v>
      </c>
      <c r="H685">
        <v>100897.49</v>
      </c>
      <c r="I685" t="s">
        <v>22</v>
      </c>
      <c r="J685">
        <v>-4578715840</v>
      </c>
      <c r="K685" t="s">
        <v>18</v>
      </c>
      <c r="L685" t="b">
        <v>1</v>
      </c>
    </row>
    <row r="686" spans="1:12" x14ac:dyDescent="0.3">
      <c r="A686" t="s">
        <v>820</v>
      </c>
      <c r="B686" t="s">
        <v>52</v>
      </c>
      <c r="C686" t="s">
        <v>111</v>
      </c>
      <c r="D686">
        <v>25</v>
      </c>
      <c r="E686" t="s">
        <v>190</v>
      </c>
      <c r="F686" t="s">
        <v>33</v>
      </c>
      <c r="G686" s="1">
        <v>44691</v>
      </c>
      <c r="H686">
        <v>71810.37</v>
      </c>
      <c r="I686" t="s">
        <v>167</v>
      </c>
      <c r="J686">
        <v>-5608213710</v>
      </c>
      <c r="K686" t="s">
        <v>18</v>
      </c>
      <c r="L686" t="b">
        <v>1</v>
      </c>
    </row>
    <row r="687" spans="1:12" x14ac:dyDescent="0.3">
      <c r="A687" t="s">
        <v>821</v>
      </c>
      <c r="B687" t="s">
        <v>36</v>
      </c>
      <c r="C687" t="s">
        <v>86</v>
      </c>
      <c r="D687">
        <v>40</v>
      </c>
      <c r="E687" t="s">
        <v>197</v>
      </c>
      <c r="F687" t="s">
        <v>33</v>
      </c>
      <c r="G687" s="1">
        <v>43995</v>
      </c>
      <c r="H687">
        <v>109048.24</v>
      </c>
      <c r="I687" t="s">
        <v>101</v>
      </c>
      <c r="J687">
        <v>-8425476817</v>
      </c>
      <c r="K687" t="s">
        <v>40</v>
      </c>
      <c r="L687" t="b">
        <v>0</v>
      </c>
    </row>
    <row r="688" spans="1:12" x14ac:dyDescent="0.3">
      <c r="A688" t="s">
        <v>822</v>
      </c>
      <c r="B688" t="s">
        <v>25</v>
      </c>
      <c r="C688" t="s">
        <v>86</v>
      </c>
      <c r="D688">
        <v>35</v>
      </c>
      <c r="E688" t="s">
        <v>21</v>
      </c>
      <c r="F688" t="s">
        <v>28</v>
      </c>
      <c r="G688" s="1">
        <v>44793</v>
      </c>
      <c r="H688">
        <v>62712.26</v>
      </c>
      <c r="I688" t="s">
        <v>145</v>
      </c>
      <c r="J688">
        <v>-2683230357</v>
      </c>
      <c r="K688" t="s">
        <v>18</v>
      </c>
      <c r="L688" t="b">
        <v>0</v>
      </c>
    </row>
    <row r="689" spans="1:12" x14ac:dyDescent="0.3">
      <c r="A689" t="s">
        <v>823</v>
      </c>
      <c r="B689" t="s">
        <v>32</v>
      </c>
      <c r="C689" t="s">
        <v>26</v>
      </c>
      <c r="D689">
        <v>40</v>
      </c>
      <c r="E689" t="s">
        <v>141</v>
      </c>
      <c r="F689" t="s">
        <v>28</v>
      </c>
      <c r="G689" s="1">
        <v>44340</v>
      </c>
      <c r="H689">
        <v>76935.850000000006</v>
      </c>
      <c r="I689" t="s">
        <v>224</v>
      </c>
      <c r="J689">
        <v>-9298808582</v>
      </c>
      <c r="K689" t="s">
        <v>30</v>
      </c>
      <c r="L689" t="b">
        <v>1</v>
      </c>
    </row>
    <row r="690" spans="1:12" x14ac:dyDescent="0.3">
      <c r="A690" t="s">
        <v>824</v>
      </c>
      <c r="B690" t="s">
        <v>57</v>
      </c>
      <c r="C690" t="s">
        <v>14</v>
      </c>
      <c r="D690">
        <v>25</v>
      </c>
      <c r="E690" t="s">
        <v>176</v>
      </c>
      <c r="F690" t="s">
        <v>28</v>
      </c>
      <c r="G690" s="1">
        <v>45409</v>
      </c>
      <c r="H690">
        <v>56577.22</v>
      </c>
      <c r="I690" t="s">
        <v>61</v>
      </c>
      <c r="J690">
        <v>-8252129327</v>
      </c>
      <c r="K690" t="s">
        <v>40</v>
      </c>
      <c r="L690" t="b">
        <v>1</v>
      </c>
    </row>
    <row r="691" spans="1:12" x14ac:dyDescent="0.3">
      <c r="A691" t="s">
        <v>825</v>
      </c>
      <c r="B691" t="s">
        <v>57</v>
      </c>
      <c r="C691" t="s">
        <v>53</v>
      </c>
      <c r="D691">
        <v>40</v>
      </c>
      <c r="E691" t="s">
        <v>93</v>
      </c>
      <c r="F691" t="s">
        <v>33</v>
      </c>
      <c r="G691" s="1">
        <v>44492</v>
      </c>
      <c r="H691">
        <v>61102.8</v>
      </c>
      <c r="I691" t="s">
        <v>183</v>
      </c>
      <c r="J691">
        <v>-9634064685</v>
      </c>
      <c r="K691" t="s">
        <v>30</v>
      </c>
      <c r="L691" t="b">
        <v>1</v>
      </c>
    </row>
    <row r="692" spans="1:12" x14ac:dyDescent="0.3">
      <c r="A692" t="s">
        <v>826</v>
      </c>
      <c r="B692" t="s">
        <v>13</v>
      </c>
      <c r="C692" t="s">
        <v>53</v>
      </c>
      <c r="D692">
        <v>35</v>
      </c>
      <c r="E692" t="s">
        <v>93</v>
      </c>
      <c r="F692" t="s">
        <v>33</v>
      </c>
      <c r="G692" s="1">
        <v>44237</v>
      </c>
      <c r="H692">
        <v>75229.87</v>
      </c>
      <c r="I692" t="s">
        <v>171</v>
      </c>
      <c r="J692">
        <v>-7752401483</v>
      </c>
      <c r="K692" t="s">
        <v>23</v>
      </c>
      <c r="L692" t="b">
        <v>1</v>
      </c>
    </row>
    <row r="693" spans="1:12" x14ac:dyDescent="0.3">
      <c r="A693" t="s">
        <v>827</v>
      </c>
      <c r="B693" t="s">
        <v>57</v>
      </c>
      <c r="C693" t="s">
        <v>86</v>
      </c>
      <c r="D693">
        <v>25</v>
      </c>
      <c r="E693" t="s">
        <v>27</v>
      </c>
      <c r="F693" t="s">
        <v>33</v>
      </c>
      <c r="G693" s="1">
        <v>44495</v>
      </c>
      <c r="H693">
        <v>51054.74</v>
      </c>
      <c r="I693" t="s">
        <v>98</v>
      </c>
      <c r="J693">
        <v>-3991062271</v>
      </c>
      <c r="K693" t="s">
        <v>23</v>
      </c>
      <c r="L693" t="b">
        <v>0</v>
      </c>
    </row>
    <row r="694" spans="1:12" x14ac:dyDescent="0.3">
      <c r="A694" t="s">
        <v>828</v>
      </c>
      <c r="B694" t="s">
        <v>13</v>
      </c>
      <c r="C694" t="s">
        <v>26</v>
      </c>
      <c r="D694">
        <v>40</v>
      </c>
      <c r="E694" t="s">
        <v>96</v>
      </c>
      <c r="F694" t="s">
        <v>16</v>
      </c>
      <c r="G694" s="1">
        <v>45021</v>
      </c>
      <c r="H694">
        <v>104843.27</v>
      </c>
      <c r="I694" t="s">
        <v>48</v>
      </c>
      <c r="J694">
        <v>-3626693350</v>
      </c>
      <c r="K694" t="s">
        <v>23</v>
      </c>
      <c r="L694" t="b">
        <v>0</v>
      </c>
    </row>
    <row r="695" spans="1:12" x14ac:dyDescent="0.3">
      <c r="A695" t="s">
        <v>829</v>
      </c>
      <c r="B695" t="s">
        <v>52</v>
      </c>
      <c r="C695" t="s">
        <v>20</v>
      </c>
      <c r="D695">
        <v>35</v>
      </c>
      <c r="E695" t="s">
        <v>58</v>
      </c>
      <c r="F695" t="s">
        <v>16</v>
      </c>
      <c r="G695" s="1">
        <v>44854</v>
      </c>
      <c r="H695">
        <v>56398.11</v>
      </c>
      <c r="I695" t="s">
        <v>114</v>
      </c>
      <c r="J695">
        <v>-3426192371</v>
      </c>
      <c r="K695" t="s">
        <v>23</v>
      </c>
      <c r="L695" t="b">
        <v>0</v>
      </c>
    </row>
    <row r="696" spans="1:12" x14ac:dyDescent="0.3">
      <c r="A696" t="s">
        <v>830</v>
      </c>
      <c r="B696" t="s">
        <v>25</v>
      </c>
      <c r="C696" t="s">
        <v>53</v>
      </c>
      <c r="D696">
        <v>25</v>
      </c>
      <c r="E696" t="s">
        <v>133</v>
      </c>
      <c r="F696" t="s">
        <v>16</v>
      </c>
      <c r="G696" s="1">
        <v>45267</v>
      </c>
      <c r="H696">
        <v>87544.73</v>
      </c>
      <c r="I696" t="s">
        <v>134</v>
      </c>
      <c r="J696">
        <v>-4501848196</v>
      </c>
      <c r="K696" t="s">
        <v>30</v>
      </c>
      <c r="L696" t="b">
        <v>0</v>
      </c>
    </row>
    <row r="697" spans="1:12" x14ac:dyDescent="0.3">
      <c r="A697" t="s">
        <v>831</v>
      </c>
      <c r="B697" t="s">
        <v>63</v>
      </c>
      <c r="C697" t="s">
        <v>20</v>
      </c>
      <c r="D697">
        <v>30</v>
      </c>
      <c r="E697" t="s">
        <v>166</v>
      </c>
      <c r="F697" t="s">
        <v>28</v>
      </c>
      <c r="G697" s="1">
        <v>45380</v>
      </c>
      <c r="H697">
        <v>74312.240000000005</v>
      </c>
      <c r="I697" t="s">
        <v>307</v>
      </c>
      <c r="J697">
        <v>-3741897214</v>
      </c>
      <c r="K697" t="s">
        <v>40</v>
      </c>
      <c r="L697" t="b">
        <v>0</v>
      </c>
    </row>
    <row r="698" spans="1:12" x14ac:dyDescent="0.3">
      <c r="A698" t="s">
        <v>832</v>
      </c>
      <c r="B698" t="s">
        <v>57</v>
      </c>
      <c r="C698" t="s">
        <v>14</v>
      </c>
      <c r="D698">
        <v>25</v>
      </c>
      <c r="E698" t="s">
        <v>192</v>
      </c>
      <c r="F698" t="s">
        <v>33</v>
      </c>
      <c r="G698" s="1">
        <v>45314</v>
      </c>
      <c r="H698">
        <v>59431.25</v>
      </c>
      <c r="I698" t="s">
        <v>61</v>
      </c>
      <c r="J698">
        <v>-4064176926</v>
      </c>
      <c r="K698" t="s">
        <v>40</v>
      </c>
      <c r="L698" t="b">
        <v>1</v>
      </c>
    </row>
    <row r="699" spans="1:12" x14ac:dyDescent="0.3">
      <c r="A699" t="s">
        <v>833</v>
      </c>
      <c r="B699" t="s">
        <v>63</v>
      </c>
      <c r="C699" t="s">
        <v>53</v>
      </c>
      <c r="D699">
        <v>40</v>
      </c>
      <c r="E699" t="s">
        <v>155</v>
      </c>
      <c r="F699" t="s">
        <v>28</v>
      </c>
      <c r="G699" s="1">
        <v>45258</v>
      </c>
      <c r="H699">
        <v>84306.44</v>
      </c>
      <c r="I699" t="s">
        <v>104</v>
      </c>
      <c r="J699">
        <v>-4381199536</v>
      </c>
      <c r="K699" t="s">
        <v>18</v>
      </c>
      <c r="L699" t="b">
        <v>0</v>
      </c>
    </row>
    <row r="700" spans="1:12" x14ac:dyDescent="0.3">
      <c r="A700" t="s">
        <v>834</v>
      </c>
      <c r="B700" t="s">
        <v>36</v>
      </c>
      <c r="C700" t="s">
        <v>53</v>
      </c>
      <c r="D700">
        <v>35</v>
      </c>
      <c r="E700" t="s">
        <v>192</v>
      </c>
      <c r="F700" t="s">
        <v>33</v>
      </c>
      <c r="G700" s="1">
        <v>45607</v>
      </c>
      <c r="H700">
        <v>108194.47</v>
      </c>
      <c r="I700" t="s">
        <v>219</v>
      </c>
      <c r="J700">
        <v>-6601444855</v>
      </c>
      <c r="K700" t="s">
        <v>30</v>
      </c>
      <c r="L700" t="b">
        <v>0</v>
      </c>
    </row>
    <row r="701" spans="1:12" x14ac:dyDescent="0.3">
      <c r="A701" t="s">
        <v>835</v>
      </c>
      <c r="B701" t="s">
        <v>52</v>
      </c>
      <c r="C701" t="s">
        <v>37</v>
      </c>
      <c r="D701">
        <v>25</v>
      </c>
      <c r="E701" t="s">
        <v>100</v>
      </c>
      <c r="F701" t="s">
        <v>33</v>
      </c>
      <c r="G701" s="1">
        <v>44436</v>
      </c>
      <c r="H701">
        <v>107359.3</v>
      </c>
      <c r="I701" t="s">
        <v>84</v>
      </c>
      <c r="J701">
        <v>-4510173972</v>
      </c>
      <c r="K701" t="s">
        <v>23</v>
      </c>
      <c r="L701" t="b">
        <v>0</v>
      </c>
    </row>
    <row r="702" spans="1:12" x14ac:dyDescent="0.3">
      <c r="A702" t="s">
        <v>836</v>
      </c>
      <c r="B702" t="s">
        <v>63</v>
      </c>
      <c r="C702" t="s">
        <v>53</v>
      </c>
      <c r="D702">
        <v>25</v>
      </c>
      <c r="E702" t="s">
        <v>75</v>
      </c>
      <c r="F702" t="s">
        <v>33</v>
      </c>
      <c r="G702" s="1">
        <v>45333</v>
      </c>
      <c r="H702" t="s">
        <v>223</v>
      </c>
      <c r="I702" t="s">
        <v>104</v>
      </c>
      <c r="J702">
        <v>-9641789968</v>
      </c>
      <c r="K702" t="s">
        <v>30</v>
      </c>
      <c r="L702" t="b">
        <v>0</v>
      </c>
    </row>
    <row r="703" spans="1:12" x14ac:dyDescent="0.3">
      <c r="A703" t="s">
        <v>837</v>
      </c>
      <c r="B703" t="s">
        <v>36</v>
      </c>
      <c r="C703" t="s">
        <v>42</v>
      </c>
      <c r="E703" t="s">
        <v>108</v>
      </c>
      <c r="F703" t="s">
        <v>28</v>
      </c>
      <c r="G703" s="1">
        <v>43960</v>
      </c>
      <c r="H703">
        <v>96080.26</v>
      </c>
      <c r="I703" t="s">
        <v>157</v>
      </c>
      <c r="J703">
        <v>-8609191910</v>
      </c>
      <c r="K703" t="s">
        <v>18</v>
      </c>
      <c r="L703" t="b">
        <v>0</v>
      </c>
    </row>
    <row r="704" spans="1:12" x14ac:dyDescent="0.3">
      <c r="A704" t="s">
        <v>838</v>
      </c>
      <c r="B704" t="s">
        <v>67</v>
      </c>
      <c r="C704" t="s">
        <v>111</v>
      </c>
      <c r="D704">
        <v>30</v>
      </c>
      <c r="E704" t="s">
        <v>185</v>
      </c>
      <c r="F704" t="s">
        <v>33</v>
      </c>
      <c r="G704" s="1">
        <v>45399</v>
      </c>
      <c r="H704">
        <v>88602.75</v>
      </c>
      <c r="I704" t="s">
        <v>122</v>
      </c>
      <c r="J704">
        <v>-3599660576</v>
      </c>
      <c r="K704" t="s">
        <v>18</v>
      </c>
      <c r="L704" t="b">
        <v>1</v>
      </c>
    </row>
    <row r="705" spans="1:12" x14ac:dyDescent="0.3">
      <c r="A705" t="s">
        <v>839</v>
      </c>
      <c r="B705" t="s">
        <v>36</v>
      </c>
      <c r="C705" t="s">
        <v>42</v>
      </c>
      <c r="D705">
        <v>40</v>
      </c>
      <c r="E705" t="s">
        <v>15</v>
      </c>
      <c r="F705" t="s">
        <v>16</v>
      </c>
      <c r="G705" s="1">
        <v>44028</v>
      </c>
      <c r="H705">
        <v>86624.04</v>
      </c>
      <c r="I705" t="s">
        <v>157</v>
      </c>
      <c r="J705">
        <v>-9806603919</v>
      </c>
      <c r="K705" t="s">
        <v>30</v>
      </c>
      <c r="L705" t="b">
        <v>1</v>
      </c>
    </row>
    <row r="706" spans="1:12" x14ac:dyDescent="0.3">
      <c r="A706" t="s">
        <v>840</v>
      </c>
      <c r="B706" t="s">
        <v>52</v>
      </c>
      <c r="C706" t="s">
        <v>26</v>
      </c>
      <c r="D706">
        <v>30</v>
      </c>
      <c r="E706" t="s">
        <v>58</v>
      </c>
      <c r="F706" t="s">
        <v>16</v>
      </c>
      <c r="G706" s="1">
        <v>44825</v>
      </c>
      <c r="H706">
        <v>63413.16</v>
      </c>
      <c r="I706" t="s">
        <v>109</v>
      </c>
      <c r="J706">
        <v>-5146074554</v>
      </c>
      <c r="K706" t="s">
        <v>30</v>
      </c>
      <c r="L706" t="b">
        <v>1</v>
      </c>
    </row>
    <row r="707" spans="1:12" x14ac:dyDescent="0.3">
      <c r="A707" t="s">
        <v>841</v>
      </c>
      <c r="B707" t="s">
        <v>67</v>
      </c>
      <c r="C707" t="s">
        <v>26</v>
      </c>
      <c r="D707">
        <v>40</v>
      </c>
      <c r="E707" t="s">
        <v>91</v>
      </c>
      <c r="F707" t="s">
        <v>28</v>
      </c>
      <c r="G707" s="1">
        <v>45039</v>
      </c>
      <c r="H707">
        <v>67915.7</v>
      </c>
      <c r="I707" t="s">
        <v>73</v>
      </c>
      <c r="J707">
        <v>-3470574237</v>
      </c>
      <c r="K707" t="s">
        <v>30</v>
      </c>
      <c r="L707" t="b">
        <v>0</v>
      </c>
    </row>
    <row r="708" spans="1:12" x14ac:dyDescent="0.3">
      <c r="A708" t="s">
        <v>842</v>
      </c>
      <c r="B708" t="s">
        <v>13</v>
      </c>
      <c r="C708" t="s">
        <v>20</v>
      </c>
      <c r="D708">
        <v>25</v>
      </c>
      <c r="E708" t="s">
        <v>27</v>
      </c>
      <c r="F708" t="s">
        <v>33</v>
      </c>
      <c r="G708" s="1">
        <v>45653</v>
      </c>
      <c r="H708">
        <v>108245.44</v>
      </c>
      <c r="I708" t="s">
        <v>22</v>
      </c>
      <c r="J708">
        <v>-8565271558</v>
      </c>
      <c r="K708" t="s">
        <v>40</v>
      </c>
      <c r="L708" t="b">
        <v>1</v>
      </c>
    </row>
    <row r="709" spans="1:12" x14ac:dyDescent="0.3">
      <c r="A709" t="s">
        <v>843</v>
      </c>
      <c r="B709" t="s">
        <v>25</v>
      </c>
      <c r="C709" t="s">
        <v>42</v>
      </c>
      <c r="D709">
        <v>35</v>
      </c>
      <c r="E709" t="s">
        <v>185</v>
      </c>
      <c r="F709" t="s">
        <v>33</v>
      </c>
      <c r="G709" s="1">
        <v>45514</v>
      </c>
      <c r="H709">
        <v>75834.81</v>
      </c>
      <c r="I709" t="s">
        <v>44</v>
      </c>
      <c r="J709">
        <v>-8354116596</v>
      </c>
      <c r="K709" t="s">
        <v>23</v>
      </c>
      <c r="L709" t="b">
        <v>1</v>
      </c>
    </row>
    <row r="710" spans="1:12" x14ac:dyDescent="0.3">
      <c r="A710" t="s">
        <v>844</v>
      </c>
      <c r="B710" t="s">
        <v>32</v>
      </c>
      <c r="C710" t="s">
        <v>42</v>
      </c>
      <c r="E710" t="s">
        <v>80</v>
      </c>
      <c r="F710" t="s">
        <v>16</v>
      </c>
      <c r="G710" s="1">
        <v>45539</v>
      </c>
      <c r="H710">
        <v>71273.320000000007</v>
      </c>
      <c r="I710" t="s">
        <v>236</v>
      </c>
      <c r="J710">
        <v>-2634755751</v>
      </c>
      <c r="K710" t="s">
        <v>30</v>
      </c>
      <c r="L710" t="b">
        <v>0</v>
      </c>
    </row>
    <row r="711" spans="1:12" x14ac:dyDescent="0.3">
      <c r="A711" t="s">
        <v>845</v>
      </c>
      <c r="B711" t="s">
        <v>13</v>
      </c>
      <c r="C711" t="s">
        <v>42</v>
      </c>
      <c r="D711">
        <v>25</v>
      </c>
      <c r="E711" t="s">
        <v>54</v>
      </c>
      <c r="F711" t="s">
        <v>28</v>
      </c>
      <c r="G711" s="1">
        <v>44620</v>
      </c>
      <c r="H711">
        <v>63262.23</v>
      </c>
      <c r="I711" t="s">
        <v>136</v>
      </c>
      <c r="J711">
        <v>-2501394883</v>
      </c>
      <c r="K711" t="s">
        <v>30</v>
      </c>
      <c r="L711" t="b">
        <v>0</v>
      </c>
    </row>
    <row r="712" spans="1:12" x14ac:dyDescent="0.3">
      <c r="A712" t="s">
        <v>846</v>
      </c>
      <c r="B712" t="s">
        <v>57</v>
      </c>
      <c r="C712" t="s">
        <v>14</v>
      </c>
      <c r="E712" t="s">
        <v>54</v>
      </c>
      <c r="F712" t="s">
        <v>28</v>
      </c>
      <c r="G712" s="1">
        <v>45365</v>
      </c>
      <c r="H712">
        <v>89069.91</v>
      </c>
      <c r="I712" t="s">
        <v>61</v>
      </c>
      <c r="J712">
        <v>-8826913118</v>
      </c>
      <c r="K712" t="s">
        <v>30</v>
      </c>
      <c r="L712" t="b">
        <v>0</v>
      </c>
    </row>
    <row r="713" spans="1:12" x14ac:dyDescent="0.3">
      <c r="A713" t="s">
        <v>847</v>
      </c>
      <c r="B713" t="s">
        <v>36</v>
      </c>
      <c r="C713" t="s">
        <v>53</v>
      </c>
      <c r="D713">
        <v>40</v>
      </c>
      <c r="E713" t="s">
        <v>258</v>
      </c>
      <c r="F713" t="s">
        <v>33</v>
      </c>
      <c r="G713" s="1">
        <v>45639</v>
      </c>
      <c r="H713">
        <v>57287.17</v>
      </c>
      <c r="I713" t="s">
        <v>219</v>
      </c>
      <c r="J713">
        <v>-6425856260</v>
      </c>
      <c r="K713" t="s">
        <v>18</v>
      </c>
      <c r="L713" t="b">
        <v>1</v>
      </c>
    </row>
    <row r="714" spans="1:12" x14ac:dyDescent="0.3">
      <c r="A714" t="s">
        <v>848</v>
      </c>
      <c r="B714" t="s">
        <v>67</v>
      </c>
      <c r="C714" t="s">
        <v>111</v>
      </c>
      <c r="E714" t="s">
        <v>133</v>
      </c>
      <c r="F714" t="s">
        <v>16</v>
      </c>
      <c r="G714" s="1">
        <v>44924</v>
      </c>
      <c r="H714">
        <v>119890.35</v>
      </c>
      <c r="I714" t="s">
        <v>122</v>
      </c>
      <c r="J714">
        <v>-4991537037</v>
      </c>
      <c r="K714" t="s">
        <v>18</v>
      </c>
      <c r="L714" t="b">
        <v>1</v>
      </c>
    </row>
    <row r="715" spans="1:12" x14ac:dyDescent="0.3">
      <c r="A715" t="s">
        <v>849</v>
      </c>
      <c r="B715" t="s">
        <v>36</v>
      </c>
      <c r="C715" t="s">
        <v>20</v>
      </c>
      <c r="D715">
        <v>35</v>
      </c>
      <c r="E715" t="s">
        <v>155</v>
      </c>
      <c r="F715" t="s">
        <v>33</v>
      </c>
      <c r="G715" s="1">
        <v>44675</v>
      </c>
      <c r="H715">
        <v>103492.91</v>
      </c>
      <c r="I715" t="s">
        <v>198</v>
      </c>
      <c r="J715">
        <v>-2407333372</v>
      </c>
      <c r="K715" t="s">
        <v>40</v>
      </c>
      <c r="L715" t="b">
        <v>0</v>
      </c>
    </row>
    <row r="716" spans="1:12" x14ac:dyDescent="0.3">
      <c r="A716" t="s">
        <v>850</v>
      </c>
      <c r="B716" t="s">
        <v>36</v>
      </c>
      <c r="C716" t="s">
        <v>42</v>
      </c>
      <c r="E716" t="s">
        <v>83</v>
      </c>
      <c r="F716" t="s">
        <v>28</v>
      </c>
      <c r="G716" s="1">
        <v>44269</v>
      </c>
      <c r="H716">
        <v>76254.42</v>
      </c>
      <c r="I716" t="s">
        <v>157</v>
      </c>
      <c r="J716">
        <v>-2043097767</v>
      </c>
      <c r="K716" t="s">
        <v>23</v>
      </c>
      <c r="L716" t="b">
        <v>0</v>
      </c>
    </row>
    <row r="717" spans="1:12" x14ac:dyDescent="0.3">
      <c r="A717" t="s">
        <v>851</v>
      </c>
      <c r="B717" t="s">
        <v>32</v>
      </c>
      <c r="C717" t="s">
        <v>42</v>
      </c>
      <c r="D717">
        <v>35</v>
      </c>
      <c r="E717" t="s">
        <v>103</v>
      </c>
      <c r="F717" t="s">
        <v>33</v>
      </c>
      <c r="G717" s="1">
        <v>43831</v>
      </c>
      <c r="H717">
        <v>100841.93</v>
      </c>
      <c r="I717" t="s">
        <v>236</v>
      </c>
      <c r="J717">
        <v>-8936289695</v>
      </c>
      <c r="K717" t="s">
        <v>40</v>
      </c>
      <c r="L717" t="b">
        <v>1</v>
      </c>
    </row>
    <row r="718" spans="1:12" x14ac:dyDescent="0.3">
      <c r="A718" t="s">
        <v>852</v>
      </c>
      <c r="B718" t="s">
        <v>25</v>
      </c>
      <c r="C718" t="s">
        <v>37</v>
      </c>
      <c r="E718" t="s">
        <v>108</v>
      </c>
      <c r="F718" t="s">
        <v>16</v>
      </c>
      <c r="G718" s="1">
        <v>44446</v>
      </c>
      <c r="H718">
        <v>118907.61</v>
      </c>
      <c r="I718" t="s">
        <v>281</v>
      </c>
      <c r="J718">
        <v>-4546553584</v>
      </c>
      <c r="K718" t="s">
        <v>23</v>
      </c>
      <c r="L718" t="b">
        <v>1</v>
      </c>
    </row>
    <row r="719" spans="1:12" x14ac:dyDescent="0.3">
      <c r="A719" t="s">
        <v>853</v>
      </c>
      <c r="B719" t="s">
        <v>36</v>
      </c>
      <c r="C719" t="s">
        <v>20</v>
      </c>
      <c r="D719">
        <v>25</v>
      </c>
      <c r="E719" t="s">
        <v>15</v>
      </c>
      <c r="F719" t="s">
        <v>28</v>
      </c>
      <c r="G719" s="1">
        <v>44878</v>
      </c>
      <c r="H719">
        <v>88942.62</v>
      </c>
      <c r="I719" t="s">
        <v>198</v>
      </c>
      <c r="J719">
        <v>-1253892186</v>
      </c>
      <c r="K719" t="s">
        <v>18</v>
      </c>
      <c r="L719" t="b">
        <v>0</v>
      </c>
    </row>
    <row r="720" spans="1:12" x14ac:dyDescent="0.3">
      <c r="A720" t="s">
        <v>854</v>
      </c>
      <c r="B720" t="s">
        <v>52</v>
      </c>
      <c r="C720" t="s">
        <v>42</v>
      </c>
      <c r="D720">
        <v>25</v>
      </c>
      <c r="E720" t="s">
        <v>38</v>
      </c>
      <c r="F720" t="s">
        <v>33</v>
      </c>
      <c r="G720" s="1">
        <v>44150</v>
      </c>
      <c r="H720">
        <v>59688.57</v>
      </c>
      <c r="I720" t="s">
        <v>81</v>
      </c>
      <c r="J720">
        <v>-8519358373</v>
      </c>
      <c r="K720" t="s">
        <v>18</v>
      </c>
      <c r="L720" t="b">
        <v>0</v>
      </c>
    </row>
    <row r="721" spans="1:12" x14ac:dyDescent="0.3">
      <c r="A721" t="s">
        <v>855</v>
      </c>
      <c r="B721" t="s">
        <v>57</v>
      </c>
      <c r="C721" t="s">
        <v>20</v>
      </c>
      <c r="D721">
        <v>30</v>
      </c>
      <c r="E721" t="s">
        <v>131</v>
      </c>
      <c r="F721" t="s">
        <v>16</v>
      </c>
      <c r="G721" s="1">
        <v>44999</v>
      </c>
      <c r="H721">
        <v>77985.88</v>
      </c>
      <c r="I721" t="s">
        <v>188</v>
      </c>
      <c r="J721">
        <v>-9079779611</v>
      </c>
      <c r="K721" t="s">
        <v>18</v>
      </c>
      <c r="L721" t="b">
        <v>1</v>
      </c>
    </row>
    <row r="722" spans="1:12" x14ac:dyDescent="0.3">
      <c r="A722" t="s">
        <v>856</v>
      </c>
      <c r="B722" t="s">
        <v>13</v>
      </c>
      <c r="C722" t="s">
        <v>53</v>
      </c>
      <c r="D722">
        <v>35</v>
      </c>
      <c r="E722" t="s">
        <v>190</v>
      </c>
      <c r="F722" t="s">
        <v>33</v>
      </c>
      <c r="G722" s="1">
        <v>45522</v>
      </c>
      <c r="H722">
        <v>112931.69</v>
      </c>
      <c r="I722" t="s">
        <v>171</v>
      </c>
      <c r="J722">
        <v>-878057214</v>
      </c>
      <c r="K722" t="s">
        <v>40</v>
      </c>
      <c r="L722" t="b">
        <v>0</v>
      </c>
    </row>
    <row r="723" spans="1:12" x14ac:dyDescent="0.3">
      <c r="A723" t="s">
        <v>857</v>
      </c>
      <c r="B723" t="s">
        <v>13</v>
      </c>
      <c r="C723" t="s">
        <v>37</v>
      </c>
      <c r="E723" t="s">
        <v>15</v>
      </c>
      <c r="F723" t="s">
        <v>16</v>
      </c>
      <c r="G723" s="1">
        <v>45327</v>
      </c>
      <c r="H723">
        <v>106583.88</v>
      </c>
      <c r="I723" t="s">
        <v>129</v>
      </c>
      <c r="J723">
        <v>-1494097625</v>
      </c>
      <c r="K723" t="s">
        <v>30</v>
      </c>
      <c r="L723" t="b">
        <v>1</v>
      </c>
    </row>
    <row r="724" spans="1:12" x14ac:dyDescent="0.3">
      <c r="A724" t="s">
        <v>858</v>
      </c>
      <c r="B724" t="s">
        <v>25</v>
      </c>
      <c r="C724" t="s">
        <v>20</v>
      </c>
      <c r="D724">
        <v>35</v>
      </c>
      <c r="E724" t="s">
        <v>180</v>
      </c>
      <c r="F724" t="s">
        <v>33</v>
      </c>
      <c r="G724" s="1">
        <v>45608</v>
      </c>
      <c r="H724">
        <v>58437.84</v>
      </c>
      <c r="I724" t="s">
        <v>76</v>
      </c>
      <c r="J724">
        <v>-3748453985</v>
      </c>
      <c r="K724" t="s">
        <v>30</v>
      </c>
      <c r="L724" t="b">
        <v>1</v>
      </c>
    </row>
    <row r="725" spans="1:12" x14ac:dyDescent="0.3">
      <c r="A725" t="s">
        <v>859</v>
      </c>
      <c r="B725" t="s">
        <v>25</v>
      </c>
      <c r="C725" t="s">
        <v>111</v>
      </c>
      <c r="D725">
        <v>40</v>
      </c>
      <c r="E725" t="s">
        <v>217</v>
      </c>
      <c r="F725" t="s">
        <v>28</v>
      </c>
      <c r="G725" s="1">
        <v>43915</v>
      </c>
      <c r="H725">
        <v>72352.160000000003</v>
      </c>
      <c r="I725" t="s">
        <v>159</v>
      </c>
      <c r="J725">
        <v>-2895090590</v>
      </c>
      <c r="K725" t="s">
        <v>18</v>
      </c>
      <c r="L725" t="b">
        <v>1</v>
      </c>
    </row>
    <row r="726" spans="1:12" x14ac:dyDescent="0.3">
      <c r="A726" t="s">
        <v>860</v>
      </c>
      <c r="B726" t="s">
        <v>36</v>
      </c>
      <c r="C726" t="s">
        <v>111</v>
      </c>
      <c r="E726" t="s">
        <v>54</v>
      </c>
      <c r="F726" t="s">
        <v>16</v>
      </c>
      <c r="G726" s="1">
        <v>43934</v>
      </c>
      <c r="H726">
        <v>97154.47</v>
      </c>
      <c r="I726" t="s">
        <v>124</v>
      </c>
      <c r="J726">
        <v>-1918623391</v>
      </c>
      <c r="K726" t="s">
        <v>30</v>
      </c>
      <c r="L726" t="b">
        <v>1</v>
      </c>
    </row>
    <row r="727" spans="1:12" x14ac:dyDescent="0.3">
      <c r="A727" t="s">
        <v>861</v>
      </c>
      <c r="B727" t="s">
        <v>63</v>
      </c>
      <c r="C727" t="s">
        <v>26</v>
      </c>
      <c r="E727" t="s">
        <v>91</v>
      </c>
      <c r="F727" t="s">
        <v>16</v>
      </c>
      <c r="G727" s="1">
        <v>44285</v>
      </c>
      <c r="H727">
        <v>80235.5</v>
      </c>
      <c r="I727" t="s">
        <v>251</v>
      </c>
      <c r="J727">
        <v>-2071511695</v>
      </c>
      <c r="K727" t="s">
        <v>30</v>
      </c>
      <c r="L727" t="b">
        <v>0</v>
      </c>
    </row>
    <row r="728" spans="1:12" x14ac:dyDescent="0.3">
      <c r="A728" t="s">
        <v>862</v>
      </c>
      <c r="B728" t="s">
        <v>52</v>
      </c>
      <c r="C728" t="s">
        <v>37</v>
      </c>
      <c r="D728">
        <v>30</v>
      </c>
      <c r="E728" t="s">
        <v>126</v>
      </c>
      <c r="F728" t="s">
        <v>33</v>
      </c>
      <c r="G728" s="1">
        <v>45001</v>
      </c>
      <c r="H728">
        <v>102172.05</v>
      </c>
      <c r="I728" t="s">
        <v>84</v>
      </c>
      <c r="J728">
        <v>-6672521451</v>
      </c>
      <c r="K728" t="s">
        <v>40</v>
      </c>
      <c r="L728" t="b">
        <v>0</v>
      </c>
    </row>
    <row r="729" spans="1:12" x14ac:dyDescent="0.3">
      <c r="A729" t="s">
        <v>863</v>
      </c>
      <c r="B729" t="s">
        <v>32</v>
      </c>
      <c r="C729" t="s">
        <v>37</v>
      </c>
      <c r="D729">
        <v>25</v>
      </c>
      <c r="E729" t="s">
        <v>215</v>
      </c>
      <c r="F729" t="s">
        <v>33</v>
      </c>
      <c r="G729" s="1">
        <v>45415</v>
      </c>
      <c r="H729">
        <v>98850.94</v>
      </c>
      <c r="I729" t="s">
        <v>127</v>
      </c>
      <c r="J729">
        <v>-6471246334</v>
      </c>
      <c r="K729" t="s">
        <v>23</v>
      </c>
      <c r="L729" t="b">
        <v>1</v>
      </c>
    </row>
    <row r="730" spans="1:12" x14ac:dyDescent="0.3">
      <c r="A730" t="s">
        <v>864</v>
      </c>
      <c r="B730" t="s">
        <v>63</v>
      </c>
      <c r="C730" t="s">
        <v>26</v>
      </c>
      <c r="E730" t="s">
        <v>176</v>
      </c>
      <c r="F730" t="s">
        <v>33</v>
      </c>
      <c r="G730" s="1">
        <v>45166</v>
      </c>
      <c r="H730">
        <v>89993.15</v>
      </c>
      <c r="I730" t="s">
        <v>251</v>
      </c>
      <c r="J730">
        <v>-1571840907</v>
      </c>
      <c r="K730" t="s">
        <v>18</v>
      </c>
      <c r="L730" t="b">
        <v>1</v>
      </c>
    </row>
    <row r="731" spans="1:12" x14ac:dyDescent="0.3">
      <c r="A731" t="s">
        <v>865</v>
      </c>
      <c r="B731" t="s">
        <v>57</v>
      </c>
      <c r="C731" t="s">
        <v>20</v>
      </c>
      <c r="D731">
        <v>30</v>
      </c>
      <c r="E731" t="s">
        <v>217</v>
      </c>
      <c r="F731" t="s">
        <v>33</v>
      </c>
      <c r="G731" s="1">
        <v>44493</v>
      </c>
      <c r="H731">
        <v>97931.66</v>
      </c>
      <c r="I731" t="s">
        <v>188</v>
      </c>
      <c r="J731">
        <v>-512080055</v>
      </c>
      <c r="K731" t="s">
        <v>18</v>
      </c>
      <c r="L731" t="b">
        <v>1</v>
      </c>
    </row>
    <row r="732" spans="1:12" x14ac:dyDescent="0.3">
      <c r="A732" t="s">
        <v>866</v>
      </c>
      <c r="B732" t="s">
        <v>13</v>
      </c>
      <c r="C732" t="s">
        <v>37</v>
      </c>
      <c r="D732">
        <v>40</v>
      </c>
      <c r="E732" t="s">
        <v>68</v>
      </c>
      <c r="F732" t="s">
        <v>33</v>
      </c>
      <c r="G732" s="1">
        <v>44221</v>
      </c>
      <c r="H732">
        <v>72451.69</v>
      </c>
      <c r="I732" t="s">
        <v>129</v>
      </c>
      <c r="J732">
        <v>-4099512396</v>
      </c>
      <c r="K732" t="s">
        <v>40</v>
      </c>
      <c r="L732" t="b">
        <v>1</v>
      </c>
    </row>
    <row r="733" spans="1:12" x14ac:dyDescent="0.3">
      <c r="A733" t="s">
        <v>867</v>
      </c>
      <c r="B733" t="s">
        <v>25</v>
      </c>
      <c r="C733" t="s">
        <v>111</v>
      </c>
      <c r="D733">
        <v>35</v>
      </c>
      <c r="E733" t="s">
        <v>108</v>
      </c>
      <c r="F733" t="s">
        <v>28</v>
      </c>
      <c r="G733" s="1">
        <v>45513</v>
      </c>
      <c r="H733">
        <v>119311.14</v>
      </c>
      <c r="I733" t="s">
        <v>159</v>
      </c>
      <c r="J733">
        <v>-2835129591</v>
      </c>
      <c r="K733" t="s">
        <v>40</v>
      </c>
      <c r="L733" t="b">
        <v>1</v>
      </c>
    </row>
    <row r="734" spans="1:12" x14ac:dyDescent="0.3">
      <c r="A734" t="s">
        <v>868</v>
      </c>
      <c r="B734" t="s">
        <v>52</v>
      </c>
      <c r="C734" t="s">
        <v>111</v>
      </c>
      <c r="D734">
        <v>40</v>
      </c>
      <c r="E734" t="s">
        <v>58</v>
      </c>
      <c r="F734" t="s">
        <v>16</v>
      </c>
      <c r="G734" s="1">
        <v>45234</v>
      </c>
      <c r="H734">
        <v>76167.460000000006</v>
      </c>
      <c r="I734" t="s">
        <v>167</v>
      </c>
      <c r="J734">
        <v>-7282709080</v>
      </c>
      <c r="K734" t="s">
        <v>30</v>
      </c>
      <c r="L734" t="b">
        <v>0</v>
      </c>
    </row>
    <row r="735" spans="1:12" x14ac:dyDescent="0.3">
      <c r="A735" t="s">
        <v>869</v>
      </c>
      <c r="B735" t="s">
        <v>13</v>
      </c>
      <c r="C735" t="s">
        <v>42</v>
      </c>
      <c r="D735">
        <v>25</v>
      </c>
      <c r="E735" t="s">
        <v>197</v>
      </c>
      <c r="F735" t="s">
        <v>16</v>
      </c>
      <c r="G735" s="1">
        <v>45102</v>
      </c>
      <c r="H735">
        <v>114871.08</v>
      </c>
      <c r="I735" t="s">
        <v>136</v>
      </c>
      <c r="J735">
        <v>-4415298216</v>
      </c>
      <c r="K735" t="s">
        <v>18</v>
      </c>
      <c r="L735" t="b">
        <v>0</v>
      </c>
    </row>
    <row r="736" spans="1:12" x14ac:dyDescent="0.3">
      <c r="A736" t="s">
        <v>870</v>
      </c>
      <c r="B736" t="s">
        <v>32</v>
      </c>
      <c r="C736" t="s">
        <v>53</v>
      </c>
      <c r="D736">
        <v>25</v>
      </c>
      <c r="E736" t="s">
        <v>133</v>
      </c>
      <c r="F736" t="s">
        <v>16</v>
      </c>
      <c r="G736" s="1">
        <v>44455</v>
      </c>
      <c r="H736">
        <v>81504.31</v>
      </c>
      <c r="I736" t="s">
        <v>254</v>
      </c>
      <c r="J736">
        <v>-3929578670</v>
      </c>
      <c r="K736" t="s">
        <v>23</v>
      </c>
      <c r="L736" t="b">
        <v>0</v>
      </c>
    </row>
    <row r="737" spans="1:12" x14ac:dyDescent="0.3">
      <c r="A737" t="s">
        <v>871</v>
      </c>
      <c r="B737" t="s">
        <v>57</v>
      </c>
      <c r="C737" t="s">
        <v>37</v>
      </c>
      <c r="E737" t="s">
        <v>169</v>
      </c>
      <c r="F737" t="s">
        <v>28</v>
      </c>
      <c r="G737" s="1">
        <v>44902</v>
      </c>
      <c r="H737">
        <v>102524.86</v>
      </c>
      <c r="I737" t="s">
        <v>59</v>
      </c>
      <c r="J737">
        <v>-8153523735</v>
      </c>
      <c r="K737" t="s">
        <v>40</v>
      </c>
      <c r="L737" t="b">
        <v>0</v>
      </c>
    </row>
    <row r="738" spans="1:12" x14ac:dyDescent="0.3">
      <c r="A738" t="s">
        <v>872</v>
      </c>
      <c r="B738" t="s">
        <v>52</v>
      </c>
      <c r="C738" t="s">
        <v>20</v>
      </c>
      <c r="D738">
        <v>25</v>
      </c>
      <c r="E738" t="s">
        <v>215</v>
      </c>
      <c r="F738" t="s">
        <v>28</v>
      </c>
      <c r="G738" s="1">
        <v>44909</v>
      </c>
      <c r="H738">
        <v>53043.74</v>
      </c>
      <c r="I738" t="s">
        <v>114</v>
      </c>
      <c r="J738">
        <v>-507918157</v>
      </c>
      <c r="K738" t="s">
        <v>23</v>
      </c>
      <c r="L738" t="b">
        <v>1</v>
      </c>
    </row>
    <row r="739" spans="1:12" x14ac:dyDescent="0.3">
      <c r="A739" t="s">
        <v>873</v>
      </c>
      <c r="B739" t="s">
        <v>32</v>
      </c>
      <c r="C739" t="s">
        <v>26</v>
      </c>
      <c r="D739">
        <v>30</v>
      </c>
      <c r="E739" t="s">
        <v>75</v>
      </c>
      <c r="F739" t="s">
        <v>33</v>
      </c>
      <c r="G739" s="1">
        <v>43939</v>
      </c>
      <c r="H739">
        <v>82547.259999999995</v>
      </c>
      <c r="I739" t="s">
        <v>224</v>
      </c>
      <c r="J739">
        <v>-9988683451</v>
      </c>
      <c r="K739" t="s">
        <v>23</v>
      </c>
      <c r="L739" t="b">
        <v>1</v>
      </c>
    </row>
    <row r="740" spans="1:12" x14ac:dyDescent="0.3">
      <c r="A740" t="s">
        <v>874</v>
      </c>
      <c r="B740" t="s">
        <v>13</v>
      </c>
      <c r="C740" t="s">
        <v>26</v>
      </c>
      <c r="D740">
        <v>40</v>
      </c>
      <c r="E740" t="s">
        <v>15</v>
      </c>
      <c r="F740" t="s">
        <v>28</v>
      </c>
      <c r="G740" s="1">
        <v>45576</v>
      </c>
      <c r="H740">
        <v>113900.81</v>
      </c>
      <c r="I740" t="s">
        <v>48</v>
      </c>
      <c r="J740">
        <v>-7346666169</v>
      </c>
      <c r="K740" t="s">
        <v>18</v>
      </c>
      <c r="L740" t="b">
        <v>1</v>
      </c>
    </row>
    <row r="741" spans="1:12" x14ac:dyDescent="0.3">
      <c r="A741" t="s">
        <v>875</v>
      </c>
      <c r="B741" t="s">
        <v>13</v>
      </c>
      <c r="C741" t="s">
        <v>20</v>
      </c>
      <c r="D741">
        <v>25</v>
      </c>
      <c r="E741" t="s">
        <v>133</v>
      </c>
      <c r="F741" t="s">
        <v>33</v>
      </c>
      <c r="G741" s="1">
        <v>44304</v>
      </c>
      <c r="H741">
        <v>118585.5</v>
      </c>
      <c r="I741" t="s">
        <v>22</v>
      </c>
      <c r="J741">
        <v>-7158796473</v>
      </c>
      <c r="K741" t="s">
        <v>18</v>
      </c>
      <c r="L741" t="b">
        <v>1</v>
      </c>
    </row>
    <row r="742" spans="1:12" x14ac:dyDescent="0.3">
      <c r="A742" t="s">
        <v>876</v>
      </c>
      <c r="B742" t="s">
        <v>13</v>
      </c>
      <c r="C742" t="s">
        <v>14</v>
      </c>
      <c r="D742">
        <v>35</v>
      </c>
      <c r="E742" t="s">
        <v>215</v>
      </c>
      <c r="F742" t="s">
        <v>28</v>
      </c>
      <c r="G742" s="1">
        <v>44011</v>
      </c>
      <c r="H742">
        <v>63049.22</v>
      </c>
      <c r="I742" t="s">
        <v>17</v>
      </c>
      <c r="J742">
        <v>-803149981</v>
      </c>
      <c r="K742" t="s">
        <v>40</v>
      </c>
      <c r="L742" t="b">
        <v>1</v>
      </c>
    </row>
    <row r="743" spans="1:12" x14ac:dyDescent="0.3">
      <c r="A743" t="s">
        <v>877</v>
      </c>
      <c r="B743" t="s">
        <v>63</v>
      </c>
      <c r="C743" t="s">
        <v>86</v>
      </c>
      <c r="E743" t="s">
        <v>197</v>
      </c>
      <c r="F743" t="s">
        <v>16</v>
      </c>
      <c r="G743" s="1">
        <v>44337</v>
      </c>
      <c r="H743">
        <v>114558.91</v>
      </c>
      <c r="I743" t="s">
        <v>118</v>
      </c>
      <c r="J743">
        <v>-5080046357</v>
      </c>
      <c r="K743" t="s">
        <v>18</v>
      </c>
      <c r="L743" t="b">
        <v>0</v>
      </c>
    </row>
    <row r="744" spans="1:12" x14ac:dyDescent="0.3">
      <c r="A744" t="s">
        <v>878</v>
      </c>
      <c r="B744" t="s">
        <v>63</v>
      </c>
      <c r="C744" t="s">
        <v>53</v>
      </c>
      <c r="D744">
        <v>40</v>
      </c>
      <c r="E744" t="s">
        <v>54</v>
      </c>
      <c r="F744" t="s">
        <v>16</v>
      </c>
      <c r="G744" s="1">
        <v>44541</v>
      </c>
      <c r="H744">
        <v>97901.79</v>
      </c>
      <c r="I744" t="s">
        <v>104</v>
      </c>
      <c r="J744">
        <v>-688285030</v>
      </c>
      <c r="K744" t="s">
        <v>18</v>
      </c>
      <c r="L744" t="b">
        <v>1</v>
      </c>
    </row>
    <row r="745" spans="1:12" x14ac:dyDescent="0.3">
      <c r="A745" t="s">
        <v>879</v>
      </c>
      <c r="B745" t="s">
        <v>32</v>
      </c>
      <c r="C745" t="s">
        <v>26</v>
      </c>
      <c r="D745">
        <v>30</v>
      </c>
      <c r="E745" t="s">
        <v>155</v>
      </c>
      <c r="F745" t="s">
        <v>16</v>
      </c>
      <c r="G745" s="1">
        <v>45112</v>
      </c>
      <c r="H745">
        <v>68037.56</v>
      </c>
      <c r="I745" t="s">
        <v>224</v>
      </c>
      <c r="J745">
        <v>-7235137398</v>
      </c>
      <c r="K745" t="s">
        <v>18</v>
      </c>
      <c r="L745" t="b">
        <v>0</v>
      </c>
    </row>
    <row r="746" spans="1:12" x14ac:dyDescent="0.3">
      <c r="A746" t="s">
        <v>880</v>
      </c>
      <c r="B746" t="s">
        <v>25</v>
      </c>
      <c r="C746" t="s">
        <v>37</v>
      </c>
      <c r="E746" t="s">
        <v>64</v>
      </c>
      <c r="F746" t="s">
        <v>16</v>
      </c>
      <c r="G746" s="1">
        <v>44530</v>
      </c>
      <c r="H746">
        <v>112802.27</v>
      </c>
      <c r="I746" t="s">
        <v>281</v>
      </c>
      <c r="J746">
        <v>-63140351</v>
      </c>
      <c r="K746" t="s">
        <v>23</v>
      </c>
      <c r="L746" t="b">
        <v>0</v>
      </c>
    </row>
    <row r="747" spans="1:12" x14ac:dyDescent="0.3">
      <c r="A747" t="s">
        <v>881</v>
      </c>
      <c r="B747" t="s">
        <v>13</v>
      </c>
      <c r="C747" t="s">
        <v>53</v>
      </c>
      <c r="D747">
        <v>40</v>
      </c>
      <c r="E747" t="s">
        <v>185</v>
      </c>
      <c r="F747" t="s">
        <v>28</v>
      </c>
      <c r="G747" s="1">
        <v>45618</v>
      </c>
      <c r="H747">
        <v>93786.72</v>
      </c>
      <c r="I747" t="s">
        <v>171</v>
      </c>
      <c r="J747">
        <v>-6356022938</v>
      </c>
      <c r="K747" t="s">
        <v>40</v>
      </c>
      <c r="L747" t="b">
        <v>0</v>
      </c>
    </row>
    <row r="748" spans="1:12" x14ac:dyDescent="0.3">
      <c r="A748" t="s">
        <v>882</v>
      </c>
      <c r="B748" t="s">
        <v>57</v>
      </c>
      <c r="C748" t="s">
        <v>37</v>
      </c>
      <c r="E748" t="s">
        <v>176</v>
      </c>
      <c r="F748" t="s">
        <v>33</v>
      </c>
      <c r="G748" s="1">
        <v>45070</v>
      </c>
      <c r="H748">
        <v>73049.929999999993</v>
      </c>
      <c r="I748" t="s">
        <v>59</v>
      </c>
      <c r="J748">
        <v>-4694346065</v>
      </c>
      <c r="K748" t="s">
        <v>30</v>
      </c>
      <c r="L748" t="b">
        <v>0</v>
      </c>
    </row>
    <row r="749" spans="1:12" x14ac:dyDescent="0.3">
      <c r="A749" t="s">
        <v>883</v>
      </c>
      <c r="B749" t="s">
        <v>57</v>
      </c>
      <c r="C749" t="s">
        <v>14</v>
      </c>
      <c r="D749">
        <v>30</v>
      </c>
      <c r="E749" t="s">
        <v>91</v>
      </c>
      <c r="F749" t="s">
        <v>28</v>
      </c>
      <c r="G749" s="1">
        <v>45469</v>
      </c>
      <c r="H749">
        <v>64161.72</v>
      </c>
      <c r="I749" t="s">
        <v>61</v>
      </c>
      <c r="J749">
        <v>-6437490606</v>
      </c>
      <c r="K749" t="s">
        <v>23</v>
      </c>
      <c r="L749" t="b">
        <v>1</v>
      </c>
    </row>
    <row r="750" spans="1:12" x14ac:dyDescent="0.3">
      <c r="A750" t="s">
        <v>884</v>
      </c>
      <c r="B750" t="s">
        <v>52</v>
      </c>
      <c r="C750" t="s">
        <v>111</v>
      </c>
      <c r="D750">
        <v>40</v>
      </c>
      <c r="E750" t="s">
        <v>27</v>
      </c>
      <c r="F750" t="s">
        <v>28</v>
      </c>
      <c r="G750" s="1">
        <v>44154</v>
      </c>
      <c r="H750">
        <v>72224.73</v>
      </c>
      <c r="I750" t="s">
        <v>167</v>
      </c>
      <c r="J750">
        <v>-2311127127</v>
      </c>
      <c r="K750" t="s">
        <v>18</v>
      </c>
      <c r="L750" t="b">
        <v>0</v>
      </c>
    </row>
    <row r="751" spans="1:12" x14ac:dyDescent="0.3">
      <c r="A751" t="s">
        <v>885</v>
      </c>
      <c r="B751" t="s">
        <v>13</v>
      </c>
      <c r="C751" t="s">
        <v>53</v>
      </c>
      <c r="D751">
        <v>30</v>
      </c>
      <c r="E751" t="s">
        <v>64</v>
      </c>
      <c r="F751" t="s">
        <v>28</v>
      </c>
      <c r="G751" s="1">
        <v>43891</v>
      </c>
      <c r="H751">
        <v>103580.45</v>
      </c>
      <c r="I751" t="s">
        <v>171</v>
      </c>
      <c r="J751">
        <v>-5246484493</v>
      </c>
      <c r="K751" t="s">
        <v>23</v>
      </c>
      <c r="L751" t="b">
        <v>0</v>
      </c>
    </row>
    <row r="752" spans="1:12" x14ac:dyDescent="0.3">
      <c r="A752" t="s">
        <v>886</v>
      </c>
      <c r="B752" t="s">
        <v>67</v>
      </c>
      <c r="C752" t="s">
        <v>42</v>
      </c>
      <c r="D752">
        <v>40</v>
      </c>
      <c r="E752" t="s">
        <v>180</v>
      </c>
      <c r="F752" t="s">
        <v>28</v>
      </c>
      <c r="G752" s="1">
        <v>45513</v>
      </c>
      <c r="H752">
        <v>112589.11</v>
      </c>
      <c r="I752" t="s">
        <v>78</v>
      </c>
      <c r="J752">
        <v>-1163187327</v>
      </c>
      <c r="K752" t="s">
        <v>18</v>
      </c>
      <c r="L752" t="b">
        <v>0</v>
      </c>
    </row>
    <row r="753" spans="1:12" x14ac:dyDescent="0.3">
      <c r="A753" t="s">
        <v>887</v>
      </c>
      <c r="B753" t="s">
        <v>32</v>
      </c>
      <c r="C753" t="s">
        <v>26</v>
      </c>
      <c r="D753">
        <v>30</v>
      </c>
      <c r="E753" t="s">
        <v>96</v>
      </c>
      <c r="F753" t="s">
        <v>16</v>
      </c>
      <c r="G753" s="1">
        <v>44209</v>
      </c>
      <c r="H753">
        <v>51833.88</v>
      </c>
      <c r="I753" t="s">
        <v>224</v>
      </c>
      <c r="J753">
        <v>-771130620</v>
      </c>
      <c r="K753" t="s">
        <v>18</v>
      </c>
      <c r="L753" t="b">
        <v>1</v>
      </c>
    </row>
    <row r="754" spans="1:12" x14ac:dyDescent="0.3">
      <c r="A754" t="s">
        <v>888</v>
      </c>
      <c r="B754" t="s">
        <v>32</v>
      </c>
      <c r="C754" t="s">
        <v>53</v>
      </c>
      <c r="E754" t="s">
        <v>91</v>
      </c>
      <c r="F754" t="s">
        <v>16</v>
      </c>
      <c r="G754" s="1">
        <v>45052</v>
      </c>
      <c r="H754">
        <v>66252.78</v>
      </c>
      <c r="I754" t="s">
        <v>254</v>
      </c>
      <c r="J754">
        <v>-1369572789</v>
      </c>
      <c r="K754" t="s">
        <v>23</v>
      </c>
      <c r="L754" t="b">
        <v>1</v>
      </c>
    </row>
    <row r="755" spans="1:12" x14ac:dyDescent="0.3">
      <c r="A755" t="s">
        <v>889</v>
      </c>
      <c r="B755" t="s">
        <v>36</v>
      </c>
      <c r="C755" t="s">
        <v>53</v>
      </c>
      <c r="D755">
        <v>25</v>
      </c>
      <c r="E755" t="s">
        <v>192</v>
      </c>
      <c r="F755" t="s">
        <v>16</v>
      </c>
      <c r="G755" s="1">
        <v>44859</v>
      </c>
      <c r="H755">
        <v>109229.68</v>
      </c>
      <c r="I755" t="s">
        <v>219</v>
      </c>
      <c r="J755">
        <v>-8335090253</v>
      </c>
      <c r="K755" t="s">
        <v>40</v>
      </c>
      <c r="L755" t="b">
        <v>1</v>
      </c>
    </row>
    <row r="756" spans="1:12" x14ac:dyDescent="0.3">
      <c r="A756" t="s">
        <v>890</v>
      </c>
      <c r="B756" t="s">
        <v>36</v>
      </c>
      <c r="C756" t="s">
        <v>53</v>
      </c>
      <c r="D756">
        <v>30</v>
      </c>
      <c r="E756" t="s">
        <v>103</v>
      </c>
      <c r="F756" t="s">
        <v>33</v>
      </c>
      <c r="G756" s="1">
        <v>44112</v>
      </c>
      <c r="H756">
        <v>61465.05</v>
      </c>
      <c r="I756" t="s">
        <v>219</v>
      </c>
      <c r="J756">
        <v>-2573066247</v>
      </c>
      <c r="K756" t="s">
        <v>18</v>
      </c>
      <c r="L756" t="b">
        <v>0</v>
      </c>
    </row>
    <row r="757" spans="1:12" x14ac:dyDescent="0.3">
      <c r="A757" t="s">
        <v>891</v>
      </c>
      <c r="B757" t="s">
        <v>67</v>
      </c>
      <c r="C757" t="s">
        <v>86</v>
      </c>
      <c r="D757">
        <v>25</v>
      </c>
      <c r="E757" t="s">
        <v>180</v>
      </c>
      <c r="F757" t="s">
        <v>16</v>
      </c>
      <c r="G757" s="1">
        <v>45351</v>
      </c>
      <c r="H757">
        <v>96993.74</v>
      </c>
      <c r="I757" t="s">
        <v>147</v>
      </c>
      <c r="J757">
        <v>-1323570712</v>
      </c>
      <c r="K757" t="s">
        <v>40</v>
      </c>
      <c r="L757" t="b">
        <v>0</v>
      </c>
    </row>
    <row r="758" spans="1:12" x14ac:dyDescent="0.3">
      <c r="A758" t="s">
        <v>892</v>
      </c>
      <c r="B758" t="s">
        <v>57</v>
      </c>
      <c r="C758" t="s">
        <v>53</v>
      </c>
      <c r="D758">
        <v>25</v>
      </c>
      <c r="E758" t="s">
        <v>176</v>
      </c>
      <c r="F758" t="s">
        <v>28</v>
      </c>
      <c r="G758" s="1">
        <v>44834</v>
      </c>
      <c r="H758">
        <v>98150.39</v>
      </c>
      <c r="I758" t="s">
        <v>183</v>
      </c>
      <c r="J758">
        <v>-9848228500</v>
      </c>
      <c r="K758" t="s">
        <v>30</v>
      </c>
      <c r="L758" t="b">
        <v>1</v>
      </c>
    </row>
    <row r="759" spans="1:12" x14ac:dyDescent="0.3">
      <c r="A759" t="s">
        <v>893</v>
      </c>
      <c r="B759" t="s">
        <v>57</v>
      </c>
      <c r="C759" t="s">
        <v>37</v>
      </c>
      <c r="D759">
        <v>40</v>
      </c>
      <c r="E759" t="s">
        <v>21</v>
      </c>
      <c r="F759" t="s">
        <v>28</v>
      </c>
      <c r="G759" s="1">
        <v>45336</v>
      </c>
      <c r="H759">
        <v>107703</v>
      </c>
      <c r="I759" t="s">
        <v>59</v>
      </c>
      <c r="J759">
        <v>-1688092549</v>
      </c>
      <c r="K759" t="s">
        <v>18</v>
      </c>
      <c r="L759" t="b">
        <v>0</v>
      </c>
    </row>
    <row r="760" spans="1:12" x14ac:dyDescent="0.3">
      <c r="A760" t="s">
        <v>894</v>
      </c>
      <c r="B760" t="s">
        <v>67</v>
      </c>
      <c r="C760" t="s">
        <v>111</v>
      </c>
      <c r="E760" t="s">
        <v>75</v>
      </c>
      <c r="F760" t="s">
        <v>28</v>
      </c>
      <c r="G760" s="1">
        <v>44929</v>
      </c>
      <c r="H760">
        <v>86766.14</v>
      </c>
      <c r="I760" t="s">
        <v>122</v>
      </c>
      <c r="J760">
        <v>-2130609068</v>
      </c>
      <c r="K760" t="s">
        <v>40</v>
      </c>
      <c r="L760" t="b">
        <v>1</v>
      </c>
    </row>
    <row r="761" spans="1:12" x14ac:dyDescent="0.3">
      <c r="A761" t="s">
        <v>895</v>
      </c>
      <c r="B761" t="s">
        <v>25</v>
      </c>
      <c r="C761" t="s">
        <v>14</v>
      </c>
      <c r="E761" t="s">
        <v>38</v>
      </c>
      <c r="F761" t="s">
        <v>33</v>
      </c>
      <c r="G761" s="1">
        <v>45524</v>
      </c>
      <c r="H761">
        <v>111443.69</v>
      </c>
      <c r="I761" t="s">
        <v>143</v>
      </c>
      <c r="J761">
        <v>-1309810795</v>
      </c>
      <c r="K761" t="s">
        <v>40</v>
      </c>
      <c r="L761" t="b">
        <v>1</v>
      </c>
    </row>
    <row r="762" spans="1:12" x14ac:dyDescent="0.3">
      <c r="A762" t="s">
        <v>896</v>
      </c>
      <c r="B762" t="s">
        <v>57</v>
      </c>
      <c r="C762" t="s">
        <v>20</v>
      </c>
      <c r="E762" t="s">
        <v>72</v>
      </c>
      <c r="F762" t="s">
        <v>28</v>
      </c>
      <c r="G762" s="1">
        <v>43911</v>
      </c>
      <c r="H762">
        <v>89039.07</v>
      </c>
      <c r="I762" t="s">
        <v>188</v>
      </c>
      <c r="J762">
        <v>-4967379456</v>
      </c>
      <c r="K762" t="s">
        <v>30</v>
      </c>
      <c r="L762" t="b">
        <v>0</v>
      </c>
    </row>
    <row r="763" spans="1:12" x14ac:dyDescent="0.3">
      <c r="A763" t="s">
        <v>897</v>
      </c>
      <c r="B763" t="s">
        <v>25</v>
      </c>
      <c r="C763" t="s">
        <v>53</v>
      </c>
      <c r="D763">
        <v>30</v>
      </c>
      <c r="E763" t="s">
        <v>180</v>
      </c>
      <c r="F763" t="s">
        <v>33</v>
      </c>
      <c r="G763" s="1">
        <v>45642</v>
      </c>
      <c r="H763">
        <v>71318.789999999994</v>
      </c>
      <c r="I763" t="s">
        <v>134</v>
      </c>
      <c r="J763">
        <v>-7278532425</v>
      </c>
      <c r="K763" t="s">
        <v>40</v>
      </c>
      <c r="L763" t="b">
        <v>0</v>
      </c>
    </row>
    <row r="764" spans="1:12" x14ac:dyDescent="0.3">
      <c r="A764" t="s">
        <v>898</v>
      </c>
      <c r="B764" t="s">
        <v>63</v>
      </c>
      <c r="C764" t="s">
        <v>26</v>
      </c>
      <c r="D764">
        <v>30</v>
      </c>
      <c r="E764" t="s">
        <v>68</v>
      </c>
      <c r="F764" t="s">
        <v>28</v>
      </c>
      <c r="G764" s="1">
        <v>43942</v>
      </c>
      <c r="H764">
        <v>98296.71</v>
      </c>
      <c r="I764" t="s">
        <v>251</v>
      </c>
      <c r="J764">
        <v>-4250642075</v>
      </c>
      <c r="K764" t="s">
        <v>40</v>
      </c>
      <c r="L764" t="b">
        <v>0</v>
      </c>
    </row>
    <row r="765" spans="1:12" x14ac:dyDescent="0.3">
      <c r="A765" t="s">
        <v>899</v>
      </c>
      <c r="B765" t="s">
        <v>63</v>
      </c>
      <c r="C765" t="s">
        <v>53</v>
      </c>
      <c r="D765">
        <v>40</v>
      </c>
      <c r="E765" t="s">
        <v>80</v>
      </c>
      <c r="F765" t="s">
        <v>28</v>
      </c>
      <c r="G765" s="1">
        <v>44062</v>
      </c>
      <c r="H765">
        <v>62584</v>
      </c>
      <c r="I765" t="s">
        <v>104</v>
      </c>
      <c r="J765">
        <v>-8362536666</v>
      </c>
      <c r="K765" t="s">
        <v>30</v>
      </c>
      <c r="L765" t="b">
        <v>0</v>
      </c>
    </row>
    <row r="766" spans="1:12" x14ac:dyDescent="0.3">
      <c r="A766" t="s">
        <v>900</v>
      </c>
      <c r="B766" t="s">
        <v>52</v>
      </c>
      <c r="C766" t="s">
        <v>26</v>
      </c>
      <c r="D766">
        <v>40</v>
      </c>
      <c r="E766" t="s">
        <v>68</v>
      </c>
      <c r="F766" t="s">
        <v>33</v>
      </c>
      <c r="G766" s="1">
        <v>43882</v>
      </c>
      <c r="H766">
        <v>62521.5</v>
      </c>
      <c r="I766" t="s">
        <v>109</v>
      </c>
      <c r="J766">
        <v>-7767555627</v>
      </c>
      <c r="K766" t="s">
        <v>18</v>
      </c>
      <c r="L766" t="b">
        <v>1</v>
      </c>
    </row>
    <row r="767" spans="1:12" x14ac:dyDescent="0.3">
      <c r="A767" t="s">
        <v>901</v>
      </c>
      <c r="B767" t="s">
        <v>57</v>
      </c>
      <c r="C767" t="s">
        <v>37</v>
      </c>
      <c r="D767">
        <v>40</v>
      </c>
      <c r="E767" t="s">
        <v>217</v>
      </c>
      <c r="F767" t="s">
        <v>33</v>
      </c>
      <c r="G767" s="1">
        <v>45247</v>
      </c>
      <c r="H767">
        <v>95400.35</v>
      </c>
      <c r="I767" t="s">
        <v>59</v>
      </c>
      <c r="J767">
        <v>-3333939577</v>
      </c>
      <c r="K767" t="s">
        <v>40</v>
      </c>
      <c r="L767" t="b">
        <v>1</v>
      </c>
    </row>
    <row r="768" spans="1:12" x14ac:dyDescent="0.3">
      <c r="A768" t="s">
        <v>902</v>
      </c>
      <c r="B768" t="s">
        <v>52</v>
      </c>
      <c r="C768" t="s">
        <v>26</v>
      </c>
      <c r="D768">
        <v>25</v>
      </c>
      <c r="E768" t="s">
        <v>141</v>
      </c>
      <c r="F768" t="s">
        <v>28</v>
      </c>
      <c r="G768" s="1">
        <v>44751</v>
      </c>
      <c r="H768">
        <v>94385.07</v>
      </c>
      <c r="I768" t="s">
        <v>109</v>
      </c>
      <c r="J768">
        <v>-6543627186</v>
      </c>
      <c r="K768" t="s">
        <v>40</v>
      </c>
      <c r="L768" t="b">
        <v>1</v>
      </c>
    </row>
    <row r="769" spans="1:12" x14ac:dyDescent="0.3">
      <c r="A769" t="s">
        <v>903</v>
      </c>
      <c r="B769" t="s">
        <v>67</v>
      </c>
      <c r="C769" t="s">
        <v>42</v>
      </c>
      <c r="E769" t="s">
        <v>100</v>
      </c>
      <c r="F769" t="s">
        <v>33</v>
      </c>
      <c r="G769" s="1">
        <v>44958</v>
      </c>
      <c r="H769">
        <v>76642.490000000005</v>
      </c>
      <c r="I769" t="s">
        <v>78</v>
      </c>
      <c r="J769">
        <v>-4960335825</v>
      </c>
      <c r="K769" t="s">
        <v>40</v>
      </c>
      <c r="L769" t="b">
        <v>1</v>
      </c>
    </row>
    <row r="770" spans="1:12" x14ac:dyDescent="0.3">
      <c r="A770" t="s">
        <v>904</v>
      </c>
      <c r="B770" t="s">
        <v>36</v>
      </c>
      <c r="C770" t="s">
        <v>20</v>
      </c>
      <c r="E770" t="s">
        <v>54</v>
      </c>
      <c r="F770" t="s">
        <v>16</v>
      </c>
      <c r="G770" s="1">
        <v>45610</v>
      </c>
      <c r="H770">
        <v>60122.52</v>
      </c>
      <c r="I770" t="s">
        <v>198</v>
      </c>
      <c r="J770">
        <v>-8627036923</v>
      </c>
      <c r="K770" t="s">
        <v>23</v>
      </c>
      <c r="L770" t="b">
        <v>1</v>
      </c>
    </row>
    <row r="771" spans="1:12" x14ac:dyDescent="0.3">
      <c r="A771" t="s">
        <v>905</v>
      </c>
      <c r="B771" t="s">
        <v>25</v>
      </c>
      <c r="C771" t="s">
        <v>111</v>
      </c>
      <c r="D771">
        <v>40</v>
      </c>
      <c r="E771" t="s">
        <v>131</v>
      </c>
      <c r="F771" t="s">
        <v>28</v>
      </c>
      <c r="G771" s="1">
        <v>45405</v>
      </c>
      <c r="H771">
        <v>117267.63</v>
      </c>
      <c r="I771" t="s">
        <v>159</v>
      </c>
      <c r="J771">
        <v>-9269326572</v>
      </c>
      <c r="K771" t="s">
        <v>30</v>
      </c>
      <c r="L771" t="b">
        <v>0</v>
      </c>
    </row>
    <row r="772" spans="1:12" x14ac:dyDescent="0.3">
      <c r="A772" t="s">
        <v>906</v>
      </c>
      <c r="B772" t="s">
        <v>52</v>
      </c>
      <c r="C772" t="s">
        <v>26</v>
      </c>
      <c r="D772">
        <v>25</v>
      </c>
      <c r="E772" t="s">
        <v>169</v>
      </c>
      <c r="F772" t="s">
        <v>16</v>
      </c>
      <c r="G772" s="1">
        <v>45106</v>
      </c>
      <c r="H772" t="s">
        <v>223</v>
      </c>
      <c r="I772" t="s">
        <v>109</v>
      </c>
      <c r="J772">
        <v>-2759980110</v>
      </c>
      <c r="K772" t="s">
        <v>23</v>
      </c>
      <c r="L772" t="b">
        <v>1</v>
      </c>
    </row>
    <row r="773" spans="1:12" x14ac:dyDescent="0.3">
      <c r="A773" t="s">
        <v>907</v>
      </c>
      <c r="B773" t="s">
        <v>63</v>
      </c>
      <c r="C773" t="s">
        <v>26</v>
      </c>
      <c r="D773">
        <v>40</v>
      </c>
      <c r="E773" t="s">
        <v>43</v>
      </c>
      <c r="F773" t="s">
        <v>28</v>
      </c>
      <c r="G773" s="1">
        <v>45638</v>
      </c>
      <c r="H773">
        <v>84542.68</v>
      </c>
      <c r="I773" t="s">
        <v>251</v>
      </c>
      <c r="J773">
        <v>-5155322</v>
      </c>
      <c r="K773" t="s">
        <v>30</v>
      </c>
      <c r="L773" t="b">
        <v>1</v>
      </c>
    </row>
    <row r="774" spans="1:12" x14ac:dyDescent="0.3">
      <c r="A774" t="s">
        <v>908</v>
      </c>
      <c r="B774" t="s">
        <v>63</v>
      </c>
      <c r="C774" t="s">
        <v>111</v>
      </c>
      <c r="D774">
        <v>40</v>
      </c>
      <c r="E774" t="s">
        <v>103</v>
      </c>
      <c r="F774" t="s">
        <v>16</v>
      </c>
      <c r="G774" s="1">
        <v>45062</v>
      </c>
      <c r="H774">
        <v>92007.15</v>
      </c>
      <c r="I774" t="s">
        <v>284</v>
      </c>
      <c r="J774">
        <v>-4159597751</v>
      </c>
      <c r="K774" t="s">
        <v>18</v>
      </c>
      <c r="L774" t="b">
        <v>1</v>
      </c>
    </row>
    <row r="775" spans="1:12" x14ac:dyDescent="0.3">
      <c r="A775" t="s">
        <v>909</v>
      </c>
      <c r="B775" t="s">
        <v>32</v>
      </c>
      <c r="C775" t="s">
        <v>20</v>
      </c>
      <c r="E775" t="s">
        <v>75</v>
      </c>
      <c r="F775" t="s">
        <v>16</v>
      </c>
      <c r="G775" s="1">
        <v>43931</v>
      </c>
      <c r="H775">
        <v>62938.8</v>
      </c>
      <c r="I775" t="s">
        <v>138</v>
      </c>
      <c r="J775">
        <v>-4418222617</v>
      </c>
      <c r="K775" t="s">
        <v>18</v>
      </c>
      <c r="L775" t="b">
        <v>0</v>
      </c>
    </row>
    <row r="776" spans="1:12" x14ac:dyDescent="0.3">
      <c r="A776" t="s">
        <v>910</v>
      </c>
      <c r="B776" t="s">
        <v>36</v>
      </c>
      <c r="C776" t="s">
        <v>53</v>
      </c>
      <c r="D776">
        <v>25</v>
      </c>
      <c r="E776" t="s">
        <v>96</v>
      </c>
      <c r="F776" t="s">
        <v>28</v>
      </c>
      <c r="G776" s="1">
        <v>45014</v>
      </c>
      <c r="H776">
        <v>108661.01</v>
      </c>
      <c r="I776" t="s">
        <v>219</v>
      </c>
      <c r="J776">
        <v>-9628874311</v>
      </c>
      <c r="K776" t="s">
        <v>40</v>
      </c>
      <c r="L776" t="b">
        <v>0</v>
      </c>
    </row>
    <row r="777" spans="1:12" x14ac:dyDescent="0.3">
      <c r="A777" t="s">
        <v>911</v>
      </c>
      <c r="B777" t="s">
        <v>13</v>
      </c>
      <c r="C777" t="s">
        <v>26</v>
      </c>
      <c r="D777">
        <v>25</v>
      </c>
      <c r="E777" t="s">
        <v>38</v>
      </c>
      <c r="F777" t="s">
        <v>16</v>
      </c>
      <c r="G777" s="1">
        <v>44161</v>
      </c>
      <c r="H777">
        <v>97046.33</v>
      </c>
      <c r="I777" t="s">
        <v>48</v>
      </c>
      <c r="J777">
        <v>-7102676719</v>
      </c>
      <c r="K777" t="s">
        <v>30</v>
      </c>
      <c r="L777" t="b">
        <v>0</v>
      </c>
    </row>
    <row r="778" spans="1:12" x14ac:dyDescent="0.3">
      <c r="A778" t="s">
        <v>912</v>
      </c>
      <c r="B778" t="s">
        <v>52</v>
      </c>
      <c r="C778" t="s">
        <v>111</v>
      </c>
      <c r="D778">
        <v>40</v>
      </c>
      <c r="E778" t="s">
        <v>75</v>
      </c>
      <c r="F778" t="s">
        <v>33</v>
      </c>
      <c r="G778" s="1">
        <v>43904</v>
      </c>
      <c r="H778">
        <v>56518.84</v>
      </c>
      <c r="I778" t="s">
        <v>167</v>
      </c>
      <c r="J778">
        <v>-9579927078</v>
      </c>
      <c r="K778" t="s">
        <v>18</v>
      </c>
      <c r="L778" t="b">
        <v>0</v>
      </c>
    </row>
    <row r="779" spans="1:12" x14ac:dyDescent="0.3">
      <c r="A779" t="s">
        <v>913</v>
      </c>
      <c r="B779" t="s">
        <v>36</v>
      </c>
      <c r="C779" t="s">
        <v>42</v>
      </c>
      <c r="D779">
        <v>40</v>
      </c>
      <c r="E779" t="s">
        <v>38</v>
      </c>
      <c r="F779" t="s">
        <v>28</v>
      </c>
      <c r="G779" s="1">
        <v>43963</v>
      </c>
      <c r="H779">
        <v>70498.289999999994</v>
      </c>
      <c r="I779" t="s">
        <v>157</v>
      </c>
      <c r="J779">
        <v>-5515122945</v>
      </c>
      <c r="K779" t="s">
        <v>30</v>
      </c>
      <c r="L779" t="b">
        <v>1</v>
      </c>
    </row>
    <row r="780" spans="1:12" x14ac:dyDescent="0.3">
      <c r="A780" t="s">
        <v>914</v>
      </c>
      <c r="B780" t="s">
        <v>32</v>
      </c>
      <c r="C780" t="s">
        <v>42</v>
      </c>
      <c r="D780">
        <v>35</v>
      </c>
      <c r="E780" t="s">
        <v>72</v>
      </c>
      <c r="F780" t="s">
        <v>28</v>
      </c>
      <c r="G780" s="1">
        <v>44260</v>
      </c>
      <c r="H780">
        <v>98708.06</v>
      </c>
      <c r="I780" t="s">
        <v>236</v>
      </c>
      <c r="J780">
        <v>-2135415969</v>
      </c>
      <c r="K780" t="s">
        <v>18</v>
      </c>
      <c r="L780" t="b">
        <v>1</v>
      </c>
    </row>
    <row r="781" spans="1:12" x14ac:dyDescent="0.3">
      <c r="A781" t="s">
        <v>915</v>
      </c>
      <c r="B781" t="s">
        <v>13</v>
      </c>
      <c r="C781" t="s">
        <v>37</v>
      </c>
      <c r="E781" t="s">
        <v>258</v>
      </c>
      <c r="F781" t="s">
        <v>28</v>
      </c>
      <c r="G781" s="1">
        <v>44010</v>
      </c>
      <c r="H781">
        <v>83856.41</v>
      </c>
      <c r="I781" t="s">
        <v>129</v>
      </c>
      <c r="J781">
        <v>-9962543847</v>
      </c>
      <c r="K781" t="s">
        <v>23</v>
      </c>
      <c r="L781" t="b">
        <v>0</v>
      </c>
    </row>
    <row r="782" spans="1:12" x14ac:dyDescent="0.3">
      <c r="A782" t="s">
        <v>916</v>
      </c>
      <c r="B782" t="s">
        <v>32</v>
      </c>
      <c r="C782" t="s">
        <v>111</v>
      </c>
      <c r="D782">
        <v>40</v>
      </c>
      <c r="E782" t="s">
        <v>155</v>
      </c>
      <c r="F782" t="s">
        <v>33</v>
      </c>
      <c r="G782" s="1">
        <v>44907</v>
      </c>
      <c r="H782">
        <v>90259.99</v>
      </c>
      <c r="I782" t="s">
        <v>384</v>
      </c>
      <c r="J782">
        <v>-752034475</v>
      </c>
      <c r="K782" t="s">
        <v>18</v>
      </c>
      <c r="L782" t="b">
        <v>0</v>
      </c>
    </row>
    <row r="783" spans="1:12" x14ac:dyDescent="0.3">
      <c r="A783" t="s">
        <v>917</v>
      </c>
      <c r="B783" t="s">
        <v>52</v>
      </c>
      <c r="C783" t="s">
        <v>37</v>
      </c>
      <c r="E783" t="s">
        <v>72</v>
      </c>
      <c r="F783" t="s">
        <v>28</v>
      </c>
      <c r="G783" s="1">
        <v>45324</v>
      </c>
      <c r="H783">
        <v>94230.03</v>
      </c>
      <c r="I783" t="s">
        <v>84</v>
      </c>
      <c r="J783">
        <v>-5047158028</v>
      </c>
      <c r="K783" t="s">
        <v>23</v>
      </c>
      <c r="L783" t="b">
        <v>1</v>
      </c>
    </row>
    <row r="784" spans="1:12" x14ac:dyDescent="0.3">
      <c r="A784" t="s">
        <v>918</v>
      </c>
      <c r="B784" t="s">
        <v>52</v>
      </c>
      <c r="C784" t="s">
        <v>42</v>
      </c>
      <c r="E784" t="s">
        <v>27</v>
      </c>
      <c r="F784" t="s">
        <v>33</v>
      </c>
      <c r="G784" s="1">
        <v>44227</v>
      </c>
      <c r="H784">
        <v>50110.66</v>
      </c>
      <c r="I784" t="s">
        <v>81</v>
      </c>
      <c r="J784">
        <v>-904637659</v>
      </c>
      <c r="K784" t="s">
        <v>18</v>
      </c>
      <c r="L784" t="b">
        <v>1</v>
      </c>
    </row>
    <row r="785" spans="1:12" x14ac:dyDescent="0.3">
      <c r="A785" t="s">
        <v>919</v>
      </c>
      <c r="B785" t="s">
        <v>13</v>
      </c>
      <c r="C785" t="s">
        <v>20</v>
      </c>
      <c r="D785">
        <v>30</v>
      </c>
      <c r="E785" t="s">
        <v>72</v>
      </c>
      <c r="F785" t="s">
        <v>33</v>
      </c>
      <c r="G785" s="1">
        <v>43924</v>
      </c>
      <c r="H785">
        <v>73365.460000000006</v>
      </c>
      <c r="I785" t="s">
        <v>22</v>
      </c>
      <c r="J785">
        <v>-4655866524</v>
      </c>
      <c r="K785" t="s">
        <v>40</v>
      </c>
      <c r="L785" t="b">
        <v>0</v>
      </c>
    </row>
    <row r="786" spans="1:12" x14ac:dyDescent="0.3">
      <c r="A786" t="s">
        <v>920</v>
      </c>
      <c r="B786" t="s">
        <v>57</v>
      </c>
      <c r="C786" t="s">
        <v>53</v>
      </c>
      <c r="D786">
        <v>25</v>
      </c>
      <c r="E786" t="s">
        <v>54</v>
      </c>
      <c r="F786" t="s">
        <v>28</v>
      </c>
      <c r="G786" s="1">
        <v>44407</v>
      </c>
      <c r="H786">
        <v>67809.23</v>
      </c>
      <c r="I786" t="s">
        <v>183</v>
      </c>
      <c r="J786">
        <v>-4837441714</v>
      </c>
      <c r="K786" t="s">
        <v>23</v>
      </c>
      <c r="L786" t="b">
        <v>0</v>
      </c>
    </row>
    <row r="787" spans="1:12" x14ac:dyDescent="0.3">
      <c r="A787" t="s">
        <v>921</v>
      </c>
      <c r="B787" t="s">
        <v>32</v>
      </c>
      <c r="C787" t="s">
        <v>111</v>
      </c>
      <c r="E787" t="s">
        <v>155</v>
      </c>
      <c r="F787" t="s">
        <v>16</v>
      </c>
      <c r="G787" s="1">
        <v>44064</v>
      </c>
      <c r="H787">
        <v>98008.51</v>
      </c>
      <c r="I787" t="s">
        <v>384</v>
      </c>
      <c r="J787">
        <v>-8102131250</v>
      </c>
      <c r="K787" t="s">
        <v>18</v>
      </c>
      <c r="L787" t="b">
        <v>0</v>
      </c>
    </row>
    <row r="788" spans="1:12" x14ac:dyDescent="0.3">
      <c r="A788" t="s">
        <v>922</v>
      </c>
      <c r="B788" t="s">
        <v>25</v>
      </c>
      <c r="C788" t="s">
        <v>14</v>
      </c>
      <c r="D788">
        <v>30</v>
      </c>
      <c r="E788" t="s">
        <v>108</v>
      </c>
      <c r="F788" t="s">
        <v>33</v>
      </c>
      <c r="G788" s="1">
        <v>45208</v>
      </c>
      <c r="H788">
        <v>83537.58</v>
      </c>
      <c r="I788" t="s">
        <v>143</v>
      </c>
      <c r="J788">
        <v>-2931100590</v>
      </c>
      <c r="K788" t="s">
        <v>40</v>
      </c>
      <c r="L788" t="b">
        <v>0</v>
      </c>
    </row>
    <row r="789" spans="1:12" x14ac:dyDescent="0.3">
      <c r="A789" t="s">
        <v>923</v>
      </c>
      <c r="B789" t="s">
        <v>25</v>
      </c>
      <c r="C789" t="s">
        <v>42</v>
      </c>
      <c r="D789">
        <v>30</v>
      </c>
      <c r="E789" t="s">
        <v>190</v>
      </c>
      <c r="F789" t="s">
        <v>28</v>
      </c>
      <c r="G789" s="1">
        <v>44774</v>
      </c>
      <c r="H789">
        <v>112444.08</v>
      </c>
      <c r="I789" t="s">
        <v>44</v>
      </c>
      <c r="J789">
        <v>-2975191022</v>
      </c>
      <c r="K789" t="s">
        <v>23</v>
      </c>
      <c r="L789" t="b">
        <v>1</v>
      </c>
    </row>
    <row r="790" spans="1:12" x14ac:dyDescent="0.3">
      <c r="A790" t="s">
        <v>924</v>
      </c>
      <c r="B790" t="s">
        <v>36</v>
      </c>
      <c r="C790" t="s">
        <v>42</v>
      </c>
      <c r="D790">
        <v>40</v>
      </c>
      <c r="E790" t="s">
        <v>93</v>
      </c>
      <c r="F790" t="s">
        <v>16</v>
      </c>
      <c r="G790" s="1">
        <v>45541</v>
      </c>
      <c r="H790">
        <v>86475.13</v>
      </c>
      <c r="I790" t="s">
        <v>157</v>
      </c>
      <c r="J790">
        <v>-1211063300</v>
      </c>
      <c r="K790" t="s">
        <v>40</v>
      </c>
      <c r="L790" t="b">
        <v>1</v>
      </c>
    </row>
    <row r="791" spans="1:12" x14ac:dyDescent="0.3">
      <c r="A791" t="s">
        <v>925</v>
      </c>
      <c r="B791" t="s">
        <v>36</v>
      </c>
      <c r="C791" t="s">
        <v>14</v>
      </c>
      <c r="E791" t="s">
        <v>43</v>
      </c>
      <c r="F791" t="s">
        <v>16</v>
      </c>
      <c r="G791" s="1">
        <v>45013</v>
      </c>
      <c r="H791">
        <v>97984.53</v>
      </c>
      <c r="I791" t="s">
        <v>50</v>
      </c>
      <c r="J791">
        <v>-6583737926</v>
      </c>
      <c r="K791" t="s">
        <v>30</v>
      </c>
      <c r="L791" t="b">
        <v>1</v>
      </c>
    </row>
    <row r="792" spans="1:12" x14ac:dyDescent="0.3">
      <c r="A792" t="s">
        <v>926</v>
      </c>
      <c r="B792" t="s">
        <v>36</v>
      </c>
      <c r="C792" t="s">
        <v>86</v>
      </c>
      <c r="D792">
        <v>25</v>
      </c>
      <c r="E792" t="s">
        <v>108</v>
      </c>
      <c r="F792" t="s">
        <v>16</v>
      </c>
      <c r="G792" s="1">
        <v>44525</v>
      </c>
      <c r="H792">
        <v>118853.31</v>
      </c>
      <c r="I792" t="s">
        <v>101</v>
      </c>
      <c r="J792">
        <v>-4907280122</v>
      </c>
      <c r="K792" t="s">
        <v>30</v>
      </c>
      <c r="L792" t="b">
        <v>0</v>
      </c>
    </row>
    <row r="793" spans="1:12" x14ac:dyDescent="0.3">
      <c r="A793" t="s">
        <v>927</v>
      </c>
      <c r="B793" t="s">
        <v>52</v>
      </c>
      <c r="C793" t="s">
        <v>42</v>
      </c>
      <c r="E793" t="s">
        <v>72</v>
      </c>
      <c r="F793" t="s">
        <v>16</v>
      </c>
      <c r="G793" s="1">
        <v>45049</v>
      </c>
      <c r="H793">
        <v>58179.12</v>
      </c>
      <c r="I793" t="s">
        <v>81</v>
      </c>
      <c r="J793">
        <v>-4289311324</v>
      </c>
      <c r="K793" t="s">
        <v>23</v>
      </c>
      <c r="L793" t="b">
        <v>0</v>
      </c>
    </row>
    <row r="794" spans="1:12" x14ac:dyDescent="0.3">
      <c r="A794" t="s">
        <v>928</v>
      </c>
      <c r="B794" t="s">
        <v>32</v>
      </c>
      <c r="C794" t="s">
        <v>26</v>
      </c>
      <c r="D794">
        <v>35</v>
      </c>
      <c r="E794" t="s">
        <v>197</v>
      </c>
      <c r="F794" t="s">
        <v>33</v>
      </c>
      <c r="G794" s="1">
        <v>44678</v>
      </c>
      <c r="H794">
        <v>56075.839999999997</v>
      </c>
      <c r="I794" t="s">
        <v>224</v>
      </c>
      <c r="J794">
        <v>-3269496842</v>
      </c>
      <c r="K794" t="s">
        <v>18</v>
      </c>
      <c r="L794" t="b">
        <v>1</v>
      </c>
    </row>
    <row r="795" spans="1:12" x14ac:dyDescent="0.3">
      <c r="A795" t="s">
        <v>929</v>
      </c>
      <c r="B795" t="s">
        <v>36</v>
      </c>
      <c r="C795" t="s">
        <v>20</v>
      </c>
      <c r="D795">
        <v>40</v>
      </c>
      <c r="E795" t="s">
        <v>64</v>
      </c>
      <c r="F795" t="s">
        <v>28</v>
      </c>
      <c r="G795" s="1">
        <v>44450</v>
      </c>
      <c r="H795">
        <v>62250.89</v>
      </c>
      <c r="I795" t="s">
        <v>198</v>
      </c>
      <c r="J795">
        <v>-6453804420</v>
      </c>
      <c r="K795" t="s">
        <v>23</v>
      </c>
      <c r="L795" t="b">
        <v>1</v>
      </c>
    </row>
    <row r="796" spans="1:12" x14ac:dyDescent="0.3">
      <c r="A796" t="s">
        <v>930</v>
      </c>
      <c r="B796" t="s">
        <v>25</v>
      </c>
      <c r="C796" t="s">
        <v>111</v>
      </c>
      <c r="D796">
        <v>30</v>
      </c>
      <c r="E796" t="s">
        <v>38</v>
      </c>
      <c r="F796" t="s">
        <v>28</v>
      </c>
      <c r="G796" s="1">
        <v>43882</v>
      </c>
      <c r="H796">
        <v>105931.77</v>
      </c>
      <c r="I796" t="s">
        <v>159</v>
      </c>
      <c r="J796">
        <v>-175096169</v>
      </c>
      <c r="K796" t="s">
        <v>40</v>
      </c>
      <c r="L796" t="b">
        <v>1</v>
      </c>
    </row>
    <row r="797" spans="1:12" x14ac:dyDescent="0.3">
      <c r="A797" t="s">
        <v>931</v>
      </c>
      <c r="B797" t="s">
        <v>52</v>
      </c>
      <c r="C797" t="s">
        <v>14</v>
      </c>
      <c r="D797">
        <v>30</v>
      </c>
      <c r="E797" t="s">
        <v>180</v>
      </c>
      <c r="F797" t="s">
        <v>28</v>
      </c>
      <c r="G797" s="1">
        <v>45620</v>
      </c>
      <c r="H797">
        <v>86653.96</v>
      </c>
      <c r="I797" t="s">
        <v>149</v>
      </c>
      <c r="J797">
        <v>-1595919456</v>
      </c>
      <c r="K797" t="s">
        <v>18</v>
      </c>
      <c r="L797" t="b">
        <v>1</v>
      </c>
    </row>
    <row r="798" spans="1:12" x14ac:dyDescent="0.3">
      <c r="A798" t="s">
        <v>932</v>
      </c>
      <c r="B798" t="s">
        <v>52</v>
      </c>
      <c r="C798" t="s">
        <v>26</v>
      </c>
      <c r="D798">
        <v>25</v>
      </c>
      <c r="E798" t="s">
        <v>185</v>
      </c>
      <c r="F798" t="s">
        <v>16</v>
      </c>
      <c r="G798" s="1">
        <v>44251</v>
      </c>
      <c r="H798">
        <v>100719.94</v>
      </c>
      <c r="I798" t="s">
        <v>109</v>
      </c>
      <c r="J798">
        <v>-5757475832</v>
      </c>
      <c r="K798" t="s">
        <v>30</v>
      </c>
      <c r="L798" t="b">
        <v>0</v>
      </c>
    </row>
    <row r="799" spans="1:12" x14ac:dyDescent="0.3">
      <c r="A799" t="s">
        <v>933</v>
      </c>
      <c r="B799" t="s">
        <v>13</v>
      </c>
      <c r="C799" t="s">
        <v>14</v>
      </c>
      <c r="D799">
        <v>25</v>
      </c>
      <c r="E799" t="s">
        <v>126</v>
      </c>
      <c r="F799" t="s">
        <v>28</v>
      </c>
      <c r="G799" s="1">
        <v>45567</v>
      </c>
      <c r="H799">
        <v>91600.13</v>
      </c>
      <c r="I799" t="s">
        <v>17</v>
      </c>
      <c r="J799">
        <v>-9205677566</v>
      </c>
      <c r="K799" t="s">
        <v>18</v>
      </c>
      <c r="L799" t="b">
        <v>1</v>
      </c>
    </row>
    <row r="800" spans="1:12" x14ac:dyDescent="0.3">
      <c r="A800" t="s">
        <v>934</v>
      </c>
      <c r="B800" t="s">
        <v>63</v>
      </c>
      <c r="C800" t="s">
        <v>111</v>
      </c>
      <c r="D800">
        <v>25</v>
      </c>
      <c r="E800" t="s">
        <v>89</v>
      </c>
      <c r="F800" t="s">
        <v>28</v>
      </c>
      <c r="G800" s="1">
        <v>45357</v>
      </c>
      <c r="H800">
        <v>71873.66</v>
      </c>
      <c r="I800" t="s">
        <v>284</v>
      </c>
      <c r="J800">
        <v>-7722660255</v>
      </c>
      <c r="K800" t="s">
        <v>30</v>
      </c>
      <c r="L800" t="b">
        <v>1</v>
      </c>
    </row>
    <row r="801" spans="1:12" x14ac:dyDescent="0.3">
      <c r="A801" t="s">
        <v>935</v>
      </c>
      <c r="B801" t="s">
        <v>32</v>
      </c>
      <c r="C801" t="s">
        <v>37</v>
      </c>
      <c r="D801">
        <v>30</v>
      </c>
      <c r="E801" t="s">
        <v>64</v>
      </c>
      <c r="F801" t="s">
        <v>16</v>
      </c>
      <c r="G801" s="1">
        <v>44417</v>
      </c>
      <c r="H801">
        <v>69365.47</v>
      </c>
      <c r="I801" t="s">
        <v>127</v>
      </c>
      <c r="J801">
        <v>-2650622922</v>
      </c>
      <c r="K801" t="s">
        <v>18</v>
      </c>
      <c r="L801" t="b">
        <v>1</v>
      </c>
    </row>
    <row r="802" spans="1:12" x14ac:dyDescent="0.3">
      <c r="A802" t="s">
        <v>936</v>
      </c>
      <c r="B802" t="s">
        <v>63</v>
      </c>
      <c r="C802" t="s">
        <v>111</v>
      </c>
      <c r="D802">
        <v>25</v>
      </c>
      <c r="E802" t="s">
        <v>64</v>
      </c>
      <c r="F802" t="s">
        <v>16</v>
      </c>
      <c r="G802" s="1">
        <v>44391</v>
      </c>
      <c r="H802">
        <v>58012.23</v>
      </c>
      <c r="I802" t="s">
        <v>284</v>
      </c>
      <c r="J802">
        <v>-1067245306</v>
      </c>
      <c r="K802" t="s">
        <v>18</v>
      </c>
      <c r="L802" t="b">
        <v>1</v>
      </c>
    </row>
    <row r="803" spans="1:12" x14ac:dyDescent="0.3">
      <c r="A803" t="s">
        <v>937</v>
      </c>
      <c r="B803" t="s">
        <v>13</v>
      </c>
      <c r="C803" t="s">
        <v>86</v>
      </c>
      <c r="D803">
        <v>30</v>
      </c>
      <c r="E803" t="s">
        <v>155</v>
      </c>
      <c r="F803" t="s">
        <v>28</v>
      </c>
      <c r="G803" s="1">
        <v>44483</v>
      </c>
      <c r="H803">
        <v>68973.649999999994</v>
      </c>
      <c r="I803" t="s">
        <v>87</v>
      </c>
      <c r="J803">
        <v>-6248433796</v>
      </c>
      <c r="K803" t="s">
        <v>18</v>
      </c>
      <c r="L803" t="b">
        <v>1</v>
      </c>
    </row>
    <row r="804" spans="1:12" x14ac:dyDescent="0.3">
      <c r="A804" t="s">
        <v>938</v>
      </c>
      <c r="B804" t="s">
        <v>32</v>
      </c>
      <c r="C804" t="s">
        <v>111</v>
      </c>
      <c r="E804" t="s">
        <v>169</v>
      </c>
      <c r="F804" t="s">
        <v>16</v>
      </c>
      <c r="G804" s="1">
        <v>44468</v>
      </c>
      <c r="H804">
        <v>92928.4</v>
      </c>
      <c r="I804" t="s">
        <v>384</v>
      </c>
      <c r="J804">
        <v>-6627051156</v>
      </c>
      <c r="K804" t="s">
        <v>40</v>
      </c>
      <c r="L804" t="b">
        <v>1</v>
      </c>
    </row>
    <row r="805" spans="1:12" x14ac:dyDescent="0.3">
      <c r="A805" t="s">
        <v>939</v>
      </c>
      <c r="B805" t="s">
        <v>63</v>
      </c>
      <c r="C805" t="s">
        <v>111</v>
      </c>
      <c r="D805">
        <v>25</v>
      </c>
      <c r="E805" t="s">
        <v>96</v>
      </c>
      <c r="F805" t="s">
        <v>33</v>
      </c>
      <c r="G805" s="1">
        <v>45214</v>
      </c>
      <c r="H805">
        <v>53531.92</v>
      </c>
      <c r="I805" t="s">
        <v>284</v>
      </c>
      <c r="J805">
        <v>-9423873669</v>
      </c>
      <c r="K805" t="s">
        <v>40</v>
      </c>
      <c r="L805" t="b">
        <v>1</v>
      </c>
    </row>
    <row r="806" spans="1:12" x14ac:dyDescent="0.3">
      <c r="A806" t="s">
        <v>940</v>
      </c>
      <c r="B806" t="s">
        <v>13</v>
      </c>
      <c r="C806" t="s">
        <v>86</v>
      </c>
      <c r="D806">
        <v>40</v>
      </c>
      <c r="E806" t="s">
        <v>190</v>
      </c>
      <c r="F806" t="s">
        <v>28</v>
      </c>
      <c r="G806" s="1">
        <v>45051</v>
      </c>
      <c r="H806">
        <v>112389.31</v>
      </c>
      <c r="I806" t="s">
        <v>87</v>
      </c>
      <c r="J806">
        <v>-4254969191</v>
      </c>
      <c r="K806" t="s">
        <v>23</v>
      </c>
      <c r="L806" t="b">
        <v>0</v>
      </c>
    </row>
    <row r="807" spans="1:12" x14ac:dyDescent="0.3">
      <c r="A807" t="s">
        <v>941</v>
      </c>
      <c r="B807" t="s">
        <v>63</v>
      </c>
      <c r="C807" t="s">
        <v>20</v>
      </c>
      <c r="E807" t="s">
        <v>131</v>
      </c>
      <c r="F807" t="s">
        <v>33</v>
      </c>
      <c r="G807" s="1">
        <v>45505</v>
      </c>
      <c r="H807">
        <v>63870.3</v>
      </c>
      <c r="I807" t="s">
        <v>307</v>
      </c>
      <c r="J807">
        <v>-8455259709</v>
      </c>
      <c r="K807" t="s">
        <v>23</v>
      </c>
      <c r="L807" t="b">
        <v>0</v>
      </c>
    </row>
    <row r="808" spans="1:12" x14ac:dyDescent="0.3">
      <c r="A808" t="s">
        <v>942</v>
      </c>
      <c r="B808" t="s">
        <v>13</v>
      </c>
      <c r="C808" t="s">
        <v>42</v>
      </c>
      <c r="D808">
        <v>40</v>
      </c>
      <c r="E808" t="s">
        <v>100</v>
      </c>
      <c r="F808" t="s">
        <v>16</v>
      </c>
      <c r="G808" s="1">
        <v>45495</v>
      </c>
      <c r="H808">
        <v>106164.53</v>
      </c>
      <c r="I808" t="s">
        <v>136</v>
      </c>
      <c r="J808">
        <v>-7563353573</v>
      </c>
      <c r="K808" t="s">
        <v>30</v>
      </c>
      <c r="L808" t="b">
        <v>0</v>
      </c>
    </row>
    <row r="809" spans="1:12" x14ac:dyDescent="0.3">
      <c r="A809" t="s">
        <v>943</v>
      </c>
      <c r="B809" t="s">
        <v>13</v>
      </c>
      <c r="C809" t="s">
        <v>111</v>
      </c>
      <c r="D809">
        <v>40</v>
      </c>
      <c r="E809" t="s">
        <v>133</v>
      </c>
      <c r="F809" t="s">
        <v>28</v>
      </c>
      <c r="G809" s="1">
        <v>45285</v>
      </c>
      <c r="H809">
        <v>103654.54</v>
      </c>
      <c r="I809" t="s">
        <v>112</v>
      </c>
      <c r="J809">
        <v>-8595325938</v>
      </c>
      <c r="K809" t="s">
        <v>40</v>
      </c>
      <c r="L809" t="b">
        <v>0</v>
      </c>
    </row>
    <row r="810" spans="1:12" x14ac:dyDescent="0.3">
      <c r="A810" t="s">
        <v>944</v>
      </c>
      <c r="B810" t="s">
        <v>57</v>
      </c>
      <c r="C810" t="s">
        <v>86</v>
      </c>
      <c r="D810">
        <v>30</v>
      </c>
      <c r="E810" t="s">
        <v>155</v>
      </c>
      <c r="F810" t="s">
        <v>33</v>
      </c>
      <c r="G810" s="1">
        <v>44633</v>
      </c>
      <c r="H810">
        <v>62834.720000000001</v>
      </c>
      <c r="I810" t="s">
        <v>98</v>
      </c>
      <c r="J810">
        <v>-9337970580</v>
      </c>
      <c r="K810" t="s">
        <v>30</v>
      </c>
      <c r="L810" t="b">
        <v>1</v>
      </c>
    </row>
    <row r="811" spans="1:12" x14ac:dyDescent="0.3">
      <c r="A811" t="s">
        <v>945</v>
      </c>
      <c r="B811" t="s">
        <v>36</v>
      </c>
      <c r="C811" t="s">
        <v>26</v>
      </c>
      <c r="D811">
        <v>35</v>
      </c>
      <c r="E811" t="s">
        <v>103</v>
      </c>
      <c r="F811" t="s">
        <v>16</v>
      </c>
      <c r="G811" s="1">
        <v>43964</v>
      </c>
      <c r="H811">
        <v>83273.41</v>
      </c>
      <c r="I811" t="s">
        <v>46</v>
      </c>
      <c r="J811">
        <v>-6295187793</v>
      </c>
      <c r="K811" t="s">
        <v>23</v>
      </c>
      <c r="L811" t="b">
        <v>0</v>
      </c>
    </row>
    <row r="812" spans="1:12" x14ac:dyDescent="0.3">
      <c r="A812" t="s">
        <v>946</v>
      </c>
      <c r="B812" t="s">
        <v>63</v>
      </c>
      <c r="C812" t="s">
        <v>37</v>
      </c>
      <c r="D812">
        <v>30</v>
      </c>
      <c r="E812" t="s">
        <v>131</v>
      </c>
      <c r="F812" t="s">
        <v>28</v>
      </c>
      <c r="G812" s="1">
        <v>45007</v>
      </c>
      <c r="H812">
        <v>58917.58</v>
      </c>
      <c r="I812" t="s">
        <v>65</v>
      </c>
      <c r="J812">
        <v>-1763425072</v>
      </c>
      <c r="K812" t="s">
        <v>30</v>
      </c>
      <c r="L812" t="b">
        <v>0</v>
      </c>
    </row>
    <row r="813" spans="1:12" x14ac:dyDescent="0.3">
      <c r="A813" t="s">
        <v>947</v>
      </c>
      <c r="B813" t="s">
        <v>13</v>
      </c>
      <c r="C813" t="s">
        <v>37</v>
      </c>
      <c r="D813">
        <v>35</v>
      </c>
      <c r="E813" t="s">
        <v>185</v>
      </c>
      <c r="F813" t="s">
        <v>16</v>
      </c>
      <c r="G813" s="1">
        <v>45453</v>
      </c>
      <c r="H813">
        <v>71148.27</v>
      </c>
      <c r="I813" t="s">
        <v>129</v>
      </c>
      <c r="J813">
        <v>-3055978244</v>
      </c>
      <c r="K813" t="s">
        <v>23</v>
      </c>
      <c r="L813" t="b">
        <v>1</v>
      </c>
    </row>
    <row r="814" spans="1:12" x14ac:dyDescent="0.3">
      <c r="A814" t="s">
        <v>948</v>
      </c>
      <c r="B814" t="s">
        <v>67</v>
      </c>
      <c r="C814" t="s">
        <v>111</v>
      </c>
      <c r="D814">
        <v>30</v>
      </c>
      <c r="E814" t="s">
        <v>100</v>
      </c>
      <c r="F814" t="s">
        <v>28</v>
      </c>
      <c r="G814" s="1">
        <v>44156</v>
      </c>
      <c r="H814">
        <v>118172.42</v>
      </c>
      <c r="I814" t="s">
        <v>122</v>
      </c>
      <c r="J814">
        <v>-7598339913</v>
      </c>
      <c r="K814" t="s">
        <v>40</v>
      </c>
      <c r="L814" t="b">
        <v>1</v>
      </c>
    </row>
    <row r="815" spans="1:12" x14ac:dyDescent="0.3">
      <c r="A815" t="s">
        <v>949</v>
      </c>
      <c r="B815" t="s">
        <v>36</v>
      </c>
      <c r="C815" t="s">
        <v>20</v>
      </c>
      <c r="D815">
        <v>30</v>
      </c>
      <c r="E815" t="s">
        <v>75</v>
      </c>
      <c r="F815" t="s">
        <v>33</v>
      </c>
      <c r="G815" s="1">
        <v>45437</v>
      </c>
      <c r="H815">
        <v>118614.37</v>
      </c>
      <c r="I815" t="s">
        <v>198</v>
      </c>
      <c r="J815">
        <v>-388436603</v>
      </c>
      <c r="K815" t="s">
        <v>18</v>
      </c>
      <c r="L815" t="b">
        <v>0</v>
      </c>
    </row>
    <row r="816" spans="1:12" x14ac:dyDescent="0.3">
      <c r="A816" t="s">
        <v>950</v>
      </c>
      <c r="B816" t="s">
        <v>36</v>
      </c>
      <c r="C816" t="s">
        <v>20</v>
      </c>
      <c r="E816" t="s">
        <v>54</v>
      </c>
      <c r="F816" t="s">
        <v>16</v>
      </c>
      <c r="G816" s="1">
        <v>45188</v>
      </c>
      <c r="H816">
        <v>96872.36</v>
      </c>
      <c r="I816" t="s">
        <v>198</v>
      </c>
      <c r="J816">
        <v>-4324006156</v>
      </c>
      <c r="K816" t="s">
        <v>40</v>
      </c>
      <c r="L816" t="b">
        <v>0</v>
      </c>
    </row>
    <row r="817" spans="1:12" x14ac:dyDescent="0.3">
      <c r="A817" t="s">
        <v>951</v>
      </c>
      <c r="B817" t="s">
        <v>63</v>
      </c>
      <c r="C817" t="s">
        <v>26</v>
      </c>
      <c r="D817">
        <v>25</v>
      </c>
      <c r="E817" t="s">
        <v>91</v>
      </c>
      <c r="F817" t="s">
        <v>33</v>
      </c>
      <c r="G817" s="1">
        <v>44497</v>
      </c>
      <c r="H817">
        <v>88856.14</v>
      </c>
      <c r="I817" t="s">
        <v>251</v>
      </c>
      <c r="J817">
        <v>-2768297513</v>
      </c>
      <c r="K817" t="s">
        <v>30</v>
      </c>
      <c r="L817" t="b">
        <v>1</v>
      </c>
    </row>
    <row r="818" spans="1:12" x14ac:dyDescent="0.3">
      <c r="A818" t="s">
        <v>952</v>
      </c>
      <c r="B818" t="s">
        <v>52</v>
      </c>
      <c r="C818" t="s">
        <v>111</v>
      </c>
      <c r="D818">
        <v>35</v>
      </c>
      <c r="E818" t="s">
        <v>21</v>
      </c>
      <c r="F818" t="s">
        <v>28</v>
      </c>
      <c r="G818" s="1">
        <v>44053</v>
      </c>
      <c r="H818">
        <v>97985.61</v>
      </c>
      <c r="I818" t="s">
        <v>167</v>
      </c>
      <c r="J818">
        <v>-7439742924</v>
      </c>
      <c r="K818" t="s">
        <v>30</v>
      </c>
      <c r="L818" t="b">
        <v>0</v>
      </c>
    </row>
    <row r="819" spans="1:12" x14ac:dyDescent="0.3">
      <c r="A819" t="s">
        <v>953</v>
      </c>
      <c r="B819" t="s">
        <v>67</v>
      </c>
      <c r="C819" t="s">
        <v>37</v>
      </c>
      <c r="D819">
        <v>35</v>
      </c>
      <c r="E819" t="s">
        <v>93</v>
      </c>
      <c r="F819" t="s">
        <v>28</v>
      </c>
      <c r="G819" s="1">
        <v>43956</v>
      </c>
      <c r="H819">
        <v>56337.31</v>
      </c>
      <c r="I819" t="s">
        <v>69</v>
      </c>
      <c r="J819">
        <v>-105875255</v>
      </c>
      <c r="K819" t="s">
        <v>40</v>
      </c>
      <c r="L819" t="b">
        <v>1</v>
      </c>
    </row>
    <row r="820" spans="1:12" x14ac:dyDescent="0.3">
      <c r="A820" t="s">
        <v>954</v>
      </c>
      <c r="B820" t="s">
        <v>25</v>
      </c>
      <c r="C820" t="s">
        <v>20</v>
      </c>
      <c r="D820">
        <v>30</v>
      </c>
      <c r="E820" t="s">
        <v>54</v>
      </c>
      <c r="F820" t="s">
        <v>33</v>
      </c>
      <c r="G820" s="1">
        <v>44919</v>
      </c>
      <c r="H820">
        <v>70405.23</v>
      </c>
      <c r="I820" t="s">
        <v>76</v>
      </c>
      <c r="J820">
        <v>-8065625903</v>
      </c>
      <c r="K820" t="s">
        <v>40</v>
      </c>
      <c r="L820" t="b">
        <v>1</v>
      </c>
    </row>
    <row r="821" spans="1:12" x14ac:dyDescent="0.3">
      <c r="A821" t="s">
        <v>955</v>
      </c>
      <c r="B821" t="s">
        <v>63</v>
      </c>
      <c r="C821" t="s">
        <v>111</v>
      </c>
      <c r="D821">
        <v>30</v>
      </c>
      <c r="E821" t="s">
        <v>27</v>
      </c>
      <c r="F821" t="s">
        <v>33</v>
      </c>
      <c r="G821" s="1">
        <v>44444</v>
      </c>
      <c r="H821">
        <v>89919.35</v>
      </c>
      <c r="I821" t="s">
        <v>284</v>
      </c>
      <c r="J821">
        <v>-5990802710</v>
      </c>
      <c r="K821" t="s">
        <v>23</v>
      </c>
      <c r="L821" t="b">
        <v>1</v>
      </c>
    </row>
    <row r="822" spans="1:12" x14ac:dyDescent="0.3">
      <c r="A822" t="s">
        <v>956</v>
      </c>
      <c r="B822" t="s">
        <v>32</v>
      </c>
      <c r="C822" t="s">
        <v>14</v>
      </c>
      <c r="D822">
        <v>40</v>
      </c>
      <c r="E822" t="s">
        <v>15</v>
      </c>
      <c r="F822" t="s">
        <v>16</v>
      </c>
      <c r="G822" s="1">
        <v>45024</v>
      </c>
      <c r="H822">
        <v>50568.35</v>
      </c>
      <c r="I822" t="s">
        <v>34</v>
      </c>
      <c r="J822">
        <v>-2218231554</v>
      </c>
      <c r="K822" t="s">
        <v>30</v>
      </c>
      <c r="L822" t="b">
        <v>1</v>
      </c>
    </row>
    <row r="823" spans="1:12" x14ac:dyDescent="0.3">
      <c r="A823" t="s">
        <v>957</v>
      </c>
      <c r="B823" t="s">
        <v>67</v>
      </c>
      <c r="C823" t="s">
        <v>20</v>
      </c>
      <c r="D823">
        <v>30</v>
      </c>
      <c r="E823" t="s">
        <v>126</v>
      </c>
      <c r="F823" t="s">
        <v>33</v>
      </c>
      <c r="G823" s="1">
        <v>44955</v>
      </c>
      <c r="H823" t="s">
        <v>223</v>
      </c>
      <c r="I823" t="s">
        <v>173</v>
      </c>
      <c r="J823">
        <v>-1651768085</v>
      </c>
      <c r="K823" t="s">
        <v>30</v>
      </c>
      <c r="L823" t="b">
        <v>0</v>
      </c>
    </row>
    <row r="824" spans="1:12" x14ac:dyDescent="0.3">
      <c r="A824" t="s">
        <v>958</v>
      </c>
      <c r="B824" t="s">
        <v>36</v>
      </c>
      <c r="C824" t="s">
        <v>86</v>
      </c>
      <c r="D824">
        <v>25</v>
      </c>
      <c r="E824" t="s">
        <v>126</v>
      </c>
      <c r="F824" t="s">
        <v>16</v>
      </c>
      <c r="G824" s="1">
        <v>44715</v>
      </c>
      <c r="H824">
        <v>99155.53</v>
      </c>
      <c r="I824" t="s">
        <v>101</v>
      </c>
      <c r="J824">
        <v>-6281372142</v>
      </c>
      <c r="K824" t="s">
        <v>40</v>
      </c>
      <c r="L824" t="b">
        <v>1</v>
      </c>
    </row>
    <row r="825" spans="1:12" x14ac:dyDescent="0.3">
      <c r="A825" t="s">
        <v>959</v>
      </c>
      <c r="B825" t="s">
        <v>36</v>
      </c>
      <c r="C825" t="s">
        <v>14</v>
      </c>
      <c r="D825">
        <v>40</v>
      </c>
      <c r="E825" t="s">
        <v>103</v>
      </c>
      <c r="F825" t="s">
        <v>33</v>
      </c>
      <c r="G825" s="1">
        <v>44947</v>
      </c>
      <c r="H825">
        <v>64785.13</v>
      </c>
      <c r="I825" t="s">
        <v>50</v>
      </c>
      <c r="J825">
        <v>-3080037002</v>
      </c>
      <c r="K825" t="s">
        <v>18</v>
      </c>
      <c r="L825" t="b">
        <v>1</v>
      </c>
    </row>
    <row r="826" spans="1:12" x14ac:dyDescent="0.3">
      <c r="A826" t="s">
        <v>960</v>
      </c>
      <c r="B826" t="s">
        <v>52</v>
      </c>
      <c r="C826" t="s">
        <v>42</v>
      </c>
      <c r="D826">
        <v>30</v>
      </c>
      <c r="E826" t="s">
        <v>72</v>
      </c>
      <c r="F826" t="s">
        <v>33</v>
      </c>
      <c r="G826" s="1">
        <v>45551</v>
      </c>
      <c r="H826">
        <v>79206.48</v>
      </c>
      <c r="I826" t="s">
        <v>81</v>
      </c>
      <c r="J826">
        <v>-3228556607</v>
      </c>
      <c r="K826" t="s">
        <v>30</v>
      </c>
      <c r="L826" t="b">
        <v>0</v>
      </c>
    </row>
    <row r="827" spans="1:12" x14ac:dyDescent="0.3">
      <c r="A827" t="s">
        <v>961</v>
      </c>
      <c r="B827" t="s">
        <v>52</v>
      </c>
      <c r="C827" t="s">
        <v>20</v>
      </c>
      <c r="D827">
        <v>30</v>
      </c>
      <c r="E827" t="s">
        <v>141</v>
      </c>
      <c r="F827" t="s">
        <v>28</v>
      </c>
      <c r="G827" s="1">
        <v>43863</v>
      </c>
      <c r="H827">
        <v>60079.71</v>
      </c>
      <c r="I827" t="s">
        <v>114</v>
      </c>
      <c r="J827">
        <v>-4706810389</v>
      </c>
      <c r="K827" t="s">
        <v>18</v>
      </c>
      <c r="L827" t="b">
        <v>1</v>
      </c>
    </row>
    <row r="828" spans="1:12" x14ac:dyDescent="0.3">
      <c r="A828" t="s">
        <v>962</v>
      </c>
      <c r="B828" t="s">
        <v>67</v>
      </c>
      <c r="C828" t="s">
        <v>37</v>
      </c>
      <c r="D828">
        <v>30</v>
      </c>
      <c r="E828" t="s">
        <v>58</v>
      </c>
      <c r="F828" t="s">
        <v>28</v>
      </c>
      <c r="G828" s="1">
        <v>45481</v>
      </c>
      <c r="H828">
        <v>79109.88</v>
      </c>
      <c r="I828" t="s">
        <v>69</v>
      </c>
      <c r="J828">
        <v>-3397051957</v>
      </c>
      <c r="K828" t="s">
        <v>40</v>
      </c>
      <c r="L828" t="b">
        <v>0</v>
      </c>
    </row>
    <row r="829" spans="1:12" x14ac:dyDescent="0.3">
      <c r="A829" t="s">
        <v>963</v>
      </c>
      <c r="B829" t="s">
        <v>67</v>
      </c>
      <c r="C829" t="s">
        <v>53</v>
      </c>
      <c r="E829" t="s">
        <v>176</v>
      </c>
      <c r="F829" t="s">
        <v>28</v>
      </c>
      <c r="G829" s="1">
        <v>44699</v>
      </c>
      <c r="H829">
        <v>88643.5</v>
      </c>
      <c r="I829" t="s">
        <v>116</v>
      </c>
      <c r="J829">
        <v>-2632809447</v>
      </c>
      <c r="K829" t="s">
        <v>40</v>
      </c>
      <c r="L829" t="b">
        <v>0</v>
      </c>
    </row>
    <row r="830" spans="1:12" x14ac:dyDescent="0.3">
      <c r="A830" t="s">
        <v>964</v>
      </c>
      <c r="B830" t="s">
        <v>36</v>
      </c>
      <c r="C830" t="s">
        <v>14</v>
      </c>
      <c r="D830">
        <v>30</v>
      </c>
      <c r="E830" t="s">
        <v>176</v>
      </c>
      <c r="F830" t="s">
        <v>28</v>
      </c>
      <c r="G830" s="1">
        <v>43846</v>
      </c>
      <c r="H830">
        <v>90455.7</v>
      </c>
      <c r="I830" t="s">
        <v>50</v>
      </c>
      <c r="J830">
        <v>-5862394534</v>
      </c>
      <c r="K830" t="s">
        <v>23</v>
      </c>
      <c r="L830" t="b">
        <v>0</v>
      </c>
    </row>
    <row r="831" spans="1:12" x14ac:dyDescent="0.3">
      <c r="A831" t="s">
        <v>965</v>
      </c>
      <c r="B831" t="s">
        <v>57</v>
      </c>
      <c r="C831" t="s">
        <v>42</v>
      </c>
      <c r="E831" t="s">
        <v>180</v>
      </c>
      <c r="F831" t="s">
        <v>28</v>
      </c>
      <c r="G831" s="1">
        <v>45011</v>
      </c>
      <c r="H831">
        <v>75687.899999999994</v>
      </c>
      <c r="I831" t="s">
        <v>94</v>
      </c>
      <c r="J831">
        <v>-4614707985</v>
      </c>
      <c r="K831" t="s">
        <v>30</v>
      </c>
      <c r="L831" t="b">
        <v>1</v>
      </c>
    </row>
    <row r="832" spans="1:12" x14ac:dyDescent="0.3">
      <c r="A832" t="s">
        <v>966</v>
      </c>
      <c r="B832" t="s">
        <v>63</v>
      </c>
      <c r="C832" t="s">
        <v>26</v>
      </c>
      <c r="D832">
        <v>35</v>
      </c>
      <c r="E832" t="s">
        <v>89</v>
      </c>
      <c r="F832" t="s">
        <v>33</v>
      </c>
      <c r="G832" s="1">
        <v>45245</v>
      </c>
      <c r="H832">
        <v>55604.42</v>
      </c>
      <c r="I832" t="s">
        <v>251</v>
      </c>
      <c r="J832">
        <v>-3210613393</v>
      </c>
      <c r="K832" t="s">
        <v>18</v>
      </c>
      <c r="L832" t="b">
        <v>0</v>
      </c>
    </row>
    <row r="833" spans="1:12" x14ac:dyDescent="0.3">
      <c r="A833" t="s">
        <v>967</v>
      </c>
      <c r="B833" t="s">
        <v>32</v>
      </c>
      <c r="C833" t="s">
        <v>26</v>
      </c>
      <c r="D833">
        <v>40</v>
      </c>
      <c r="E833" t="s">
        <v>43</v>
      </c>
      <c r="F833" t="s">
        <v>28</v>
      </c>
      <c r="G833" s="1">
        <v>45653</v>
      </c>
      <c r="H833">
        <v>92704.94</v>
      </c>
      <c r="I833" t="s">
        <v>224</v>
      </c>
      <c r="J833">
        <v>-3945703942</v>
      </c>
      <c r="K833" t="s">
        <v>23</v>
      </c>
      <c r="L833" t="b">
        <v>0</v>
      </c>
    </row>
    <row r="834" spans="1:12" x14ac:dyDescent="0.3">
      <c r="A834" t="s">
        <v>968</v>
      </c>
      <c r="B834" t="s">
        <v>13</v>
      </c>
      <c r="C834" t="s">
        <v>37</v>
      </c>
      <c r="E834" t="s">
        <v>155</v>
      </c>
      <c r="F834" t="s">
        <v>28</v>
      </c>
      <c r="G834" s="1">
        <v>43939</v>
      </c>
      <c r="H834">
        <v>113250.97</v>
      </c>
      <c r="I834" t="s">
        <v>129</v>
      </c>
      <c r="J834">
        <v>-8040325375</v>
      </c>
      <c r="K834" t="s">
        <v>30</v>
      </c>
      <c r="L834" t="b">
        <v>1</v>
      </c>
    </row>
    <row r="835" spans="1:12" x14ac:dyDescent="0.3">
      <c r="A835" t="s">
        <v>969</v>
      </c>
      <c r="B835" t="s">
        <v>25</v>
      </c>
      <c r="C835" t="s">
        <v>20</v>
      </c>
      <c r="D835">
        <v>40</v>
      </c>
      <c r="E835" t="s">
        <v>215</v>
      </c>
      <c r="F835" t="s">
        <v>33</v>
      </c>
      <c r="G835" s="1">
        <v>45006</v>
      </c>
      <c r="H835">
        <v>101367.02</v>
      </c>
      <c r="I835" t="s">
        <v>76</v>
      </c>
      <c r="J835">
        <v>-5769277893</v>
      </c>
      <c r="K835" t="s">
        <v>23</v>
      </c>
      <c r="L835" t="b">
        <v>0</v>
      </c>
    </row>
    <row r="836" spans="1:12" x14ac:dyDescent="0.3">
      <c r="A836" t="s">
        <v>970</v>
      </c>
      <c r="B836" t="s">
        <v>32</v>
      </c>
      <c r="C836" t="s">
        <v>111</v>
      </c>
      <c r="D836">
        <v>35</v>
      </c>
      <c r="E836" t="s">
        <v>96</v>
      </c>
      <c r="F836" t="s">
        <v>28</v>
      </c>
      <c r="G836" s="1">
        <v>45054</v>
      </c>
      <c r="H836">
        <v>102459.77</v>
      </c>
      <c r="I836" t="s">
        <v>384</v>
      </c>
      <c r="J836">
        <v>-3191009003</v>
      </c>
      <c r="K836" t="s">
        <v>40</v>
      </c>
      <c r="L836" t="b">
        <v>0</v>
      </c>
    </row>
    <row r="837" spans="1:12" x14ac:dyDescent="0.3">
      <c r="A837" t="s">
        <v>971</v>
      </c>
      <c r="B837" t="s">
        <v>32</v>
      </c>
      <c r="C837" t="s">
        <v>20</v>
      </c>
      <c r="D837">
        <v>25</v>
      </c>
      <c r="E837" t="s">
        <v>192</v>
      </c>
      <c r="F837" t="s">
        <v>28</v>
      </c>
      <c r="G837" s="1">
        <v>44177</v>
      </c>
      <c r="H837">
        <v>90100.2</v>
      </c>
      <c r="I837" t="s">
        <v>138</v>
      </c>
      <c r="J837">
        <v>-476921052</v>
      </c>
      <c r="K837" t="s">
        <v>30</v>
      </c>
      <c r="L837" t="b">
        <v>0</v>
      </c>
    </row>
    <row r="838" spans="1:12" x14ac:dyDescent="0.3">
      <c r="A838" t="s">
        <v>972</v>
      </c>
      <c r="B838" t="s">
        <v>32</v>
      </c>
      <c r="C838" t="s">
        <v>37</v>
      </c>
      <c r="E838" t="s">
        <v>217</v>
      </c>
      <c r="F838" t="s">
        <v>33</v>
      </c>
      <c r="G838" s="1">
        <v>43999</v>
      </c>
      <c r="H838">
        <v>58877.49</v>
      </c>
      <c r="I838" t="s">
        <v>127</v>
      </c>
      <c r="J838">
        <v>-3651460400</v>
      </c>
      <c r="K838" t="s">
        <v>23</v>
      </c>
      <c r="L838" t="b">
        <v>0</v>
      </c>
    </row>
    <row r="839" spans="1:12" x14ac:dyDescent="0.3">
      <c r="A839" t="s">
        <v>973</v>
      </c>
      <c r="B839" t="s">
        <v>32</v>
      </c>
      <c r="C839" t="s">
        <v>26</v>
      </c>
      <c r="D839">
        <v>35</v>
      </c>
      <c r="E839" t="s">
        <v>83</v>
      </c>
      <c r="F839" t="s">
        <v>33</v>
      </c>
      <c r="G839" s="1">
        <v>44394</v>
      </c>
      <c r="H839" t="s">
        <v>223</v>
      </c>
      <c r="I839" t="s">
        <v>224</v>
      </c>
      <c r="J839">
        <v>-4247310719</v>
      </c>
      <c r="K839" t="s">
        <v>23</v>
      </c>
      <c r="L839" t="b">
        <v>0</v>
      </c>
    </row>
    <row r="840" spans="1:12" x14ac:dyDescent="0.3">
      <c r="A840" t="s">
        <v>974</v>
      </c>
      <c r="B840" t="s">
        <v>13</v>
      </c>
      <c r="C840" t="s">
        <v>20</v>
      </c>
      <c r="E840" t="s">
        <v>83</v>
      </c>
      <c r="F840" t="s">
        <v>28</v>
      </c>
      <c r="G840" s="1">
        <v>44140</v>
      </c>
      <c r="H840">
        <v>96140.89</v>
      </c>
      <c r="I840" t="s">
        <v>22</v>
      </c>
      <c r="J840">
        <v>-1137984408</v>
      </c>
      <c r="K840" t="s">
        <v>18</v>
      </c>
      <c r="L840" t="b">
        <v>1</v>
      </c>
    </row>
    <row r="841" spans="1:12" x14ac:dyDescent="0.3">
      <c r="A841" t="s">
        <v>975</v>
      </c>
      <c r="B841" t="s">
        <v>52</v>
      </c>
      <c r="C841" t="s">
        <v>26</v>
      </c>
      <c r="D841">
        <v>35</v>
      </c>
      <c r="E841" t="s">
        <v>54</v>
      </c>
      <c r="F841" t="s">
        <v>33</v>
      </c>
      <c r="G841" s="1">
        <v>44201</v>
      </c>
      <c r="H841">
        <v>105956.04</v>
      </c>
      <c r="I841" t="s">
        <v>109</v>
      </c>
      <c r="J841">
        <v>-7123166006</v>
      </c>
      <c r="K841" t="s">
        <v>23</v>
      </c>
      <c r="L841" t="b">
        <v>0</v>
      </c>
    </row>
    <row r="842" spans="1:12" x14ac:dyDescent="0.3">
      <c r="A842" t="s">
        <v>976</v>
      </c>
      <c r="B842" t="s">
        <v>36</v>
      </c>
      <c r="C842" t="s">
        <v>14</v>
      </c>
      <c r="D842">
        <v>25</v>
      </c>
      <c r="E842" t="s">
        <v>83</v>
      </c>
      <c r="F842" t="s">
        <v>16</v>
      </c>
      <c r="G842" s="1">
        <v>45546</v>
      </c>
      <c r="H842">
        <v>84716.38</v>
      </c>
      <c r="I842" t="s">
        <v>50</v>
      </c>
      <c r="J842">
        <v>-6762090143</v>
      </c>
      <c r="K842" t="s">
        <v>30</v>
      </c>
      <c r="L842" t="b">
        <v>0</v>
      </c>
    </row>
    <row r="843" spans="1:12" x14ac:dyDescent="0.3">
      <c r="A843" t="s">
        <v>977</v>
      </c>
      <c r="B843" t="s">
        <v>67</v>
      </c>
      <c r="C843" t="s">
        <v>42</v>
      </c>
      <c r="D843">
        <v>30</v>
      </c>
      <c r="E843" t="s">
        <v>192</v>
      </c>
      <c r="F843" t="s">
        <v>28</v>
      </c>
      <c r="G843" s="1">
        <v>45136</v>
      </c>
      <c r="H843">
        <v>61709.83</v>
      </c>
      <c r="I843" t="s">
        <v>78</v>
      </c>
      <c r="J843">
        <v>-7340433699</v>
      </c>
      <c r="K843" t="s">
        <v>30</v>
      </c>
      <c r="L843" t="b">
        <v>1</v>
      </c>
    </row>
    <row r="844" spans="1:12" x14ac:dyDescent="0.3">
      <c r="A844" t="s">
        <v>978</v>
      </c>
      <c r="B844" t="s">
        <v>36</v>
      </c>
      <c r="C844" t="s">
        <v>111</v>
      </c>
      <c r="D844">
        <v>25</v>
      </c>
      <c r="E844" t="s">
        <v>15</v>
      </c>
      <c r="F844" t="s">
        <v>16</v>
      </c>
      <c r="G844" s="1">
        <v>43938</v>
      </c>
      <c r="H844">
        <v>61732.03</v>
      </c>
      <c r="I844" t="s">
        <v>124</v>
      </c>
      <c r="J844">
        <v>-9687304518</v>
      </c>
      <c r="K844" t="s">
        <v>18</v>
      </c>
      <c r="L844" t="b">
        <v>1</v>
      </c>
    </row>
    <row r="845" spans="1:12" x14ac:dyDescent="0.3">
      <c r="A845" t="s">
        <v>979</v>
      </c>
      <c r="B845" t="s">
        <v>32</v>
      </c>
      <c r="C845" t="s">
        <v>14</v>
      </c>
      <c r="D845">
        <v>40</v>
      </c>
      <c r="E845" t="s">
        <v>75</v>
      </c>
      <c r="F845" t="s">
        <v>16</v>
      </c>
      <c r="G845" s="1">
        <v>44608</v>
      </c>
      <c r="H845">
        <v>97845.7</v>
      </c>
      <c r="I845" t="s">
        <v>34</v>
      </c>
      <c r="J845">
        <v>-5778255881</v>
      </c>
      <c r="K845" t="s">
        <v>30</v>
      </c>
      <c r="L845" t="b">
        <v>1</v>
      </c>
    </row>
    <row r="846" spans="1:12" x14ac:dyDescent="0.3">
      <c r="A846" t="s">
        <v>980</v>
      </c>
      <c r="B846" t="s">
        <v>32</v>
      </c>
      <c r="C846" t="s">
        <v>26</v>
      </c>
      <c r="D846">
        <v>30</v>
      </c>
      <c r="E846" t="s">
        <v>72</v>
      </c>
      <c r="F846" t="s">
        <v>16</v>
      </c>
      <c r="G846" s="1">
        <v>44422</v>
      </c>
      <c r="H846">
        <v>114905.58</v>
      </c>
      <c r="I846" t="s">
        <v>224</v>
      </c>
      <c r="J846">
        <v>-5562965753</v>
      </c>
      <c r="K846" t="s">
        <v>40</v>
      </c>
      <c r="L846" t="b">
        <v>0</v>
      </c>
    </row>
    <row r="847" spans="1:12" x14ac:dyDescent="0.3">
      <c r="A847" t="s">
        <v>981</v>
      </c>
      <c r="B847" t="s">
        <v>36</v>
      </c>
      <c r="C847" t="s">
        <v>26</v>
      </c>
      <c r="E847" t="s">
        <v>197</v>
      </c>
      <c r="F847" t="s">
        <v>16</v>
      </c>
      <c r="G847" s="1">
        <v>44919</v>
      </c>
      <c r="H847">
        <v>94619.69</v>
      </c>
      <c r="I847" t="s">
        <v>46</v>
      </c>
      <c r="J847">
        <v>-2786561941</v>
      </c>
      <c r="K847" t="s">
        <v>30</v>
      </c>
      <c r="L847" t="b">
        <v>1</v>
      </c>
    </row>
    <row r="848" spans="1:12" x14ac:dyDescent="0.3">
      <c r="A848" t="s">
        <v>982</v>
      </c>
      <c r="B848" t="s">
        <v>67</v>
      </c>
      <c r="C848" t="s">
        <v>53</v>
      </c>
      <c r="E848" t="s">
        <v>15</v>
      </c>
      <c r="F848" t="s">
        <v>33</v>
      </c>
      <c r="G848" s="1">
        <v>44384</v>
      </c>
      <c r="H848">
        <v>68696.149999999994</v>
      </c>
      <c r="I848" t="s">
        <v>116</v>
      </c>
      <c r="J848">
        <v>-5577820581</v>
      </c>
      <c r="K848" t="s">
        <v>30</v>
      </c>
      <c r="L848" t="b">
        <v>0</v>
      </c>
    </row>
    <row r="849" spans="1:12" x14ac:dyDescent="0.3">
      <c r="A849" t="s">
        <v>983</v>
      </c>
      <c r="B849" t="s">
        <v>67</v>
      </c>
      <c r="C849" t="s">
        <v>53</v>
      </c>
      <c r="D849">
        <v>40</v>
      </c>
      <c r="E849" t="s">
        <v>258</v>
      </c>
      <c r="F849" t="s">
        <v>16</v>
      </c>
      <c r="G849" s="1">
        <v>45334</v>
      </c>
      <c r="H849">
        <v>97032.29</v>
      </c>
      <c r="I849" t="s">
        <v>116</v>
      </c>
      <c r="J849">
        <v>-9582923615</v>
      </c>
      <c r="K849" t="s">
        <v>23</v>
      </c>
      <c r="L849" t="b">
        <v>0</v>
      </c>
    </row>
    <row r="850" spans="1:12" x14ac:dyDescent="0.3">
      <c r="A850" t="s">
        <v>984</v>
      </c>
      <c r="B850" t="s">
        <v>36</v>
      </c>
      <c r="C850" t="s">
        <v>14</v>
      </c>
      <c r="D850">
        <v>30</v>
      </c>
      <c r="E850" t="s">
        <v>166</v>
      </c>
      <c r="F850" t="s">
        <v>16</v>
      </c>
      <c r="G850" s="1">
        <v>45208</v>
      </c>
      <c r="H850">
        <v>50593.33</v>
      </c>
      <c r="I850" t="s">
        <v>50</v>
      </c>
      <c r="J850">
        <v>-1880819047</v>
      </c>
      <c r="K850" t="s">
        <v>23</v>
      </c>
      <c r="L850" t="b">
        <v>1</v>
      </c>
    </row>
    <row r="851" spans="1:12" x14ac:dyDescent="0.3">
      <c r="A851" t="s">
        <v>985</v>
      </c>
      <c r="B851" t="s">
        <v>67</v>
      </c>
      <c r="C851" t="s">
        <v>86</v>
      </c>
      <c r="D851">
        <v>25</v>
      </c>
      <c r="E851" t="s">
        <v>43</v>
      </c>
      <c r="F851" t="s">
        <v>28</v>
      </c>
      <c r="G851" s="1">
        <v>44744</v>
      </c>
      <c r="H851">
        <v>74606.149999999994</v>
      </c>
      <c r="I851" t="s">
        <v>147</v>
      </c>
      <c r="J851">
        <v>-2357155867</v>
      </c>
      <c r="K851" t="s">
        <v>30</v>
      </c>
      <c r="L851" t="b">
        <v>1</v>
      </c>
    </row>
    <row r="852" spans="1:12" x14ac:dyDescent="0.3">
      <c r="A852" t="s">
        <v>986</v>
      </c>
      <c r="B852" t="s">
        <v>32</v>
      </c>
      <c r="C852" t="s">
        <v>14</v>
      </c>
      <c r="D852">
        <v>30</v>
      </c>
      <c r="E852" t="s">
        <v>141</v>
      </c>
      <c r="F852" t="s">
        <v>28</v>
      </c>
      <c r="G852" s="1">
        <v>44019</v>
      </c>
      <c r="H852">
        <v>53981.73</v>
      </c>
      <c r="I852" t="s">
        <v>34</v>
      </c>
      <c r="J852">
        <v>-6395613722</v>
      </c>
      <c r="K852" t="s">
        <v>18</v>
      </c>
      <c r="L852" t="b">
        <v>0</v>
      </c>
    </row>
    <row r="853" spans="1:12" x14ac:dyDescent="0.3">
      <c r="A853" t="s">
        <v>987</v>
      </c>
      <c r="B853" t="s">
        <v>57</v>
      </c>
      <c r="C853" t="s">
        <v>53</v>
      </c>
      <c r="E853" t="s">
        <v>197</v>
      </c>
      <c r="F853" t="s">
        <v>28</v>
      </c>
      <c r="G853" s="1">
        <v>44076</v>
      </c>
      <c r="H853">
        <v>56047.05</v>
      </c>
      <c r="I853" t="s">
        <v>183</v>
      </c>
      <c r="J853">
        <v>-817214363</v>
      </c>
      <c r="K853" t="s">
        <v>23</v>
      </c>
      <c r="L853" t="b">
        <v>1</v>
      </c>
    </row>
    <row r="854" spans="1:12" x14ac:dyDescent="0.3">
      <c r="A854" t="s">
        <v>988</v>
      </c>
      <c r="B854" t="s">
        <v>67</v>
      </c>
      <c r="C854" t="s">
        <v>26</v>
      </c>
      <c r="E854" t="s">
        <v>96</v>
      </c>
      <c r="F854" t="s">
        <v>28</v>
      </c>
      <c r="G854" s="1">
        <v>44208</v>
      </c>
      <c r="H854">
        <v>67733.5</v>
      </c>
      <c r="I854" t="s">
        <v>73</v>
      </c>
      <c r="J854">
        <v>-3813000412</v>
      </c>
      <c r="K854" t="s">
        <v>18</v>
      </c>
      <c r="L854" t="b">
        <v>0</v>
      </c>
    </row>
    <row r="855" spans="1:12" x14ac:dyDescent="0.3">
      <c r="A855" t="s">
        <v>989</v>
      </c>
      <c r="B855" t="s">
        <v>13</v>
      </c>
      <c r="C855" t="s">
        <v>37</v>
      </c>
      <c r="D855">
        <v>40</v>
      </c>
      <c r="E855" t="s">
        <v>180</v>
      </c>
      <c r="F855" t="s">
        <v>28</v>
      </c>
      <c r="G855" s="1">
        <v>45198</v>
      </c>
      <c r="H855">
        <v>103891.64</v>
      </c>
      <c r="I855" t="s">
        <v>129</v>
      </c>
      <c r="J855">
        <v>-2114716559</v>
      </c>
      <c r="K855" t="s">
        <v>30</v>
      </c>
      <c r="L855" t="b">
        <v>1</v>
      </c>
    </row>
    <row r="856" spans="1:12" x14ac:dyDescent="0.3">
      <c r="A856" t="s">
        <v>990</v>
      </c>
      <c r="B856" t="s">
        <v>52</v>
      </c>
      <c r="C856" t="s">
        <v>14</v>
      </c>
      <c r="D856">
        <v>25</v>
      </c>
      <c r="E856" t="s">
        <v>126</v>
      </c>
      <c r="F856" t="s">
        <v>33</v>
      </c>
      <c r="G856" s="1">
        <v>44626</v>
      </c>
      <c r="H856">
        <v>73285.83</v>
      </c>
      <c r="I856" t="s">
        <v>149</v>
      </c>
      <c r="J856">
        <v>-9456534698</v>
      </c>
      <c r="K856" t="s">
        <v>30</v>
      </c>
      <c r="L856" t="b">
        <v>1</v>
      </c>
    </row>
    <row r="857" spans="1:12" x14ac:dyDescent="0.3">
      <c r="A857" t="s">
        <v>991</v>
      </c>
      <c r="B857" t="s">
        <v>32</v>
      </c>
      <c r="C857" t="s">
        <v>26</v>
      </c>
      <c r="D857">
        <v>30</v>
      </c>
      <c r="E857" t="s">
        <v>21</v>
      </c>
      <c r="F857" t="s">
        <v>33</v>
      </c>
      <c r="G857" s="1">
        <v>44241</v>
      </c>
      <c r="H857">
        <v>92721.13</v>
      </c>
      <c r="I857" t="s">
        <v>224</v>
      </c>
      <c r="J857">
        <v>-7990707549</v>
      </c>
      <c r="K857" t="s">
        <v>40</v>
      </c>
      <c r="L857" t="b">
        <v>1</v>
      </c>
    </row>
    <row r="858" spans="1:12" x14ac:dyDescent="0.3">
      <c r="A858" t="s">
        <v>992</v>
      </c>
      <c r="B858" t="s">
        <v>63</v>
      </c>
      <c r="C858" t="s">
        <v>37</v>
      </c>
      <c r="D858">
        <v>25</v>
      </c>
      <c r="E858" t="s">
        <v>83</v>
      </c>
      <c r="F858" t="s">
        <v>33</v>
      </c>
      <c r="G858" s="1">
        <v>44278</v>
      </c>
      <c r="H858">
        <v>92977.64</v>
      </c>
      <c r="I858" t="s">
        <v>65</v>
      </c>
      <c r="J858">
        <v>-4768169956</v>
      </c>
      <c r="K858" t="s">
        <v>23</v>
      </c>
      <c r="L858" t="b">
        <v>0</v>
      </c>
    </row>
    <row r="859" spans="1:12" x14ac:dyDescent="0.3">
      <c r="A859" t="s">
        <v>993</v>
      </c>
      <c r="B859" t="s">
        <v>63</v>
      </c>
      <c r="C859" t="s">
        <v>37</v>
      </c>
      <c r="D859">
        <v>35</v>
      </c>
      <c r="E859" t="s">
        <v>141</v>
      </c>
      <c r="F859" t="s">
        <v>16</v>
      </c>
      <c r="G859" s="1">
        <v>43975</v>
      </c>
      <c r="H859">
        <v>89994.12</v>
      </c>
      <c r="I859" t="s">
        <v>65</v>
      </c>
      <c r="J859">
        <v>-607174810</v>
      </c>
      <c r="K859" t="s">
        <v>30</v>
      </c>
      <c r="L859" t="b">
        <v>1</v>
      </c>
    </row>
    <row r="860" spans="1:12" x14ac:dyDescent="0.3">
      <c r="A860" t="s">
        <v>994</v>
      </c>
      <c r="B860" t="s">
        <v>63</v>
      </c>
      <c r="C860" t="s">
        <v>53</v>
      </c>
      <c r="D860">
        <v>25</v>
      </c>
      <c r="E860" t="s">
        <v>190</v>
      </c>
      <c r="F860" t="s">
        <v>28</v>
      </c>
      <c r="G860" s="1">
        <v>45142</v>
      </c>
      <c r="H860">
        <v>50060.73</v>
      </c>
      <c r="I860" t="s">
        <v>104</v>
      </c>
      <c r="J860">
        <v>-3176539704</v>
      </c>
      <c r="K860" t="s">
        <v>40</v>
      </c>
      <c r="L860" t="b">
        <v>0</v>
      </c>
    </row>
    <row r="861" spans="1:12" x14ac:dyDescent="0.3">
      <c r="A861" t="s">
        <v>995</v>
      </c>
      <c r="B861" t="s">
        <v>67</v>
      </c>
      <c r="C861" t="s">
        <v>14</v>
      </c>
      <c r="D861">
        <v>35</v>
      </c>
      <c r="E861" t="s">
        <v>27</v>
      </c>
      <c r="F861" t="s">
        <v>33</v>
      </c>
      <c r="G861" s="1">
        <v>44632</v>
      </c>
      <c r="H861">
        <v>90224.82</v>
      </c>
      <c r="I861" t="s">
        <v>195</v>
      </c>
      <c r="J861">
        <v>-4873961028</v>
      </c>
      <c r="K861" t="s">
        <v>23</v>
      </c>
      <c r="L861" t="b">
        <v>0</v>
      </c>
    </row>
    <row r="862" spans="1:12" x14ac:dyDescent="0.3">
      <c r="A862" t="s">
        <v>996</v>
      </c>
      <c r="B862" t="s">
        <v>63</v>
      </c>
      <c r="C862" t="s">
        <v>20</v>
      </c>
      <c r="D862">
        <v>40</v>
      </c>
      <c r="E862" t="s">
        <v>103</v>
      </c>
      <c r="F862" t="s">
        <v>28</v>
      </c>
      <c r="G862" s="1">
        <v>45430</v>
      </c>
      <c r="H862">
        <v>106859.3</v>
      </c>
      <c r="I862" t="s">
        <v>307</v>
      </c>
      <c r="J862">
        <v>-871827495</v>
      </c>
      <c r="K862" t="s">
        <v>30</v>
      </c>
      <c r="L862" t="b">
        <v>0</v>
      </c>
    </row>
    <row r="863" spans="1:12" x14ac:dyDescent="0.3">
      <c r="A863" t="s">
        <v>997</v>
      </c>
      <c r="B863" t="s">
        <v>57</v>
      </c>
      <c r="C863" t="s">
        <v>111</v>
      </c>
      <c r="D863">
        <v>25</v>
      </c>
      <c r="E863" t="s">
        <v>93</v>
      </c>
      <c r="F863" t="s">
        <v>33</v>
      </c>
      <c r="G863" s="1">
        <v>44079</v>
      </c>
      <c r="H863">
        <v>89707.07</v>
      </c>
      <c r="I863" t="s">
        <v>266</v>
      </c>
      <c r="J863">
        <v>-8049187273</v>
      </c>
      <c r="K863" t="s">
        <v>30</v>
      </c>
      <c r="L863" t="b">
        <v>0</v>
      </c>
    </row>
    <row r="864" spans="1:12" x14ac:dyDescent="0.3">
      <c r="A864" t="s">
        <v>998</v>
      </c>
      <c r="B864" t="s">
        <v>36</v>
      </c>
      <c r="C864" t="s">
        <v>53</v>
      </c>
      <c r="D864">
        <v>35</v>
      </c>
      <c r="E864" t="s">
        <v>15</v>
      </c>
      <c r="F864" t="s">
        <v>33</v>
      </c>
      <c r="G864" s="1">
        <v>43944</v>
      </c>
      <c r="H864">
        <v>94259.08</v>
      </c>
      <c r="I864" t="s">
        <v>219</v>
      </c>
      <c r="J864">
        <v>-2049561212</v>
      </c>
      <c r="K864" t="s">
        <v>23</v>
      </c>
      <c r="L864" t="b">
        <v>1</v>
      </c>
    </row>
    <row r="865" spans="1:12" x14ac:dyDescent="0.3">
      <c r="A865" t="s">
        <v>999</v>
      </c>
      <c r="B865" t="s">
        <v>13</v>
      </c>
      <c r="C865" t="s">
        <v>53</v>
      </c>
      <c r="D865">
        <v>35</v>
      </c>
      <c r="E865" t="s">
        <v>155</v>
      </c>
      <c r="F865" t="s">
        <v>16</v>
      </c>
      <c r="G865" s="1">
        <v>45553</v>
      </c>
      <c r="H865">
        <v>82174.75</v>
      </c>
      <c r="I865" t="s">
        <v>171</v>
      </c>
      <c r="J865">
        <v>-7730626041</v>
      </c>
      <c r="K865" t="s">
        <v>23</v>
      </c>
      <c r="L865" t="b">
        <v>0</v>
      </c>
    </row>
    <row r="866" spans="1:12" x14ac:dyDescent="0.3">
      <c r="A866" t="s">
        <v>1000</v>
      </c>
      <c r="B866" t="s">
        <v>57</v>
      </c>
      <c r="C866" t="s">
        <v>20</v>
      </c>
      <c r="D866">
        <v>30</v>
      </c>
      <c r="E866" t="s">
        <v>43</v>
      </c>
      <c r="F866" t="s">
        <v>33</v>
      </c>
      <c r="G866" s="1">
        <v>45184</v>
      </c>
      <c r="H866">
        <v>63370.22</v>
      </c>
      <c r="I866" t="s">
        <v>188</v>
      </c>
      <c r="J866">
        <v>-3597371121</v>
      </c>
      <c r="K866" t="s">
        <v>23</v>
      </c>
      <c r="L866" t="b">
        <v>0</v>
      </c>
    </row>
    <row r="867" spans="1:12" x14ac:dyDescent="0.3">
      <c r="A867" t="s">
        <v>1001</v>
      </c>
      <c r="B867" t="s">
        <v>13</v>
      </c>
      <c r="C867" t="s">
        <v>111</v>
      </c>
      <c r="D867">
        <v>35</v>
      </c>
      <c r="E867" t="s">
        <v>21</v>
      </c>
      <c r="F867" t="s">
        <v>28</v>
      </c>
      <c r="G867" s="1">
        <v>44727</v>
      </c>
      <c r="H867">
        <v>101472.69</v>
      </c>
      <c r="I867" t="s">
        <v>112</v>
      </c>
      <c r="J867">
        <v>-2990775607</v>
      </c>
      <c r="K867" t="s">
        <v>30</v>
      </c>
      <c r="L867" t="b">
        <v>1</v>
      </c>
    </row>
    <row r="868" spans="1:12" x14ac:dyDescent="0.3">
      <c r="A868" t="s">
        <v>1002</v>
      </c>
      <c r="B868" t="s">
        <v>57</v>
      </c>
      <c r="C868" t="s">
        <v>26</v>
      </c>
      <c r="D868">
        <v>25</v>
      </c>
      <c r="E868" t="s">
        <v>75</v>
      </c>
      <c r="F868" t="s">
        <v>16</v>
      </c>
      <c r="G868" s="1">
        <v>44832</v>
      </c>
      <c r="H868">
        <v>77213.73</v>
      </c>
      <c r="I868" t="s">
        <v>200</v>
      </c>
      <c r="J868">
        <v>-5816704685</v>
      </c>
      <c r="K868" t="s">
        <v>30</v>
      </c>
      <c r="L868" t="b">
        <v>0</v>
      </c>
    </row>
    <row r="869" spans="1:12" x14ac:dyDescent="0.3">
      <c r="A869" t="s">
        <v>1003</v>
      </c>
      <c r="B869" t="s">
        <v>32</v>
      </c>
      <c r="C869" t="s">
        <v>86</v>
      </c>
      <c r="D869">
        <v>40</v>
      </c>
      <c r="E869" t="s">
        <v>72</v>
      </c>
      <c r="F869" t="s">
        <v>16</v>
      </c>
      <c r="G869" s="1">
        <v>43906</v>
      </c>
      <c r="H869">
        <v>73749.960000000006</v>
      </c>
      <c r="I869" t="s">
        <v>213</v>
      </c>
      <c r="J869">
        <v>-1114576831</v>
      </c>
      <c r="K869" t="s">
        <v>40</v>
      </c>
      <c r="L869" t="b">
        <v>1</v>
      </c>
    </row>
    <row r="870" spans="1:12" x14ac:dyDescent="0.3">
      <c r="A870" t="s">
        <v>1004</v>
      </c>
      <c r="B870" t="s">
        <v>25</v>
      </c>
      <c r="C870" t="s">
        <v>14</v>
      </c>
      <c r="D870">
        <v>40</v>
      </c>
      <c r="E870" t="s">
        <v>58</v>
      </c>
      <c r="F870" t="s">
        <v>28</v>
      </c>
      <c r="G870" s="1">
        <v>45197</v>
      </c>
      <c r="H870">
        <v>86618.37</v>
      </c>
      <c r="I870" t="s">
        <v>143</v>
      </c>
      <c r="J870">
        <v>-1021923784</v>
      </c>
      <c r="K870" t="s">
        <v>18</v>
      </c>
      <c r="L870" t="b">
        <v>0</v>
      </c>
    </row>
    <row r="871" spans="1:12" x14ac:dyDescent="0.3">
      <c r="A871" t="s">
        <v>1005</v>
      </c>
      <c r="B871" t="s">
        <v>52</v>
      </c>
      <c r="C871" t="s">
        <v>86</v>
      </c>
      <c r="E871" t="s">
        <v>96</v>
      </c>
      <c r="F871" t="s">
        <v>16</v>
      </c>
      <c r="G871" s="1">
        <v>45337</v>
      </c>
      <c r="H871">
        <v>59911.33</v>
      </c>
      <c r="I871" t="s">
        <v>371</v>
      </c>
      <c r="J871">
        <v>-8471296179</v>
      </c>
      <c r="K871" t="s">
        <v>23</v>
      </c>
      <c r="L871" t="b">
        <v>1</v>
      </c>
    </row>
    <row r="872" spans="1:12" x14ac:dyDescent="0.3">
      <c r="A872" t="s">
        <v>1006</v>
      </c>
      <c r="B872" t="s">
        <v>63</v>
      </c>
      <c r="C872" t="s">
        <v>26</v>
      </c>
      <c r="E872" t="s">
        <v>58</v>
      </c>
      <c r="F872" t="s">
        <v>28</v>
      </c>
      <c r="G872" s="1">
        <v>45159</v>
      </c>
      <c r="H872">
        <v>59137.64</v>
      </c>
      <c r="I872" t="s">
        <v>251</v>
      </c>
      <c r="J872">
        <v>-3324260507</v>
      </c>
      <c r="K872" t="s">
        <v>30</v>
      </c>
      <c r="L872" t="b">
        <v>0</v>
      </c>
    </row>
    <row r="873" spans="1:12" x14ac:dyDescent="0.3">
      <c r="A873" t="s">
        <v>1007</v>
      </c>
      <c r="B873" t="s">
        <v>25</v>
      </c>
      <c r="C873" t="s">
        <v>42</v>
      </c>
      <c r="D873">
        <v>35</v>
      </c>
      <c r="E873" t="s">
        <v>38</v>
      </c>
      <c r="F873" t="s">
        <v>28</v>
      </c>
      <c r="G873" s="1">
        <v>44180</v>
      </c>
      <c r="H873">
        <v>108474.65</v>
      </c>
      <c r="I873" t="s">
        <v>44</v>
      </c>
      <c r="J873">
        <v>-184980424</v>
      </c>
      <c r="K873" t="s">
        <v>30</v>
      </c>
      <c r="L873" t="b">
        <v>1</v>
      </c>
    </row>
    <row r="874" spans="1:12" x14ac:dyDescent="0.3">
      <c r="A874" t="s">
        <v>1008</v>
      </c>
      <c r="B874" t="s">
        <v>13</v>
      </c>
      <c r="C874" t="s">
        <v>53</v>
      </c>
      <c r="D874">
        <v>25</v>
      </c>
      <c r="E874" t="s">
        <v>215</v>
      </c>
      <c r="F874" t="s">
        <v>28</v>
      </c>
      <c r="G874" s="1">
        <v>44282</v>
      </c>
      <c r="H874">
        <v>54417.71</v>
      </c>
      <c r="I874" t="s">
        <v>171</v>
      </c>
      <c r="J874">
        <v>-3733777311</v>
      </c>
      <c r="K874" t="s">
        <v>23</v>
      </c>
      <c r="L874" t="b">
        <v>0</v>
      </c>
    </row>
    <row r="875" spans="1:12" x14ac:dyDescent="0.3">
      <c r="A875" t="s">
        <v>1009</v>
      </c>
      <c r="B875" t="s">
        <v>36</v>
      </c>
      <c r="C875" t="s">
        <v>111</v>
      </c>
      <c r="D875">
        <v>40</v>
      </c>
      <c r="E875" t="s">
        <v>126</v>
      </c>
      <c r="F875" t="s">
        <v>28</v>
      </c>
      <c r="G875" s="1">
        <v>45010</v>
      </c>
      <c r="H875">
        <v>88211.94</v>
      </c>
      <c r="I875" t="s">
        <v>124</v>
      </c>
      <c r="J875">
        <v>-6881228216</v>
      </c>
      <c r="K875" t="s">
        <v>18</v>
      </c>
      <c r="L875" t="b">
        <v>0</v>
      </c>
    </row>
    <row r="876" spans="1:12" x14ac:dyDescent="0.3">
      <c r="A876" t="s">
        <v>1010</v>
      </c>
      <c r="B876" t="s">
        <v>57</v>
      </c>
      <c r="C876" t="s">
        <v>53</v>
      </c>
      <c r="D876">
        <v>25</v>
      </c>
      <c r="E876" t="s">
        <v>100</v>
      </c>
      <c r="F876" t="s">
        <v>33</v>
      </c>
      <c r="G876" s="1">
        <v>43960</v>
      </c>
      <c r="H876">
        <v>58452.18</v>
      </c>
      <c r="I876" t="s">
        <v>183</v>
      </c>
      <c r="J876">
        <v>-8192365345</v>
      </c>
      <c r="K876" t="s">
        <v>23</v>
      </c>
      <c r="L876" t="b">
        <v>1</v>
      </c>
    </row>
    <row r="877" spans="1:12" x14ac:dyDescent="0.3">
      <c r="A877" t="s">
        <v>1011</v>
      </c>
      <c r="B877" t="s">
        <v>67</v>
      </c>
      <c r="C877" t="s">
        <v>37</v>
      </c>
      <c r="D877">
        <v>30</v>
      </c>
      <c r="E877" t="s">
        <v>15</v>
      </c>
      <c r="F877" t="s">
        <v>28</v>
      </c>
      <c r="G877" s="1">
        <v>44168</v>
      </c>
      <c r="H877">
        <v>80706.28</v>
      </c>
      <c r="I877" t="s">
        <v>69</v>
      </c>
      <c r="J877">
        <v>-605603566</v>
      </c>
      <c r="K877" t="s">
        <v>18</v>
      </c>
      <c r="L877" t="b">
        <v>1</v>
      </c>
    </row>
    <row r="878" spans="1:12" x14ac:dyDescent="0.3">
      <c r="A878" t="s">
        <v>1012</v>
      </c>
      <c r="B878" t="s">
        <v>25</v>
      </c>
      <c r="C878" t="s">
        <v>53</v>
      </c>
      <c r="D878">
        <v>30</v>
      </c>
      <c r="E878" t="s">
        <v>80</v>
      </c>
      <c r="F878" t="s">
        <v>28</v>
      </c>
      <c r="G878" s="1">
        <v>44601</v>
      </c>
      <c r="H878" t="s">
        <v>223</v>
      </c>
      <c r="I878" t="s">
        <v>134</v>
      </c>
      <c r="J878">
        <v>-9327986238</v>
      </c>
      <c r="K878" t="s">
        <v>30</v>
      </c>
      <c r="L878" t="b">
        <v>1</v>
      </c>
    </row>
    <row r="879" spans="1:12" x14ac:dyDescent="0.3">
      <c r="A879" t="s">
        <v>1013</v>
      </c>
      <c r="B879" t="s">
        <v>63</v>
      </c>
      <c r="C879" t="s">
        <v>53</v>
      </c>
      <c r="D879">
        <v>25</v>
      </c>
      <c r="E879" t="s">
        <v>141</v>
      </c>
      <c r="F879" t="s">
        <v>16</v>
      </c>
      <c r="G879" s="1">
        <v>44013</v>
      </c>
      <c r="H879">
        <v>99471.89</v>
      </c>
      <c r="I879" t="s">
        <v>104</v>
      </c>
      <c r="J879">
        <v>-8471690617</v>
      </c>
      <c r="K879" t="s">
        <v>18</v>
      </c>
      <c r="L879" t="b">
        <v>1</v>
      </c>
    </row>
    <row r="880" spans="1:12" x14ac:dyDescent="0.3">
      <c r="A880" t="s">
        <v>1014</v>
      </c>
      <c r="B880" t="s">
        <v>32</v>
      </c>
      <c r="C880" t="s">
        <v>26</v>
      </c>
      <c r="D880">
        <v>40</v>
      </c>
      <c r="E880" t="s">
        <v>192</v>
      </c>
      <c r="F880" t="s">
        <v>28</v>
      </c>
      <c r="G880" s="1">
        <v>44090</v>
      </c>
      <c r="H880">
        <v>64431.22</v>
      </c>
      <c r="I880" t="s">
        <v>224</v>
      </c>
      <c r="J880">
        <v>-1205464753</v>
      </c>
      <c r="K880" t="s">
        <v>40</v>
      </c>
      <c r="L880" t="b">
        <v>0</v>
      </c>
    </row>
    <row r="881" spans="1:12" x14ac:dyDescent="0.3">
      <c r="A881" t="s">
        <v>1015</v>
      </c>
      <c r="B881" t="s">
        <v>63</v>
      </c>
      <c r="C881" t="s">
        <v>26</v>
      </c>
      <c r="D881">
        <v>40</v>
      </c>
      <c r="E881" t="s">
        <v>169</v>
      </c>
      <c r="F881" t="s">
        <v>28</v>
      </c>
      <c r="G881" s="1">
        <v>45247</v>
      </c>
      <c r="H881">
        <v>52633.48</v>
      </c>
      <c r="I881" t="s">
        <v>251</v>
      </c>
      <c r="J881">
        <v>-8954787697</v>
      </c>
      <c r="K881" t="s">
        <v>30</v>
      </c>
      <c r="L881" t="b">
        <v>0</v>
      </c>
    </row>
    <row r="882" spans="1:12" x14ac:dyDescent="0.3">
      <c r="A882" t="s">
        <v>1016</v>
      </c>
      <c r="B882" t="s">
        <v>63</v>
      </c>
      <c r="C882" t="s">
        <v>26</v>
      </c>
      <c r="E882" t="s">
        <v>80</v>
      </c>
      <c r="F882" t="s">
        <v>33</v>
      </c>
      <c r="G882" s="1">
        <v>44543</v>
      </c>
      <c r="H882">
        <v>79315.009999999995</v>
      </c>
      <c r="I882" t="s">
        <v>251</v>
      </c>
      <c r="J882">
        <v>-9992751757</v>
      </c>
      <c r="K882" t="s">
        <v>40</v>
      </c>
      <c r="L882" t="b">
        <v>1</v>
      </c>
    </row>
    <row r="883" spans="1:12" x14ac:dyDescent="0.3">
      <c r="A883" t="s">
        <v>1017</v>
      </c>
      <c r="B883" t="s">
        <v>57</v>
      </c>
      <c r="C883" t="s">
        <v>86</v>
      </c>
      <c r="D883">
        <v>25</v>
      </c>
      <c r="E883" t="s">
        <v>43</v>
      </c>
      <c r="F883" t="s">
        <v>28</v>
      </c>
      <c r="G883" s="1">
        <v>44572</v>
      </c>
      <c r="H883">
        <v>110391.17</v>
      </c>
      <c r="I883" t="s">
        <v>98</v>
      </c>
      <c r="J883">
        <v>-8914444982</v>
      </c>
      <c r="K883" t="s">
        <v>23</v>
      </c>
      <c r="L883" t="b">
        <v>0</v>
      </c>
    </row>
    <row r="884" spans="1:12" x14ac:dyDescent="0.3">
      <c r="A884" t="s">
        <v>1018</v>
      </c>
      <c r="B884" t="s">
        <v>57</v>
      </c>
      <c r="C884" t="s">
        <v>37</v>
      </c>
      <c r="D884">
        <v>40</v>
      </c>
      <c r="E884" t="s">
        <v>258</v>
      </c>
      <c r="F884" t="s">
        <v>16</v>
      </c>
      <c r="G884" s="1">
        <v>44397</v>
      </c>
      <c r="H884">
        <v>53714.83</v>
      </c>
      <c r="I884" t="s">
        <v>59</v>
      </c>
      <c r="J884">
        <v>-5539354357</v>
      </c>
      <c r="K884" t="s">
        <v>23</v>
      </c>
      <c r="L884" t="b">
        <v>1</v>
      </c>
    </row>
    <row r="885" spans="1:12" x14ac:dyDescent="0.3">
      <c r="A885" t="s">
        <v>1019</v>
      </c>
      <c r="B885" t="s">
        <v>52</v>
      </c>
      <c r="C885" t="s">
        <v>42</v>
      </c>
      <c r="D885">
        <v>40</v>
      </c>
      <c r="E885" t="s">
        <v>190</v>
      </c>
      <c r="F885" t="s">
        <v>16</v>
      </c>
      <c r="G885" s="1">
        <v>45203</v>
      </c>
      <c r="H885">
        <v>114587.11</v>
      </c>
      <c r="I885" t="s">
        <v>81</v>
      </c>
      <c r="J885">
        <v>-6449639242</v>
      </c>
      <c r="K885" t="s">
        <v>23</v>
      </c>
      <c r="L885" t="b">
        <v>1</v>
      </c>
    </row>
    <row r="886" spans="1:12" x14ac:dyDescent="0.3">
      <c r="A886" t="s">
        <v>1020</v>
      </c>
      <c r="B886" t="s">
        <v>36</v>
      </c>
      <c r="C886" t="s">
        <v>42</v>
      </c>
      <c r="D886">
        <v>35</v>
      </c>
      <c r="E886" t="s">
        <v>176</v>
      </c>
      <c r="F886" t="s">
        <v>33</v>
      </c>
      <c r="G886" s="1">
        <v>44515</v>
      </c>
      <c r="H886">
        <v>93177.35</v>
      </c>
      <c r="I886" t="s">
        <v>157</v>
      </c>
      <c r="J886">
        <v>-5885379820</v>
      </c>
      <c r="K886" t="s">
        <v>18</v>
      </c>
      <c r="L886" t="b">
        <v>0</v>
      </c>
    </row>
    <row r="887" spans="1:12" x14ac:dyDescent="0.3">
      <c r="A887" t="s">
        <v>1021</v>
      </c>
      <c r="B887" t="s">
        <v>63</v>
      </c>
      <c r="C887" t="s">
        <v>26</v>
      </c>
      <c r="D887">
        <v>25</v>
      </c>
      <c r="E887" t="s">
        <v>80</v>
      </c>
      <c r="F887" t="s">
        <v>16</v>
      </c>
      <c r="G887" s="1">
        <v>44931</v>
      </c>
      <c r="H887">
        <v>62312.13</v>
      </c>
      <c r="I887" t="s">
        <v>251</v>
      </c>
      <c r="J887">
        <v>-4339527535</v>
      </c>
      <c r="K887" t="s">
        <v>30</v>
      </c>
      <c r="L887" t="b">
        <v>0</v>
      </c>
    </row>
    <row r="888" spans="1:12" x14ac:dyDescent="0.3">
      <c r="A888" t="s">
        <v>1022</v>
      </c>
      <c r="B888" t="s">
        <v>63</v>
      </c>
      <c r="C888" t="s">
        <v>111</v>
      </c>
      <c r="E888" t="s">
        <v>141</v>
      </c>
      <c r="F888" t="s">
        <v>16</v>
      </c>
      <c r="G888" s="1">
        <v>45308</v>
      </c>
      <c r="H888">
        <v>81137.460000000006</v>
      </c>
      <c r="I888" t="s">
        <v>284</v>
      </c>
      <c r="J888">
        <v>-7497852490</v>
      </c>
      <c r="K888" t="s">
        <v>23</v>
      </c>
      <c r="L888" t="b">
        <v>0</v>
      </c>
    </row>
    <row r="889" spans="1:12" x14ac:dyDescent="0.3">
      <c r="A889" t="s">
        <v>1023</v>
      </c>
      <c r="B889" t="s">
        <v>67</v>
      </c>
      <c r="C889" t="s">
        <v>86</v>
      </c>
      <c r="D889">
        <v>30</v>
      </c>
      <c r="E889" t="s">
        <v>258</v>
      </c>
      <c r="F889" t="s">
        <v>33</v>
      </c>
      <c r="G889" s="1">
        <v>44302</v>
      </c>
      <c r="H889">
        <v>104528.27</v>
      </c>
      <c r="I889" t="s">
        <v>147</v>
      </c>
      <c r="J889">
        <v>-4168601346</v>
      </c>
      <c r="K889" t="s">
        <v>23</v>
      </c>
      <c r="L889" t="b">
        <v>0</v>
      </c>
    </row>
    <row r="890" spans="1:12" x14ac:dyDescent="0.3">
      <c r="A890" t="s">
        <v>1024</v>
      </c>
      <c r="B890" t="s">
        <v>13</v>
      </c>
      <c r="C890" t="s">
        <v>20</v>
      </c>
      <c r="D890">
        <v>30</v>
      </c>
      <c r="E890" t="s">
        <v>192</v>
      </c>
      <c r="F890" t="s">
        <v>16</v>
      </c>
      <c r="G890" s="1">
        <v>44600</v>
      </c>
      <c r="H890">
        <v>112395.56</v>
      </c>
      <c r="I890" t="s">
        <v>22</v>
      </c>
      <c r="J890">
        <v>-7894896339</v>
      </c>
      <c r="K890" t="s">
        <v>30</v>
      </c>
      <c r="L890" t="b">
        <v>0</v>
      </c>
    </row>
    <row r="891" spans="1:12" x14ac:dyDescent="0.3">
      <c r="A891" t="s">
        <v>1025</v>
      </c>
      <c r="B891" t="s">
        <v>63</v>
      </c>
      <c r="C891" t="s">
        <v>111</v>
      </c>
      <c r="D891">
        <v>25</v>
      </c>
      <c r="E891" t="s">
        <v>190</v>
      </c>
      <c r="F891" t="s">
        <v>16</v>
      </c>
      <c r="G891" s="1">
        <v>45079</v>
      </c>
      <c r="H891">
        <v>81849.36</v>
      </c>
      <c r="I891" t="s">
        <v>284</v>
      </c>
      <c r="J891">
        <v>-6791766511</v>
      </c>
      <c r="K891" t="s">
        <v>23</v>
      </c>
      <c r="L891" t="b">
        <v>0</v>
      </c>
    </row>
    <row r="892" spans="1:12" x14ac:dyDescent="0.3">
      <c r="A892" t="s">
        <v>1026</v>
      </c>
      <c r="B892" t="s">
        <v>52</v>
      </c>
      <c r="C892" t="s">
        <v>14</v>
      </c>
      <c r="D892">
        <v>40</v>
      </c>
      <c r="E892" t="s">
        <v>54</v>
      </c>
      <c r="F892" t="s">
        <v>28</v>
      </c>
      <c r="G892" s="1">
        <v>44565</v>
      </c>
      <c r="H892">
        <v>118288.91</v>
      </c>
      <c r="I892" t="s">
        <v>149</v>
      </c>
      <c r="J892">
        <v>-2150014187</v>
      </c>
      <c r="K892" t="s">
        <v>40</v>
      </c>
      <c r="L892" t="b">
        <v>0</v>
      </c>
    </row>
    <row r="893" spans="1:12" x14ac:dyDescent="0.3">
      <c r="A893" t="s">
        <v>1027</v>
      </c>
      <c r="B893" t="s">
        <v>52</v>
      </c>
      <c r="C893" t="s">
        <v>14</v>
      </c>
      <c r="D893">
        <v>25</v>
      </c>
      <c r="E893" t="s">
        <v>75</v>
      </c>
      <c r="F893" t="s">
        <v>16</v>
      </c>
      <c r="G893" s="1">
        <v>44405</v>
      </c>
      <c r="H893">
        <v>59555.1</v>
      </c>
      <c r="I893" t="s">
        <v>149</v>
      </c>
      <c r="J893">
        <v>-4216309000</v>
      </c>
      <c r="K893" t="s">
        <v>30</v>
      </c>
      <c r="L893" t="b">
        <v>1</v>
      </c>
    </row>
    <row r="894" spans="1:12" x14ac:dyDescent="0.3">
      <c r="A894" t="s">
        <v>1028</v>
      </c>
      <c r="B894" t="s">
        <v>63</v>
      </c>
      <c r="C894" t="s">
        <v>111</v>
      </c>
      <c r="D894">
        <v>40</v>
      </c>
      <c r="E894" t="s">
        <v>108</v>
      </c>
      <c r="F894" t="s">
        <v>16</v>
      </c>
      <c r="G894" s="1">
        <v>45646</v>
      </c>
      <c r="H894">
        <v>70661.31</v>
      </c>
      <c r="I894" t="s">
        <v>284</v>
      </c>
      <c r="J894">
        <v>-5944633398</v>
      </c>
      <c r="K894" t="s">
        <v>30</v>
      </c>
      <c r="L894" t="b">
        <v>1</v>
      </c>
    </row>
    <row r="895" spans="1:12" x14ac:dyDescent="0.3">
      <c r="A895" t="s">
        <v>1029</v>
      </c>
      <c r="B895" t="s">
        <v>52</v>
      </c>
      <c r="C895" t="s">
        <v>26</v>
      </c>
      <c r="E895" t="s">
        <v>100</v>
      </c>
      <c r="F895" t="s">
        <v>16</v>
      </c>
      <c r="G895" s="1">
        <v>44674</v>
      </c>
      <c r="H895">
        <v>109988.16</v>
      </c>
      <c r="I895" t="s">
        <v>109</v>
      </c>
      <c r="J895">
        <v>-9485320894</v>
      </c>
      <c r="K895" t="s">
        <v>30</v>
      </c>
      <c r="L895" t="b">
        <v>1</v>
      </c>
    </row>
    <row r="896" spans="1:12" x14ac:dyDescent="0.3">
      <c r="A896" t="s">
        <v>1030</v>
      </c>
      <c r="B896" t="s">
        <v>57</v>
      </c>
      <c r="C896" t="s">
        <v>20</v>
      </c>
      <c r="E896" t="s">
        <v>103</v>
      </c>
      <c r="F896" t="s">
        <v>33</v>
      </c>
      <c r="G896" s="1">
        <v>43860</v>
      </c>
      <c r="H896">
        <v>101101.24</v>
      </c>
      <c r="I896" t="s">
        <v>188</v>
      </c>
      <c r="J896">
        <v>-3263890218</v>
      </c>
      <c r="K896" t="s">
        <v>40</v>
      </c>
      <c r="L896" t="b">
        <v>1</v>
      </c>
    </row>
    <row r="897" spans="1:12" x14ac:dyDescent="0.3">
      <c r="A897" t="s">
        <v>1031</v>
      </c>
      <c r="B897" t="s">
        <v>57</v>
      </c>
      <c r="C897" t="s">
        <v>20</v>
      </c>
      <c r="D897">
        <v>30</v>
      </c>
      <c r="E897" t="s">
        <v>180</v>
      </c>
      <c r="F897" t="s">
        <v>28</v>
      </c>
      <c r="G897" s="1">
        <v>44286</v>
      </c>
      <c r="H897">
        <v>112427.58</v>
      </c>
      <c r="I897" t="s">
        <v>188</v>
      </c>
      <c r="J897">
        <v>-9471136336</v>
      </c>
      <c r="K897" t="s">
        <v>30</v>
      </c>
      <c r="L897" t="b">
        <v>1</v>
      </c>
    </row>
    <row r="898" spans="1:12" x14ac:dyDescent="0.3">
      <c r="A898" t="s">
        <v>1032</v>
      </c>
      <c r="B898" t="s">
        <v>52</v>
      </c>
      <c r="C898" t="s">
        <v>86</v>
      </c>
      <c r="E898" t="s">
        <v>38</v>
      </c>
      <c r="F898" t="s">
        <v>16</v>
      </c>
      <c r="G898" s="1">
        <v>43913</v>
      </c>
      <c r="H898">
        <v>119389.15</v>
      </c>
      <c r="I898" t="s">
        <v>371</v>
      </c>
      <c r="J898">
        <v>-9223410345</v>
      </c>
      <c r="K898" t="s">
        <v>40</v>
      </c>
      <c r="L898" t="b">
        <v>0</v>
      </c>
    </row>
    <row r="899" spans="1:12" x14ac:dyDescent="0.3">
      <c r="A899" t="s">
        <v>1033</v>
      </c>
      <c r="B899" t="s">
        <v>25</v>
      </c>
      <c r="C899" t="s">
        <v>20</v>
      </c>
      <c r="D899">
        <v>40</v>
      </c>
      <c r="E899" t="s">
        <v>72</v>
      </c>
      <c r="F899" t="s">
        <v>33</v>
      </c>
      <c r="G899" s="1">
        <v>45489</v>
      </c>
      <c r="H899">
        <v>105861.23</v>
      </c>
      <c r="I899" t="s">
        <v>76</v>
      </c>
      <c r="J899">
        <v>-9967331166</v>
      </c>
      <c r="K899" t="s">
        <v>30</v>
      </c>
      <c r="L899" t="b">
        <v>1</v>
      </c>
    </row>
    <row r="900" spans="1:12" x14ac:dyDescent="0.3">
      <c r="A900" t="s">
        <v>1034</v>
      </c>
      <c r="B900" t="s">
        <v>63</v>
      </c>
      <c r="C900" t="s">
        <v>14</v>
      </c>
      <c r="D900">
        <v>40</v>
      </c>
      <c r="E900" t="s">
        <v>96</v>
      </c>
      <c r="F900" t="s">
        <v>28</v>
      </c>
      <c r="G900" s="1">
        <v>45373</v>
      </c>
      <c r="H900">
        <v>50869.61</v>
      </c>
      <c r="I900" t="s">
        <v>301</v>
      </c>
      <c r="J900">
        <v>-7269608436</v>
      </c>
      <c r="K900" t="s">
        <v>18</v>
      </c>
      <c r="L900" t="b">
        <v>1</v>
      </c>
    </row>
    <row r="901" spans="1:12" x14ac:dyDescent="0.3">
      <c r="A901" t="s">
        <v>1035</v>
      </c>
      <c r="B901" t="s">
        <v>57</v>
      </c>
      <c r="C901" t="s">
        <v>37</v>
      </c>
      <c r="D901">
        <v>30</v>
      </c>
      <c r="E901" t="s">
        <v>131</v>
      </c>
      <c r="F901" t="s">
        <v>16</v>
      </c>
      <c r="G901" s="1">
        <v>45157</v>
      </c>
      <c r="H901" t="s">
        <v>223</v>
      </c>
      <c r="I901" t="s">
        <v>59</v>
      </c>
      <c r="J901">
        <v>-6855078966</v>
      </c>
      <c r="K901" t="s">
        <v>23</v>
      </c>
      <c r="L901" t="b">
        <v>1</v>
      </c>
    </row>
    <row r="902" spans="1:12" x14ac:dyDescent="0.3">
      <c r="A902" t="s">
        <v>1036</v>
      </c>
      <c r="B902" t="s">
        <v>32</v>
      </c>
      <c r="C902" t="s">
        <v>26</v>
      </c>
      <c r="D902">
        <v>30</v>
      </c>
      <c r="E902" t="s">
        <v>192</v>
      </c>
      <c r="F902" t="s">
        <v>28</v>
      </c>
      <c r="G902" s="1">
        <v>45361</v>
      </c>
      <c r="H902">
        <v>90856.21</v>
      </c>
      <c r="I902" t="s">
        <v>224</v>
      </c>
      <c r="J902">
        <v>-9352196262</v>
      </c>
      <c r="K902" t="s">
        <v>18</v>
      </c>
      <c r="L902" t="b">
        <v>1</v>
      </c>
    </row>
    <row r="903" spans="1:12" x14ac:dyDescent="0.3">
      <c r="A903" t="s">
        <v>1037</v>
      </c>
      <c r="B903" t="s">
        <v>63</v>
      </c>
      <c r="C903" t="s">
        <v>20</v>
      </c>
      <c r="D903">
        <v>30</v>
      </c>
      <c r="E903" t="s">
        <v>192</v>
      </c>
      <c r="F903" t="s">
        <v>16</v>
      </c>
      <c r="G903" s="1">
        <v>45448</v>
      </c>
      <c r="H903">
        <v>111008.63</v>
      </c>
      <c r="I903" t="s">
        <v>307</v>
      </c>
      <c r="J903">
        <v>-3556434368</v>
      </c>
      <c r="K903" t="s">
        <v>23</v>
      </c>
      <c r="L903" t="b">
        <v>1</v>
      </c>
    </row>
    <row r="904" spans="1:12" x14ac:dyDescent="0.3">
      <c r="A904" t="s">
        <v>1038</v>
      </c>
      <c r="B904" t="s">
        <v>25</v>
      </c>
      <c r="C904" t="s">
        <v>86</v>
      </c>
      <c r="D904">
        <v>25</v>
      </c>
      <c r="E904" t="s">
        <v>93</v>
      </c>
      <c r="F904" t="s">
        <v>33</v>
      </c>
      <c r="G904" s="1">
        <v>44918</v>
      </c>
      <c r="H904">
        <v>52289.99</v>
      </c>
      <c r="I904" t="s">
        <v>145</v>
      </c>
      <c r="J904">
        <v>-7093170694</v>
      </c>
      <c r="K904" t="s">
        <v>40</v>
      </c>
      <c r="L904" t="b">
        <v>1</v>
      </c>
    </row>
    <row r="905" spans="1:12" x14ac:dyDescent="0.3">
      <c r="A905" t="s">
        <v>1039</v>
      </c>
      <c r="B905" t="s">
        <v>32</v>
      </c>
      <c r="C905" t="s">
        <v>14</v>
      </c>
      <c r="E905" t="s">
        <v>91</v>
      </c>
      <c r="F905" t="s">
        <v>16</v>
      </c>
      <c r="G905" s="1">
        <v>45444</v>
      </c>
      <c r="H905">
        <v>97926.56</v>
      </c>
      <c r="I905" t="s">
        <v>34</v>
      </c>
      <c r="J905">
        <v>-5607676163</v>
      </c>
      <c r="K905" t="s">
        <v>18</v>
      </c>
      <c r="L905" t="b">
        <v>1</v>
      </c>
    </row>
    <row r="906" spans="1:12" x14ac:dyDescent="0.3">
      <c r="A906" t="s">
        <v>1040</v>
      </c>
      <c r="B906" t="s">
        <v>36</v>
      </c>
      <c r="C906" t="s">
        <v>37</v>
      </c>
      <c r="D906">
        <v>25</v>
      </c>
      <c r="E906" t="s">
        <v>185</v>
      </c>
      <c r="F906" t="s">
        <v>33</v>
      </c>
      <c r="G906" s="1">
        <v>45649</v>
      </c>
      <c r="H906">
        <v>53609.38</v>
      </c>
      <c r="I906" t="s">
        <v>39</v>
      </c>
      <c r="J906">
        <v>-5345472238</v>
      </c>
      <c r="K906" t="s">
        <v>30</v>
      </c>
      <c r="L906" t="b">
        <v>0</v>
      </c>
    </row>
    <row r="907" spans="1:12" x14ac:dyDescent="0.3">
      <c r="A907" t="s">
        <v>1041</v>
      </c>
      <c r="B907" t="s">
        <v>63</v>
      </c>
      <c r="C907" t="s">
        <v>53</v>
      </c>
      <c r="E907" t="s">
        <v>217</v>
      </c>
      <c r="F907" t="s">
        <v>33</v>
      </c>
      <c r="G907" s="1">
        <v>44189</v>
      </c>
      <c r="H907">
        <v>95372.09</v>
      </c>
      <c r="I907" t="s">
        <v>104</v>
      </c>
      <c r="J907">
        <v>-8983065030</v>
      </c>
      <c r="K907" t="s">
        <v>23</v>
      </c>
      <c r="L907" t="b">
        <v>0</v>
      </c>
    </row>
    <row r="908" spans="1:12" x14ac:dyDescent="0.3">
      <c r="A908" t="s">
        <v>1042</v>
      </c>
      <c r="B908" t="s">
        <v>57</v>
      </c>
      <c r="C908" t="s">
        <v>53</v>
      </c>
      <c r="D908">
        <v>30</v>
      </c>
      <c r="E908" t="s">
        <v>64</v>
      </c>
      <c r="F908" t="s">
        <v>28</v>
      </c>
      <c r="G908" s="1">
        <v>44063</v>
      </c>
      <c r="H908">
        <v>95432.69</v>
      </c>
      <c r="I908" t="s">
        <v>183</v>
      </c>
      <c r="J908">
        <v>-2198041846</v>
      </c>
      <c r="K908" t="s">
        <v>23</v>
      </c>
      <c r="L908" t="b">
        <v>1</v>
      </c>
    </row>
    <row r="909" spans="1:12" x14ac:dyDescent="0.3">
      <c r="A909" t="s">
        <v>1043</v>
      </c>
      <c r="B909" t="s">
        <v>57</v>
      </c>
      <c r="C909" t="s">
        <v>37</v>
      </c>
      <c r="D909">
        <v>30</v>
      </c>
      <c r="E909" t="s">
        <v>131</v>
      </c>
      <c r="F909" t="s">
        <v>33</v>
      </c>
      <c r="G909" s="1">
        <v>44862</v>
      </c>
      <c r="H909">
        <v>97615.87</v>
      </c>
      <c r="I909" t="s">
        <v>59</v>
      </c>
      <c r="J909">
        <v>-2426423641</v>
      </c>
      <c r="K909" t="s">
        <v>18</v>
      </c>
      <c r="L909" t="b">
        <v>0</v>
      </c>
    </row>
    <row r="910" spans="1:12" x14ac:dyDescent="0.3">
      <c r="A910" t="s">
        <v>1044</v>
      </c>
      <c r="B910" t="s">
        <v>13</v>
      </c>
      <c r="C910" t="s">
        <v>14</v>
      </c>
      <c r="D910">
        <v>35</v>
      </c>
      <c r="E910" t="s">
        <v>180</v>
      </c>
      <c r="F910" t="s">
        <v>33</v>
      </c>
      <c r="G910" s="1">
        <v>44857</v>
      </c>
      <c r="H910">
        <v>86867.78</v>
      </c>
      <c r="I910" t="s">
        <v>17</v>
      </c>
      <c r="J910">
        <v>-8131909247</v>
      </c>
      <c r="K910" t="s">
        <v>40</v>
      </c>
      <c r="L910" t="b">
        <v>0</v>
      </c>
    </row>
    <row r="911" spans="1:12" x14ac:dyDescent="0.3">
      <c r="A911" t="s">
        <v>1045</v>
      </c>
      <c r="B911" t="s">
        <v>32</v>
      </c>
      <c r="C911" t="s">
        <v>86</v>
      </c>
      <c r="D911">
        <v>40</v>
      </c>
      <c r="E911" t="s">
        <v>155</v>
      </c>
      <c r="F911" t="s">
        <v>28</v>
      </c>
      <c r="G911" s="1">
        <v>45250</v>
      </c>
      <c r="H911">
        <v>106615.71</v>
      </c>
      <c r="I911" t="s">
        <v>213</v>
      </c>
      <c r="J911">
        <v>-7623039110</v>
      </c>
      <c r="K911" t="s">
        <v>18</v>
      </c>
      <c r="L911" t="b">
        <v>0</v>
      </c>
    </row>
    <row r="912" spans="1:12" x14ac:dyDescent="0.3">
      <c r="A912" t="s">
        <v>1046</v>
      </c>
      <c r="B912" t="s">
        <v>13</v>
      </c>
      <c r="C912" t="s">
        <v>37</v>
      </c>
      <c r="D912">
        <v>30</v>
      </c>
      <c r="E912" t="s">
        <v>21</v>
      </c>
      <c r="F912" t="s">
        <v>16</v>
      </c>
      <c r="G912" s="1">
        <v>44631</v>
      </c>
      <c r="H912">
        <v>112856.21</v>
      </c>
      <c r="I912" t="s">
        <v>129</v>
      </c>
      <c r="J912">
        <v>-4281785227</v>
      </c>
      <c r="K912" t="s">
        <v>40</v>
      </c>
      <c r="L912" t="b">
        <v>0</v>
      </c>
    </row>
    <row r="913" spans="1:12" x14ac:dyDescent="0.3">
      <c r="A913" t="s">
        <v>1047</v>
      </c>
      <c r="B913" t="s">
        <v>13</v>
      </c>
      <c r="C913" t="s">
        <v>26</v>
      </c>
      <c r="D913">
        <v>25</v>
      </c>
      <c r="E913" t="s">
        <v>108</v>
      </c>
      <c r="F913" t="s">
        <v>16</v>
      </c>
      <c r="G913" s="1">
        <v>45258</v>
      </c>
      <c r="H913">
        <v>60356.78</v>
      </c>
      <c r="I913" t="s">
        <v>48</v>
      </c>
      <c r="J913">
        <v>-2305248087</v>
      </c>
      <c r="K913" t="s">
        <v>40</v>
      </c>
      <c r="L913" t="b">
        <v>1</v>
      </c>
    </row>
    <row r="914" spans="1:12" x14ac:dyDescent="0.3">
      <c r="A914" t="s">
        <v>1048</v>
      </c>
      <c r="B914" t="s">
        <v>57</v>
      </c>
      <c r="C914" t="s">
        <v>26</v>
      </c>
      <c r="E914" t="s">
        <v>197</v>
      </c>
      <c r="F914" t="s">
        <v>33</v>
      </c>
      <c r="G914" s="1">
        <v>44684</v>
      </c>
      <c r="H914">
        <v>117870.22</v>
      </c>
      <c r="I914" t="s">
        <v>200</v>
      </c>
      <c r="J914">
        <v>-622072238</v>
      </c>
      <c r="K914" t="s">
        <v>23</v>
      </c>
      <c r="L914" t="b">
        <v>0</v>
      </c>
    </row>
    <row r="915" spans="1:12" x14ac:dyDescent="0.3">
      <c r="A915" t="s">
        <v>1049</v>
      </c>
      <c r="B915" t="s">
        <v>52</v>
      </c>
      <c r="C915" t="s">
        <v>53</v>
      </c>
      <c r="D915">
        <v>40</v>
      </c>
      <c r="E915" t="s">
        <v>180</v>
      </c>
      <c r="F915" t="s">
        <v>33</v>
      </c>
      <c r="G915" s="1">
        <v>45341</v>
      </c>
      <c r="H915">
        <v>95127.91</v>
      </c>
      <c r="I915" t="s">
        <v>55</v>
      </c>
      <c r="J915">
        <v>-5947372131</v>
      </c>
      <c r="K915" t="s">
        <v>18</v>
      </c>
      <c r="L915" t="b">
        <v>0</v>
      </c>
    </row>
    <row r="916" spans="1:12" x14ac:dyDescent="0.3">
      <c r="A916" t="s">
        <v>1050</v>
      </c>
      <c r="B916" t="s">
        <v>13</v>
      </c>
      <c r="C916" t="s">
        <v>20</v>
      </c>
      <c r="D916">
        <v>25</v>
      </c>
      <c r="E916" t="s">
        <v>83</v>
      </c>
      <c r="F916" t="s">
        <v>28</v>
      </c>
      <c r="G916" s="1">
        <v>44518</v>
      </c>
      <c r="H916">
        <v>78818.42</v>
      </c>
      <c r="I916" t="s">
        <v>22</v>
      </c>
      <c r="J916">
        <v>-9016204786</v>
      </c>
      <c r="K916" t="s">
        <v>18</v>
      </c>
      <c r="L916" t="b">
        <v>0</v>
      </c>
    </row>
    <row r="917" spans="1:12" x14ac:dyDescent="0.3">
      <c r="A917" t="s">
        <v>1051</v>
      </c>
      <c r="B917" t="s">
        <v>36</v>
      </c>
      <c r="C917" t="s">
        <v>86</v>
      </c>
      <c r="D917">
        <v>40</v>
      </c>
      <c r="E917" t="s">
        <v>185</v>
      </c>
      <c r="F917" t="s">
        <v>28</v>
      </c>
      <c r="G917" s="1">
        <v>44916</v>
      </c>
      <c r="H917">
        <v>108933.55</v>
      </c>
      <c r="I917" t="s">
        <v>101</v>
      </c>
      <c r="J917">
        <v>-6886878598</v>
      </c>
      <c r="K917" t="s">
        <v>40</v>
      </c>
      <c r="L917" t="b">
        <v>1</v>
      </c>
    </row>
    <row r="918" spans="1:12" x14ac:dyDescent="0.3">
      <c r="A918" t="s">
        <v>1052</v>
      </c>
      <c r="B918" t="s">
        <v>32</v>
      </c>
      <c r="C918" t="s">
        <v>53</v>
      </c>
      <c r="E918" t="s">
        <v>108</v>
      </c>
      <c r="F918" t="s">
        <v>16</v>
      </c>
      <c r="G918" s="1">
        <v>45447</v>
      </c>
      <c r="H918">
        <v>68200.52</v>
      </c>
      <c r="I918" t="s">
        <v>254</v>
      </c>
      <c r="J918">
        <v>-6486287202</v>
      </c>
      <c r="K918" t="s">
        <v>18</v>
      </c>
      <c r="L918" t="b">
        <v>1</v>
      </c>
    </row>
    <row r="919" spans="1:12" x14ac:dyDescent="0.3">
      <c r="A919" t="s">
        <v>1053</v>
      </c>
      <c r="B919" t="s">
        <v>32</v>
      </c>
      <c r="C919" t="s">
        <v>20</v>
      </c>
      <c r="D919">
        <v>25</v>
      </c>
      <c r="E919" t="s">
        <v>108</v>
      </c>
      <c r="F919" t="s">
        <v>33</v>
      </c>
      <c r="G919" s="1">
        <v>44764</v>
      </c>
      <c r="H919">
        <v>116934.97</v>
      </c>
      <c r="I919" t="s">
        <v>138</v>
      </c>
      <c r="J919">
        <v>-1954196663</v>
      </c>
      <c r="K919" t="s">
        <v>30</v>
      </c>
      <c r="L919" t="b">
        <v>1</v>
      </c>
    </row>
    <row r="920" spans="1:12" x14ac:dyDescent="0.3">
      <c r="A920" t="s">
        <v>1054</v>
      </c>
      <c r="B920" t="s">
        <v>52</v>
      </c>
      <c r="C920" t="s">
        <v>20</v>
      </c>
      <c r="E920" t="s">
        <v>64</v>
      </c>
      <c r="F920" t="s">
        <v>16</v>
      </c>
      <c r="G920" s="1">
        <v>45549</v>
      </c>
      <c r="H920">
        <v>99567.78</v>
      </c>
      <c r="I920" t="s">
        <v>114</v>
      </c>
      <c r="J920">
        <v>-5057303626</v>
      </c>
      <c r="K920" t="s">
        <v>30</v>
      </c>
      <c r="L920" t="b">
        <v>1</v>
      </c>
    </row>
    <row r="921" spans="1:12" x14ac:dyDescent="0.3">
      <c r="A921" t="s">
        <v>1055</v>
      </c>
      <c r="B921" t="s">
        <v>52</v>
      </c>
      <c r="C921" t="s">
        <v>42</v>
      </c>
      <c r="D921">
        <v>30</v>
      </c>
      <c r="E921" t="s">
        <v>96</v>
      </c>
      <c r="F921" t="s">
        <v>16</v>
      </c>
      <c r="G921" s="1">
        <v>44479</v>
      </c>
      <c r="H921">
        <v>90216.76</v>
      </c>
      <c r="I921" t="s">
        <v>81</v>
      </c>
      <c r="J921">
        <v>-9246320373</v>
      </c>
      <c r="K921" t="s">
        <v>18</v>
      </c>
      <c r="L921" t="b">
        <v>1</v>
      </c>
    </row>
    <row r="922" spans="1:12" x14ac:dyDescent="0.3">
      <c r="A922" t="s">
        <v>1056</v>
      </c>
      <c r="B922" t="s">
        <v>36</v>
      </c>
      <c r="C922" t="s">
        <v>26</v>
      </c>
      <c r="D922">
        <v>30</v>
      </c>
      <c r="E922" t="s">
        <v>83</v>
      </c>
      <c r="F922" t="s">
        <v>28</v>
      </c>
      <c r="G922" s="1">
        <v>43902</v>
      </c>
      <c r="H922">
        <v>96588.73</v>
      </c>
      <c r="I922" t="s">
        <v>46</v>
      </c>
      <c r="J922">
        <v>-7677537259</v>
      </c>
      <c r="K922" t="s">
        <v>18</v>
      </c>
      <c r="L922" t="b">
        <v>1</v>
      </c>
    </row>
    <row r="923" spans="1:12" x14ac:dyDescent="0.3">
      <c r="A923" t="s">
        <v>1057</v>
      </c>
      <c r="B923" t="s">
        <v>52</v>
      </c>
      <c r="C923" t="s">
        <v>14</v>
      </c>
      <c r="D923">
        <v>35</v>
      </c>
      <c r="E923" t="s">
        <v>215</v>
      </c>
      <c r="F923" t="s">
        <v>16</v>
      </c>
      <c r="G923" s="1">
        <v>44923</v>
      </c>
      <c r="H923">
        <v>71109.179999999993</v>
      </c>
      <c r="I923" t="s">
        <v>149</v>
      </c>
      <c r="J923">
        <v>-3214505765</v>
      </c>
      <c r="K923" t="s">
        <v>40</v>
      </c>
      <c r="L923" t="b">
        <v>1</v>
      </c>
    </row>
    <row r="924" spans="1:12" x14ac:dyDescent="0.3">
      <c r="A924" t="s">
        <v>1058</v>
      </c>
      <c r="B924" t="s">
        <v>67</v>
      </c>
      <c r="C924" t="s">
        <v>111</v>
      </c>
      <c r="D924">
        <v>40</v>
      </c>
      <c r="E924" t="s">
        <v>176</v>
      </c>
      <c r="F924" t="s">
        <v>33</v>
      </c>
      <c r="G924" s="1">
        <v>44150</v>
      </c>
      <c r="H924">
        <v>50300.6</v>
      </c>
      <c r="I924" t="s">
        <v>122</v>
      </c>
      <c r="J924">
        <v>-1945887070</v>
      </c>
      <c r="K924" t="s">
        <v>30</v>
      </c>
      <c r="L924" t="b">
        <v>0</v>
      </c>
    </row>
    <row r="925" spans="1:12" x14ac:dyDescent="0.3">
      <c r="A925" t="s">
        <v>1059</v>
      </c>
      <c r="B925" t="s">
        <v>36</v>
      </c>
      <c r="C925" t="s">
        <v>14</v>
      </c>
      <c r="D925">
        <v>35</v>
      </c>
      <c r="E925" t="s">
        <v>68</v>
      </c>
      <c r="F925" t="s">
        <v>28</v>
      </c>
      <c r="G925" s="1">
        <v>45196</v>
      </c>
      <c r="H925">
        <v>60295.839999999997</v>
      </c>
      <c r="I925" t="s">
        <v>50</v>
      </c>
      <c r="J925">
        <v>-5534820127</v>
      </c>
      <c r="K925" t="s">
        <v>30</v>
      </c>
      <c r="L925" t="b">
        <v>0</v>
      </c>
    </row>
    <row r="926" spans="1:12" x14ac:dyDescent="0.3">
      <c r="A926" t="s">
        <v>1060</v>
      </c>
      <c r="B926" t="s">
        <v>63</v>
      </c>
      <c r="C926" t="s">
        <v>111</v>
      </c>
      <c r="D926">
        <v>35</v>
      </c>
      <c r="E926" t="s">
        <v>197</v>
      </c>
      <c r="F926" t="s">
        <v>28</v>
      </c>
      <c r="G926" s="1">
        <v>44811</v>
      </c>
      <c r="H926">
        <v>113012.21</v>
      </c>
      <c r="I926" t="s">
        <v>284</v>
      </c>
      <c r="J926">
        <v>-4008385075</v>
      </c>
      <c r="K926" t="s">
        <v>23</v>
      </c>
      <c r="L926" t="b">
        <v>0</v>
      </c>
    </row>
    <row r="927" spans="1:12" x14ac:dyDescent="0.3">
      <c r="A927" t="s">
        <v>1061</v>
      </c>
      <c r="B927" t="s">
        <v>13</v>
      </c>
      <c r="C927" t="s">
        <v>37</v>
      </c>
      <c r="D927">
        <v>35</v>
      </c>
      <c r="E927" t="s">
        <v>38</v>
      </c>
      <c r="F927" t="s">
        <v>28</v>
      </c>
      <c r="G927" s="1">
        <v>45553</v>
      </c>
      <c r="H927">
        <v>65425.54</v>
      </c>
      <c r="I927" t="s">
        <v>129</v>
      </c>
      <c r="J927">
        <v>-5975954507</v>
      </c>
      <c r="K927" t="s">
        <v>40</v>
      </c>
      <c r="L927" t="b">
        <v>1</v>
      </c>
    </row>
    <row r="928" spans="1:12" x14ac:dyDescent="0.3">
      <c r="A928" t="s">
        <v>1062</v>
      </c>
      <c r="B928" t="s">
        <v>36</v>
      </c>
      <c r="C928" t="s">
        <v>26</v>
      </c>
      <c r="D928">
        <v>25</v>
      </c>
      <c r="E928" t="s">
        <v>185</v>
      </c>
      <c r="F928" t="s">
        <v>16</v>
      </c>
      <c r="G928" s="1">
        <v>45025</v>
      </c>
      <c r="H928">
        <v>86850.37</v>
      </c>
      <c r="I928" t="s">
        <v>46</v>
      </c>
      <c r="J928">
        <v>-9177680897</v>
      </c>
      <c r="K928" t="s">
        <v>23</v>
      </c>
      <c r="L928" t="b">
        <v>1</v>
      </c>
    </row>
    <row r="929" spans="1:12" x14ac:dyDescent="0.3">
      <c r="A929" t="s">
        <v>1063</v>
      </c>
      <c r="B929" t="s">
        <v>32</v>
      </c>
      <c r="C929" t="s">
        <v>20</v>
      </c>
      <c r="D929">
        <v>30</v>
      </c>
      <c r="E929" t="s">
        <v>141</v>
      </c>
      <c r="F929" t="s">
        <v>28</v>
      </c>
      <c r="G929" s="1">
        <v>45570</v>
      </c>
      <c r="H929">
        <v>81182.070000000007</v>
      </c>
      <c r="I929" t="s">
        <v>138</v>
      </c>
      <c r="J929">
        <v>-1265742230</v>
      </c>
      <c r="K929" t="s">
        <v>30</v>
      </c>
      <c r="L929" t="b">
        <v>1</v>
      </c>
    </row>
    <row r="930" spans="1:12" x14ac:dyDescent="0.3">
      <c r="A930" t="s">
        <v>1064</v>
      </c>
      <c r="B930" t="s">
        <v>13</v>
      </c>
      <c r="C930" t="s">
        <v>86</v>
      </c>
      <c r="E930" t="s">
        <v>190</v>
      </c>
      <c r="F930" t="s">
        <v>33</v>
      </c>
      <c r="G930" s="1">
        <v>44481</v>
      </c>
      <c r="H930">
        <v>92222.03</v>
      </c>
      <c r="I930" t="s">
        <v>87</v>
      </c>
      <c r="J930">
        <v>-9646300401</v>
      </c>
      <c r="K930" t="s">
        <v>40</v>
      </c>
      <c r="L930" t="b">
        <v>1</v>
      </c>
    </row>
    <row r="931" spans="1:12" x14ac:dyDescent="0.3">
      <c r="A931" t="s">
        <v>1065</v>
      </c>
      <c r="B931" t="s">
        <v>25</v>
      </c>
      <c r="C931" t="s">
        <v>111</v>
      </c>
      <c r="D931">
        <v>35</v>
      </c>
      <c r="E931" t="s">
        <v>190</v>
      </c>
      <c r="F931" t="s">
        <v>28</v>
      </c>
      <c r="G931" s="1">
        <v>45579</v>
      </c>
      <c r="H931">
        <v>79934.83</v>
      </c>
      <c r="I931" t="s">
        <v>159</v>
      </c>
      <c r="J931">
        <v>-3693626893</v>
      </c>
      <c r="K931" t="s">
        <v>18</v>
      </c>
      <c r="L931" t="b">
        <v>1</v>
      </c>
    </row>
    <row r="932" spans="1:12" x14ac:dyDescent="0.3">
      <c r="A932" t="s">
        <v>1066</v>
      </c>
      <c r="B932" t="s">
        <v>25</v>
      </c>
      <c r="C932" t="s">
        <v>14</v>
      </c>
      <c r="D932">
        <v>35</v>
      </c>
      <c r="E932" t="s">
        <v>131</v>
      </c>
      <c r="F932" t="s">
        <v>33</v>
      </c>
      <c r="G932" s="1">
        <v>44743</v>
      </c>
      <c r="H932">
        <v>111201.12</v>
      </c>
      <c r="I932" t="s">
        <v>143</v>
      </c>
      <c r="J932">
        <v>-3012047136</v>
      </c>
      <c r="K932" t="s">
        <v>40</v>
      </c>
      <c r="L932" t="b">
        <v>0</v>
      </c>
    </row>
    <row r="933" spans="1:12" x14ac:dyDescent="0.3">
      <c r="A933" t="s">
        <v>1067</v>
      </c>
      <c r="B933" t="s">
        <v>63</v>
      </c>
      <c r="C933" t="s">
        <v>20</v>
      </c>
      <c r="D933">
        <v>40</v>
      </c>
      <c r="E933" t="s">
        <v>68</v>
      </c>
      <c r="F933" t="s">
        <v>16</v>
      </c>
      <c r="G933" s="1">
        <v>45481</v>
      </c>
      <c r="H933">
        <v>100960.05</v>
      </c>
      <c r="I933" t="s">
        <v>307</v>
      </c>
      <c r="J933">
        <v>-2711759573</v>
      </c>
      <c r="K933" t="s">
        <v>18</v>
      </c>
      <c r="L933" t="b">
        <v>0</v>
      </c>
    </row>
    <row r="934" spans="1:12" x14ac:dyDescent="0.3">
      <c r="A934" t="s">
        <v>1068</v>
      </c>
      <c r="B934" t="s">
        <v>67</v>
      </c>
      <c r="C934" t="s">
        <v>111</v>
      </c>
      <c r="D934">
        <v>30</v>
      </c>
      <c r="E934" t="s">
        <v>91</v>
      </c>
      <c r="F934" t="s">
        <v>16</v>
      </c>
      <c r="G934" s="1">
        <v>44125</v>
      </c>
      <c r="H934">
        <v>64544.87</v>
      </c>
      <c r="I934" t="s">
        <v>122</v>
      </c>
      <c r="J934">
        <v>-9885582983</v>
      </c>
      <c r="K934" t="s">
        <v>18</v>
      </c>
      <c r="L934" t="b">
        <v>1</v>
      </c>
    </row>
    <row r="935" spans="1:12" x14ac:dyDescent="0.3">
      <c r="A935" t="s">
        <v>1069</v>
      </c>
      <c r="B935" t="s">
        <v>36</v>
      </c>
      <c r="C935" t="s">
        <v>111</v>
      </c>
      <c r="D935">
        <v>25</v>
      </c>
      <c r="E935" t="s">
        <v>72</v>
      </c>
      <c r="F935" t="s">
        <v>16</v>
      </c>
      <c r="G935" s="1">
        <v>43844</v>
      </c>
      <c r="H935">
        <v>78662.240000000005</v>
      </c>
      <c r="I935" t="s">
        <v>124</v>
      </c>
      <c r="J935">
        <v>-9330674583</v>
      </c>
      <c r="K935" t="s">
        <v>40</v>
      </c>
      <c r="L935" t="b">
        <v>1</v>
      </c>
    </row>
    <row r="936" spans="1:12" x14ac:dyDescent="0.3">
      <c r="A936" t="s">
        <v>1070</v>
      </c>
      <c r="B936" t="s">
        <v>67</v>
      </c>
      <c r="C936" t="s">
        <v>42</v>
      </c>
      <c r="D936">
        <v>30</v>
      </c>
      <c r="E936" t="s">
        <v>72</v>
      </c>
      <c r="F936" t="s">
        <v>28</v>
      </c>
      <c r="G936" s="1">
        <v>44994</v>
      </c>
      <c r="H936">
        <v>102867.06</v>
      </c>
      <c r="I936" t="s">
        <v>78</v>
      </c>
      <c r="J936">
        <v>-7609441282</v>
      </c>
      <c r="K936" t="s">
        <v>18</v>
      </c>
      <c r="L936" t="b">
        <v>1</v>
      </c>
    </row>
    <row r="937" spans="1:12" x14ac:dyDescent="0.3">
      <c r="A937" t="s">
        <v>1071</v>
      </c>
      <c r="B937" t="s">
        <v>52</v>
      </c>
      <c r="C937" t="s">
        <v>111</v>
      </c>
      <c r="D937">
        <v>40</v>
      </c>
      <c r="E937" t="s">
        <v>166</v>
      </c>
      <c r="F937" t="s">
        <v>33</v>
      </c>
      <c r="G937" s="1">
        <v>43917</v>
      </c>
      <c r="H937">
        <v>107595.95</v>
      </c>
      <c r="I937" t="s">
        <v>167</v>
      </c>
      <c r="J937">
        <v>-3372188565</v>
      </c>
      <c r="K937" t="s">
        <v>23</v>
      </c>
      <c r="L937" t="b">
        <v>1</v>
      </c>
    </row>
    <row r="938" spans="1:12" x14ac:dyDescent="0.3">
      <c r="A938" t="s">
        <v>1072</v>
      </c>
      <c r="B938" t="s">
        <v>32</v>
      </c>
      <c r="C938" t="s">
        <v>86</v>
      </c>
      <c r="D938">
        <v>40</v>
      </c>
      <c r="E938" t="s">
        <v>185</v>
      </c>
      <c r="F938" t="s">
        <v>33</v>
      </c>
      <c r="G938" s="1">
        <v>44290</v>
      </c>
      <c r="H938" t="s">
        <v>223</v>
      </c>
      <c r="I938" t="s">
        <v>213</v>
      </c>
      <c r="J938">
        <v>-6954132970</v>
      </c>
      <c r="K938" t="s">
        <v>30</v>
      </c>
      <c r="L938" t="b">
        <v>0</v>
      </c>
    </row>
    <row r="939" spans="1:12" x14ac:dyDescent="0.3">
      <c r="A939" t="s">
        <v>1073</v>
      </c>
      <c r="B939" t="s">
        <v>32</v>
      </c>
      <c r="C939" t="s">
        <v>26</v>
      </c>
      <c r="D939">
        <v>35</v>
      </c>
      <c r="E939" t="s">
        <v>258</v>
      </c>
      <c r="F939" t="s">
        <v>33</v>
      </c>
      <c r="G939" s="1">
        <v>44085</v>
      </c>
      <c r="H939">
        <v>95766.91</v>
      </c>
      <c r="I939" t="s">
        <v>224</v>
      </c>
      <c r="J939">
        <v>-5066626704</v>
      </c>
      <c r="K939" t="s">
        <v>18</v>
      </c>
      <c r="L939" t="b">
        <v>1</v>
      </c>
    </row>
    <row r="940" spans="1:12" x14ac:dyDescent="0.3">
      <c r="A940" t="s">
        <v>1074</v>
      </c>
      <c r="B940" t="s">
        <v>67</v>
      </c>
      <c r="C940" t="s">
        <v>86</v>
      </c>
      <c r="D940">
        <v>30</v>
      </c>
      <c r="E940" t="s">
        <v>93</v>
      </c>
      <c r="F940" t="s">
        <v>28</v>
      </c>
      <c r="G940" s="1">
        <v>44332</v>
      </c>
      <c r="H940">
        <v>51990.98</v>
      </c>
      <c r="I940" t="s">
        <v>147</v>
      </c>
      <c r="J940">
        <v>-5143776935</v>
      </c>
      <c r="K940" t="s">
        <v>23</v>
      </c>
      <c r="L940" t="b">
        <v>1</v>
      </c>
    </row>
    <row r="941" spans="1:12" x14ac:dyDescent="0.3">
      <c r="A941" t="s">
        <v>1075</v>
      </c>
      <c r="B941" t="s">
        <v>63</v>
      </c>
      <c r="C941" t="s">
        <v>53</v>
      </c>
      <c r="D941">
        <v>25</v>
      </c>
      <c r="E941" t="s">
        <v>185</v>
      </c>
      <c r="F941" t="s">
        <v>33</v>
      </c>
      <c r="G941" s="1">
        <v>45021</v>
      </c>
      <c r="H941">
        <v>83634.009999999995</v>
      </c>
      <c r="I941" t="s">
        <v>104</v>
      </c>
      <c r="J941">
        <v>-6343925294</v>
      </c>
      <c r="K941" t="s">
        <v>18</v>
      </c>
      <c r="L941" t="b">
        <v>1</v>
      </c>
    </row>
    <row r="942" spans="1:12" x14ac:dyDescent="0.3">
      <c r="A942" t="s">
        <v>1076</v>
      </c>
      <c r="B942" t="s">
        <v>32</v>
      </c>
      <c r="C942" t="s">
        <v>20</v>
      </c>
      <c r="D942">
        <v>40</v>
      </c>
      <c r="E942" t="s">
        <v>197</v>
      </c>
      <c r="F942" t="s">
        <v>33</v>
      </c>
      <c r="G942" s="1">
        <v>44880</v>
      </c>
      <c r="H942" t="s">
        <v>223</v>
      </c>
      <c r="I942" t="s">
        <v>138</v>
      </c>
      <c r="J942">
        <v>-9611110285</v>
      </c>
      <c r="K942" t="s">
        <v>30</v>
      </c>
      <c r="L942" t="b">
        <v>1</v>
      </c>
    </row>
    <row r="943" spans="1:12" x14ac:dyDescent="0.3">
      <c r="A943" t="s">
        <v>1077</v>
      </c>
      <c r="B943" t="s">
        <v>32</v>
      </c>
      <c r="C943" t="s">
        <v>26</v>
      </c>
      <c r="D943">
        <v>30</v>
      </c>
      <c r="E943" t="s">
        <v>43</v>
      </c>
      <c r="F943" t="s">
        <v>16</v>
      </c>
      <c r="G943" s="1">
        <v>44485</v>
      </c>
      <c r="H943">
        <v>82273.08</v>
      </c>
      <c r="I943" t="s">
        <v>224</v>
      </c>
      <c r="J943">
        <v>-7120072023</v>
      </c>
      <c r="K943" t="s">
        <v>23</v>
      </c>
      <c r="L943" t="b">
        <v>0</v>
      </c>
    </row>
    <row r="944" spans="1:12" x14ac:dyDescent="0.3">
      <c r="A944" t="s">
        <v>1078</v>
      </c>
      <c r="B944" t="s">
        <v>36</v>
      </c>
      <c r="C944" t="s">
        <v>42</v>
      </c>
      <c r="D944">
        <v>30</v>
      </c>
      <c r="E944" t="s">
        <v>217</v>
      </c>
      <c r="F944" t="s">
        <v>33</v>
      </c>
      <c r="G944" s="1">
        <v>44690</v>
      </c>
      <c r="H944">
        <v>94537.3</v>
      </c>
      <c r="I944" t="s">
        <v>157</v>
      </c>
      <c r="J944">
        <v>-5591024509</v>
      </c>
      <c r="K944" t="s">
        <v>30</v>
      </c>
      <c r="L944" t="b">
        <v>1</v>
      </c>
    </row>
    <row r="945" spans="1:12" x14ac:dyDescent="0.3">
      <c r="A945" t="s">
        <v>1079</v>
      </c>
      <c r="B945" t="s">
        <v>25</v>
      </c>
      <c r="C945" t="s">
        <v>26</v>
      </c>
      <c r="D945">
        <v>35</v>
      </c>
      <c r="E945" t="s">
        <v>166</v>
      </c>
      <c r="F945" t="s">
        <v>28</v>
      </c>
      <c r="G945" s="1">
        <v>43988</v>
      </c>
      <c r="H945">
        <v>85970.65</v>
      </c>
      <c r="I945" t="s">
        <v>29</v>
      </c>
      <c r="J945">
        <v>-9109032670</v>
      </c>
      <c r="K945" t="s">
        <v>30</v>
      </c>
      <c r="L945" t="b">
        <v>1</v>
      </c>
    </row>
    <row r="946" spans="1:12" x14ac:dyDescent="0.3">
      <c r="A946" t="s">
        <v>1080</v>
      </c>
      <c r="B946" t="s">
        <v>52</v>
      </c>
      <c r="C946" t="s">
        <v>26</v>
      </c>
      <c r="D946">
        <v>25</v>
      </c>
      <c r="E946" t="s">
        <v>100</v>
      </c>
      <c r="F946" t="s">
        <v>28</v>
      </c>
      <c r="G946" s="1">
        <v>44491</v>
      </c>
      <c r="H946">
        <v>111071.02</v>
      </c>
      <c r="I946" t="s">
        <v>109</v>
      </c>
      <c r="J946">
        <v>-4949819420</v>
      </c>
      <c r="K946" t="s">
        <v>23</v>
      </c>
      <c r="L946" t="b">
        <v>0</v>
      </c>
    </row>
    <row r="947" spans="1:12" x14ac:dyDescent="0.3">
      <c r="A947" t="s">
        <v>1081</v>
      </c>
      <c r="B947" t="s">
        <v>32</v>
      </c>
      <c r="C947" t="s">
        <v>14</v>
      </c>
      <c r="D947">
        <v>35</v>
      </c>
      <c r="E947" t="s">
        <v>258</v>
      </c>
      <c r="F947" t="s">
        <v>28</v>
      </c>
      <c r="G947" s="1">
        <v>44573</v>
      </c>
      <c r="H947">
        <v>56708.34</v>
      </c>
      <c r="I947" t="s">
        <v>34</v>
      </c>
      <c r="J947">
        <v>-7942817933</v>
      </c>
      <c r="K947" t="s">
        <v>23</v>
      </c>
      <c r="L947" t="b">
        <v>0</v>
      </c>
    </row>
    <row r="948" spans="1:12" x14ac:dyDescent="0.3">
      <c r="A948" t="s">
        <v>1082</v>
      </c>
      <c r="B948" t="s">
        <v>52</v>
      </c>
      <c r="C948" t="s">
        <v>26</v>
      </c>
      <c r="D948">
        <v>25</v>
      </c>
      <c r="E948" t="s">
        <v>83</v>
      </c>
      <c r="F948" t="s">
        <v>33</v>
      </c>
      <c r="G948" s="1">
        <v>44594</v>
      </c>
      <c r="H948">
        <v>104516.55</v>
      </c>
      <c r="I948" t="s">
        <v>109</v>
      </c>
      <c r="J948">
        <v>-652775843</v>
      </c>
      <c r="K948" t="s">
        <v>23</v>
      </c>
      <c r="L948" t="b">
        <v>0</v>
      </c>
    </row>
    <row r="949" spans="1:12" x14ac:dyDescent="0.3">
      <c r="A949" t="s">
        <v>1083</v>
      </c>
      <c r="B949" t="s">
        <v>52</v>
      </c>
      <c r="C949" t="s">
        <v>42</v>
      </c>
      <c r="D949">
        <v>25</v>
      </c>
      <c r="E949" t="s">
        <v>169</v>
      </c>
      <c r="F949" t="s">
        <v>28</v>
      </c>
      <c r="G949" s="1">
        <v>44283</v>
      </c>
      <c r="H949">
        <v>108210.15</v>
      </c>
      <c r="I949" t="s">
        <v>81</v>
      </c>
      <c r="J949">
        <v>-6634533721</v>
      </c>
      <c r="K949" t="s">
        <v>40</v>
      </c>
      <c r="L949" t="b">
        <v>1</v>
      </c>
    </row>
    <row r="950" spans="1:12" x14ac:dyDescent="0.3">
      <c r="A950" t="s">
        <v>1084</v>
      </c>
      <c r="B950" t="s">
        <v>13</v>
      </c>
      <c r="C950" t="s">
        <v>86</v>
      </c>
      <c r="D950">
        <v>40</v>
      </c>
      <c r="E950" t="s">
        <v>21</v>
      </c>
      <c r="F950" t="s">
        <v>16</v>
      </c>
      <c r="G950" s="1">
        <v>45507</v>
      </c>
      <c r="H950" t="s">
        <v>223</v>
      </c>
      <c r="I950" t="s">
        <v>87</v>
      </c>
      <c r="J950">
        <v>-109121721</v>
      </c>
      <c r="K950" t="s">
        <v>23</v>
      </c>
      <c r="L950" t="b">
        <v>1</v>
      </c>
    </row>
    <row r="951" spans="1:12" x14ac:dyDescent="0.3">
      <c r="A951" t="s">
        <v>1085</v>
      </c>
      <c r="B951" t="s">
        <v>36</v>
      </c>
      <c r="C951" t="s">
        <v>26</v>
      </c>
      <c r="D951">
        <v>35</v>
      </c>
      <c r="E951" t="s">
        <v>15</v>
      </c>
      <c r="F951" t="s">
        <v>16</v>
      </c>
      <c r="G951" s="1">
        <v>45504</v>
      </c>
      <c r="H951">
        <v>80935.649999999994</v>
      </c>
      <c r="I951" t="s">
        <v>46</v>
      </c>
      <c r="J951">
        <v>-1455937660</v>
      </c>
      <c r="K951" t="s">
        <v>23</v>
      </c>
      <c r="L951" t="b">
        <v>0</v>
      </c>
    </row>
    <row r="952" spans="1:12" x14ac:dyDescent="0.3">
      <c r="A952" t="s">
        <v>1086</v>
      </c>
      <c r="B952" t="s">
        <v>36</v>
      </c>
      <c r="C952" t="s">
        <v>37</v>
      </c>
      <c r="D952">
        <v>30</v>
      </c>
      <c r="E952" t="s">
        <v>15</v>
      </c>
      <c r="F952" t="s">
        <v>16</v>
      </c>
      <c r="G952" s="1">
        <v>45355</v>
      </c>
      <c r="H952">
        <v>107020.19</v>
      </c>
      <c r="I952" t="s">
        <v>39</v>
      </c>
      <c r="J952">
        <v>-8943705262</v>
      </c>
      <c r="K952" t="s">
        <v>23</v>
      </c>
      <c r="L952" t="b">
        <v>0</v>
      </c>
    </row>
    <row r="953" spans="1:12" x14ac:dyDescent="0.3">
      <c r="A953" t="s">
        <v>1087</v>
      </c>
      <c r="B953" t="s">
        <v>52</v>
      </c>
      <c r="C953" t="s">
        <v>20</v>
      </c>
      <c r="D953">
        <v>30</v>
      </c>
      <c r="E953" t="s">
        <v>64</v>
      </c>
      <c r="F953" t="s">
        <v>16</v>
      </c>
      <c r="G953" s="1">
        <v>44097</v>
      </c>
      <c r="H953">
        <v>118677.67</v>
      </c>
      <c r="I953" t="s">
        <v>114</v>
      </c>
      <c r="J953">
        <v>-5100462775</v>
      </c>
      <c r="K953" t="s">
        <v>23</v>
      </c>
      <c r="L953" t="b">
        <v>0</v>
      </c>
    </row>
    <row r="954" spans="1:12" x14ac:dyDescent="0.3">
      <c r="A954" t="s">
        <v>1088</v>
      </c>
      <c r="B954" t="s">
        <v>13</v>
      </c>
      <c r="C954" t="s">
        <v>26</v>
      </c>
      <c r="D954">
        <v>25</v>
      </c>
      <c r="E954" t="s">
        <v>38</v>
      </c>
      <c r="F954" t="s">
        <v>33</v>
      </c>
      <c r="G954" s="1">
        <v>43918</v>
      </c>
      <c r="H954">
        <v>63744.57</v>
      </c>
      <c r="I954" t="s">
        <v>48</v>
      </c>
      <c r="J954">
        <v>-5725659201</v>
      </c>
      <c r="K954" t="s">
        <v>18</v>
      </c>
      <c r="L954" t="b">
        <v>0</v>
      </c>
    </row>
    <row r="955" spans="1:12" x14ac:dyDescent="0.3">
      <c r="A955" t="s">
        <v>1089</v>
      </c>
      <c r="B955" t="s">
        <v>25</v>
      </c>
      <c r="C955" t="s">
        <v>20</v>
      </c>
      <c r="D955">
        <v>40</v>
      </c>
      <c r="E955" t="s">
        <v>217</v>
      </c>
      <c r="F955" t="s">
        <v>16</v>
      </c>
      <c r="G955" s="1">
        <v>43966</v>
      </c>
      <c r="H955" t="s">
        <v>223</v>
      </c>
      <c r="I955" t="s">
        <v>76</v>
      </c>
      <c r="J955">
        <v>-4617520237</v>
      </c>
      <c r="K955" t="s">
        <v>40</v>
      </c>
      <c r="L955" t="b">
        <v>0</v>
      </c>
    </row>
    <row r="956" spans="1:12" x14ac:dyDescent="0.3">
      <c r="A956" t="s">
        <v>1090</v>
      </c>
      <c r="B956" t="s">
        <v>13</v>
      </c>
      <c r="C956" t="s">
        <v>37</v>
      </c>
      <c r="D956">
        <v>25</v>
      </c>
      <c r="E956" t="s">
        <v>100</v>
      </c>
      <c r="F956" t="s">
        <v>28</v>
      </c>
      <c r="G956" s="1">
        <v>44240</v>
      </c>
      <c r="H956">
        <v>62934.73</v>
      </c>
      <c r="I956" t="s">
        <v>129</v>
      </c>
      <c r="J956">
        <v>-9743260054</v>
      </c>
      <c r="K956" t="s">
        <v>30</v>
      </c>
      <c r="L956" t="b">
        <v>0</v>
      </c>
    </row>
    <row r="957" spans="1:12" x14ac:dyDescent="0.3">
      <c r="A957" t="s">
        <v>1091</v>
      </c>
      <c r="B957" t="s">
        <v>13</v>
      </c>
      <c r="C957" t="s">
        <v>37</v>
      </c>
      <c r="D957">
        <v>30</v>
      </c>
      <c r="E957" t="s">
        <v>15</v>
      </c>
      <c r="F957" t="s">
        <v>28</v>
      </c>
      <c r="G957" s="1">
        <v>44543</v>
      </c>
      <c r="H957">
        <v>74654.23</v>
      </c>
      <c r="I957" t="s">
        <v>129</v>
      </c>
      <c r="J957">
        <v>-9550178331</v>
      </c>
      <c r="K957" t="s">
        <v>23</v>
      </c>
      <c r="L957" t="b">
        <v>1</v>
      </c>
    </row>
    <row r="958" spans="1:12" x14ac:dyDescent="0.3">
      <c r="A958" t="s">
        <v>1092</v>
      </c>
      <c r="B958" t="s">
        <v>57</v>
      </c>
      <c r="C958" t="s">
        <v>20</v>
      </c>
      <c r="E958" t="s">
        <v>43</v>
      </c>
      <c r="F958" t="s">
        <v>16</v>
      </c>
      <c r="G958" s="1">
        <v>45509</v>
      </c>
      <c r="H958" t="s">
        <v>223</v>
      </c>
      <c r="I958" t="s">
        <v>188</v>
      </c>
      <c r="J958">
        <v>-5848689992</v>
      </c>
      <c r="K958" t="s">
        <v>18</v>
      </c>
      <c r="L958" t="b">
        <v>1</v>
      </c>
    </row>
    <row r="959" spans="1:12" x14ac:dyDescent="0.3">
      <c r="A959" t="s">
        <v>1093</v>
      </c>
      <c r="B959" t="s">
        <v>57</v>
      </c>
      <c r="C959" t="s">
        <v>111</v>
      </c>
      <c r="D959">
        <v>30</v>
      </c>
      <c r="E959" t="s">
        <v>64</v>
      </c>
      <c r="F959" t="s">
        <v>28</v>
      </c>
      <c r="G959" s="1">
        <v>43839</v>
      </c>
      <c r="H959">
        <v>118150.59</v>
      </c>
      <c r="I959" t="s">
        <v>266</v>
      </c>
      <c r="J959">
        <v>-6079848703</v>
      </c>
      <c r="K959" t="s">
        <v>18</v>
      </c>
      <c r="L959" t="b">
        <v>1</v>
      </c>
    </row>
    <row r="960" spans="1:12" x14ac:dyDescent="0.3">
      <c r="A960" t="s">
        <v>1094</v>
      </c>
      <c r="B960" t="s">
        <v>57</v>
      </c>
      <c r="C960" t="s">
        <v>53</v>
      </c>
      <c r="E960" t="s">
        <v>192</v>
      </c>
      <c r="F960" t="s">
        <v>33</v>
      </c>
      <c r="G960" s="1">
        <v>45260</v>
      </c>
      <c r="H960">
        <v>91256.639999999999</v>
      </c>
      <c r="I960" t="s">
        <v>183</v>
      </c>
      <c r="J960">
        <v>-5069176798</v>
      </c>
      <c r="K960" t="s">
        <v>18</v>
      </c>
      <c r="L960" t="b">
        <v>0</v>
      </c>
    </row>
    <row r="961" spans="1:12" x14ac:dyDescent="0.3">
      <c r="A961" t="s">
        <v>1095</v>
      </c>
      <c r="B961" t="s">
        <v>13</v>
      </c>
      <c r="C961" t="s">
        <v>14</v>
      </c>
      <c r="D961">
        <v>30</v>
      </c>
      <c r="E961" t="s">
        <v>180</v>
      </c>
      <c r="F961" t="s">
        <v>33</v>
      </c>
      <c r="G961" s="1">
        <v>44269</v>
      </c>
      <c r="H961">
        <v>85997.57</v>
      </c>
      <c r="I961" t="s">
        <v>17</v>
      </c>
      <c r="J961">
        <v>-3593744038</v>
      </c>
      <c r="K961" t="s">
        <v>30</v>
      </c>
      <c r="L961" t="b">
        <v>0</v>
      </c>
    </row>
    <row r="962" spans="1:12" x14ac:dyDescent="0.3">
      <c r="A962" t="s">
        <v>1096</v>
      </c>
      <c r="B962" t="s">
        <v>36</v>
      </c>
      <c r="C962" t="s">
        <v>111</v>
      </c>
      <c r="D962">
        <v>25</v>
      </c>
      <c r="E962" t="s">
        <v>21</v>
      </c>
      <c r="F962" t="s">
        <v>28</v>
      </c>
      <c r="G962" s="1">
        <v>44109</v>
      </c>
      <c r="H962">
        <v>84707.12</v>
      </c>
      <c r="I962" t="s">
        <v>124</v>
      </c>
      <c r="J962">
        <v>-4640830372</v>
      </c>
      <c r="K962" t="s">
        <v>23</v>
      </c>
      <c r="L962" t="b">
        <v>0</v>
      </c>
    </row>
    <row r="963" spans="1:12" x14ac:dyDescent="0.3">
      <c r="A963" t="s">
        <v>1097</v>
      </c>
      <c r="B963" t="s">
        <v>32</v>
      </c>
      <c r="C963" t="s">
        <v>111</v>
      </c>
      <c r="E963" t="s">
        <v>197</v>
      </c>
      <c r="F963" t="s">
        <v>16</v>
      </c>
      <c r="G963" s="1">
        <v>44502</v>
      </c>
      <c r="H963">
        <v>84559.9</v>
      </c>
      <c r="I963" t="s">
        <v>384</v>
      </c>
      <c r="J963">
        <v>-6060148859</v>
      </c>
      <c r="K963" t="s">
        <v>40</v>
      </c>
      <c r="L963" t="b">
        <v>0</v>
      </c>
    </row>
    <row r="964" spans="1:12" x14ac:dyDescent="0.3">
      <c r="A964" t="s">
        <v>1098</v>
      </c>
      <c r="B964" t="s">
        <v>63</v>
      </c>
      <c r="C964" t="s">
        <v>86</v>
      </c>
      <c r="E964" t="s">
        <v>15</v>
      </c>
      <c r="F964" t="s">
        <v>28</v>
      </c>
      <c r="G964" s="1">
        <v>45553</v>
      </c>
      <c r="H964">
        <v>81076.91</v>
      </c>
      <c r="I964" t="s">
        <v>118</v>
      </c>
      <c r="J964">
        <v>-8490793883</v>
      </c>
      <c r="K964" t="s">
        <v>40</v>
      </c>
      <c r="L964" t="b">
        <v>0</v>
      </c>
    </row>
    <row r="965" spans="1:12" x14ac:dyDescent="0.3">
      <c r="A965" t="s">
        <v>1099</v>
      </c>
      <c r="B965" t="s">
        <v>32</v>
      </c>
      <c r="C965" t="s">
        <v>14</v>
      </c>
      <c r="D965">
        <v>40</v>
      </c>
      <c r="E965" t="s">
        <v>96</v>
      </c>
      <c r="F965" t="s">
        <v>33</v>
      </c>
      <c r="G965" s="1">
        <v>45221</v>
      </c>
      <c r="H965" t="s">
        <v>223</v>
      </c>
      <c r="I965" t="s">
        <v>34</v>
      </c>
      <c r="J965">
        <v>-1368528305</v>
      </c>
      <c r="K965" t="s">
        <v>18</v>
      </c>
      <c r="L965" t="b">
        <v>0</v>
      </c>
    </row>
    <row r="966" spans="1:12" x14ac:dyDescent="0.3">
      <c r="A966" t="s">
        <v>1100</v>
      </c>
      <c r="B966" t="s">
        <v>63</v>
      </c>
      <c r="C966" t="s">
        <v>14</v>
      </c>
      <c r="D966">
        <v>25</v>
      </c>
      <c r="E966" t="s">
        <v>103</v>
      </c>
      <c r="F966" t="s">
        <v>28</v>
      </c>
      <c r="G966" s="1">
        <v>45179</v>
      </c>
      <c r="H966">
        <v>97356.31</v>
      </c>
      <c r="I966" t="s">
        <v>301</v>
      </c>
      <c r="J966">
        <v>-1537012423</v>
      </c>
      <c r="K966" t="s">
        <v>30</v>
      </c>
      <c r="L966" t="b">
        <v>1</v>
      </c>
    </row>
    <row r="967" spans="1:12" x14ac:dyDescent="0.3">
      <c r="A967" t="s">
        <v>1101</v>
      </c>
      <c r="B967" t="s">
        <v>67</v>
      </c>
      <c r="C967" t="s">
        <v>111</v>
      </c>
      <c r="D967">
        <v>40</v>
      </c>
      <c r="E967" t="s">
        <v>75</v>
      </c>
      <c r="F967" t="s">
        <v>16</v>
      </c>
      <c r="G967" s="1">
        <v>45349</v>
      </c>
      <c r="H967">
        <v>114770.32</v>
      </c>
      <c r="I967" t="s">
        <v>122</v>
      </c>
      <c r="J967">
        <v>-4626325143</v>
      </c>
      <c r="K967" t="s">
        <v>30</v>
      </c>
      <c r="L967" t="b">
        <v>1</v>
      </c>
    </row>
    <row r="968" spans="1:12" x14ac:dyDescent="0.3">
      <c r="A968" t="s">
        <v>1102</v>
      </c>
      <c r="B968" t="s">
        <v>13</v>
      </c>
      <c r="C968" t="s">
        <v>26</v>
      </c>
      <c r="D968">
        <v>35</v>
      </c>
      <c r="E968" t="s">
        <v>108</v>
      </c>
      <c r="F968" t="s">
        <v>16</v>
      </c>
      <c r="G968" s="1">
        <v>45049</v>
      </c>
      <c r="H968">
        <v>109082.07</v>
      </c>
      <c r="I968" t="s">
        <v>48</v>
      </c>
      <c r="J968">
        <v>-8811210313</v>
      </c>
      <c r="K968" t="s">
        <v>30</v>
      </c>
      <c r="L968" t="b">
        <v>0</v>
      </c>
    </row>
    <row r="969" spans="1:12" x14ac:dyDescent="0.3">
      <c r="A969" t="s">
        <v>1103</v>
      </c>
      <c r="B969" t="s">
        <v>57</v>
      </c>
      <c r="C969" t="s">
        <v>86</v>
      </c>
      <c r="D969">
        <v>40</v>
      </c>
      <c r="E969" t="s">
        <v>192</v>
      </c>
      <c r="F969" t="s">
        <v>33</v>
      </c>
      <c r="G969" s="1">
        <v>45397</v>
      </c>
      <c r="H969">
        <v>99944.57</v>
      </c>
      <c r="I969" t="s">
        <v>98</v>
      </c>
      <c r="J969">
        <v>-2175188780</v>
      </c>
      <c r="K969" t="s">
        <v>40</v>
      </c>
      <c r="L969" t="b">
        <v>1</v>
      </c>
    </row>
    <row r="970" spans="1:12" x14ac:dyDescent="0.3">
      <c r="A970" t="s">
        <v>1104</v>
      </c>
      <c r="B970" t="s">
        <v>32</v>
      </c>
      <c r="C970" t="s">
        <v>86</v>
      </c>
      <c r="D970">
        <v>40</v>
      </c>
      <c r="E970" t="s">
        <v>180</v>
      </c>
      <c r="F970" t="s">
        <v>28</v>
      </c>
      <c r="G970" s="1">
        <v>45066</v>
      </c>
      <c r="H970">
        <v>116509.72</v>
      </c>
      <c r="I970" t="s">
        <v>213</v>
      </c>
      <c r="J970">
        <v>-7941515262</v>
      </c>
      <c r="K970" t="s">
        <v>18</v>
      </c>
      <c r="L970" t="b">
        <v>0</v>
      </c>
    </row>
    <row r="971" spans="1:12" x14ac:dyDescent="0.3">
      <c r="A971" t="s">
        <v>1105</v>
      </c>
      <c r="B971" t="s">
        <v>32</v>
      </c>
      <c r="C971" t="s">
        <v>37</v>
      </c>
      <c r="D971">
        <v>30</v>
      </c>
      <c r="E971" t="s">
        <v>21</v>
      </c>
      <c r="F971" t="s">
        <v>16</v>
      </c>
      <c r="G971" s="1">
        <v>44344</v>
      </c>
      <c r="H971">
        <v>84253.9</v>
      </c>
      <c r="I971" t="s">
        <v>127</v>
      </c>
      <c r="J971">
        <v>-8409112251</v>
      </c>
      <c r="K971" t="s">
        <v>23</v>
      </c>
      <c r="L971" t="b">
        <v>1</v>
      </c>
    </row>
    <row r="972" spans="1:12" x14ac:dyDescent="0.3">
      <c r="A972" t="s">
        <v>1106</v>
      </c>
      <c r="B972" t="s">
        <v>52</v>
      </c>
      <c r="C972" t="s">
        <v>42</v>
      </c>
      <c r="D972">
        <v>25</v>
      </c>
      <c r="E972" t="s">
        <v>80</v>
      </c>
      <c r="F972" t="s">
        <v>16</v>
      </c>
      <c r="G972" s="1">
        <v>45531</v>
      </c>
      <c r="H972">
        <v>54776.01</v>
      </c>
      <c r="I972" t="s">
        <v>81</v>
      </c>
      <c r="J972">
        <v>-8837505660</v>
      </c>
      <c r="K972" t="s">
        <v>40</v>
      </c>
      <c r="L972" t="b">
        <v>0</v>
      </c>
    </row>
    <row r="973" spans="1:12" x14ac:dyDescent="0.3">
      <c r="A973" t="s">
        <v>1107</v>
      </c>
      <c r="B973" t="s">
        <v>52</v>
      </c>
      <c r="C973" t="s">
        <v>14</v>
      </c>
      <c r="D973">
        <v>40</v>
      </c>
      <c r="E973" t="s">
        <v>185</v>
      </c>
      <c r="F973" t="s">
        <v>33</v>
      </c>
      <c r="G973" s="1">
        <v>44143</v>
      </c>
      <c r="H973">
        <v>71192.679999999993</v>
      </c>
      <c r="I973" t="s">
        <v>149</v>
      </c>
      <c r="J973">
        <v>-8632397912</v>
      </c>
      <c r="K973" t="s">
        <v>18</v>
      </c>
      <c r="L973" t="b">
        <v>0</v>
      </c>
    </row>
    <row r="974" spans="1:12" x14ac:dyDescent="0.3">
      <c r="A974" t="s">
        <v>1108</v>
      </c>
      <c r="B974" t="s">
        <v>13</v>
      </c>
      <c r="C974" t="s">
        <v>111</v>
      </c>
      <c r="E974" t="s">
        <v>103</v>
      </c>
      <c r="F974" t="s">
        <v>16</v>
      </c>
      <c r="G974" s="1">
        <v>44432</v>
      </c>
      <c r="H974">
        <v>96346.53</v>
      </c>
      <c r="I974" t="s">
        <v>112</v>
      </c>
      <c r="J974">
        <v>-7876553006</v>
      </c>
      <c r="K974" t="s">
        <v>18</v>
      </c>
      <c r="L974" t="b">
        <v>1</v>
      </c>
    </row>
    <row r="975" spans="1:12" x14ac:dyDescent="0.3">
      <c r="A975" t="s">
        <v>1109</v>
      </c>
      <c r="B975" t="s">
        <v>32</v>
      </c>
      <c r="C975" t="s">
        <v>37</v>
      </c>
      <c r="E975" t="s">
        <v>166</v>
      </c>
      <c r="F975" t="s">
        <v>28</v>
      </c>
      <c r="G975" s="1">
        <v>43867</v>
      </c>
      <c r="H975">
        <v>116680.63</v>
      </c>
      <c r="I975" t="s">
        <v>127</v>
      </c>
      <c r="J975">
        <v>-3095055604</v>
      </c>
      <c r="K975" t="s">
        <v>23</v>
      </c>
      <c r="L975" t="b">
        <v>1</v>
      </c>
    </row>
    <row r="976" spans="1:12" x14ac:dyDescent="0.3">
      <c r="A976" t="s">
        <v>1110</v>
      </c>
      <c r="B976" t="s">
        <v>67</v>
      </c>
      <c r="C976" t="s">
        <v>20</v>
      </c>
      <c r="D976">
        <v>25</v>
      </c>
      <c r="E976" t="s">
        <v>103</v>
      </c>
      <c r="F976" t="s">
        <v>33</v>
      </c>
      <c r="G976" s="1">
        <v>45577</v>
      </c>
      <c r="H976">
        <v>76343.56</v>
      </c>
      <c r="I976" t="s">
        <v>173</v>
      </c>
      <c r="J976">
        <v>-7121988191</v>
      </c>
      <c r="K976" t="s">
        <v>23</v>
      </c>
      <c r="L976" t="b">
        <v>0</v>
      </c>
    </row>
    <row r="977" spans="1:12" x14ac:dyDescent="0.3">
      <c r="A977" t="s">
        <v>1111</v>
      </c>
      <c r="B977" t="s">
        <v>25</v>
      </c>
      <c r="C977" t="s">
        <v>53</v>
      </c>
      <c r="D977">
        <v>30</v>
      </c>
      <c r="E977" t="s">
        <v>185</v>
      </c>
      <c r="F977" t="s">
        <v>33</v>
      </c>
      <c r="G977" s="1">
        <v>45642</v>
      </c>
      <c r="H977">
        <v>99424.14</v>
      </c>
      <c r="I977" t="s">
        <v>134</v>
      </c>
      <c r="J977">
        <v>-7788519052</v>
      </c>
      <c r="K977" t="s">
        <v>23</v>
      </c>
      <c r="L977" t="b">
        <v>0</v>
      </c>
    </row>
    <row r="978" spans="1:12" x14ac:dyDescent="0.3">
      <c r="A978" t="s">
        <v>1112</v>
      </c>
      <c r="B978" t="s">
        <v>52</v>
      </c>
      <c r="C978" t="s">
        <v>42</v>
      </c>
      <c r="D978">
        <v>35</v>
      </c>
      <c r="E978" t="s">
        <v>192</v>
      </c>
      <c r="F978" t="s">
        <v>33</v>
      </c>
      <c r="G978" s="1">
        <v>45395</v>
      </c>
      <c r="H978">
        <v>57656.74</v>
      </c>
      <c r="I978" t="s">
        <v>81</v>
      </c>
      <c r="J978">
        <v>-4864010423</v>
      </c>
      <c r="K978" t="s">
        <v>30</v>
      </c>
      <c r="L978" t="b">
        <v>1</v>
      </c>
    </row>
    <row r="979" spans="1:12" x14ac:dyDescent="0.3">
      <c r="A979" t="s">
        <v>1113</v>
      </c>
      <c r="B979" t="s">
        <v>63</v>
      </c>
      <c r="C979" t="s">
        <v>42</v>
      </c>
      <c r="D979">
        <v>40</v>
      </c>
      <c r="E979" t="s">
        <v>100</v>
      </c>
      <c r="F979" t="s">
        <v>28</v>
      </c>
      <c r="G979" s="1">
        <v>43945</v>
      </c>
      <c r="H979">
        <v>77396.94</v>
      </c>
      <c r="I979" t="s">
        <v>209</v>
      </c>
      <c r="J979">
        <v>-6245618516</v>
      </c>
      <c r="K979" t="s">
        <v>23</v>
      </c>
      <c r="L979" t="b">
        <v>1</v>
      </c>
    </row>
    <row r="980" spans="1:12" x14ac:dyDescent="0.3">
      <c r="A980" t="s">
        <v>1114</v>
      </c>
      <c r="B980" t="s">
        <v>67</v>
      </c>
      <c r="C980" t="s">
        <v>42</v>
      </c>
      <c r="E980" t="s">
        <v>15</v>
      </c>
      <c r="F980" t="s">
        <v>33</v>
      </c>
      <c r="G980" s="1">
        <v>44487</v>
      </c>
      <c r="H980">
        <v>54299.68</v>
      </c>
      <c r="I980" t="s">
        <v>78</v>
      </c>
      <c r="J980">
        <v>-4460045211</v>
      </c>
      <c r="K980" t="s">
        <v>18</v>
      </c>
      <c r="L980" t="b">
        <v>0</v>
      </c>
    </row>
    <row r="981" spans="1:12" x14ac:dyDescent="0.3">
      <c r="A981" t="s">
        <v>1115</v>
      </c>
      <c r="B981" t="s">
        <v>52</v>
      </c>
      <c r="C981" t="s">
        <v>86</v>
      </c>
      <c r="D981">
        <v>35</v>
      </c>
      <c r="E981" t="s">
        <v>133</v>
      </c>
      <c r="F981" t="s">
        <v>28</v>
      </c>
      <c r="G981" s="1">
        <v>43886</v>
      </c>
      <c r="H981">
        <v>103563.58</v>
      </c>
      <c r="I981" t="s">
        <v>371</v>
      </c>
      <c r="J981">
        <v>-8991511454</v>
      </c>
      <c r="K981" t="s">
        <v>23</v>
      </c>
      <c r="L981" t="b">
        <v>1</v>
      </c>
    </row>
    <row r="982" spans="1:12" x14ac:dyDescent="0.3">
      <c r="A982" t="s">
        <v>1116</v>
      </c>
      <c r="B982" t="s">
        <v>67</v>
      </c>
      <c r="C982" t="s">
        <v>20</v>
      </c>
      <c r="D982">
        <v>25</v>
      </c>
      <c r="E982" t="s">
        <v>68</v>
      </c>
      <c r="F982" t="s">
        <v>33</v>
      </c>
      <c r="G982" s="1">
        <v>44674</v>
      </c>
      <c r="H982">
        <v>74588.850000000006</v>
      </c>
      <c r="I982" t="s">
        <v>173</v>
      </c>
      <c r="J982">
        <v>-1293913043</v>
      </c>
      <c r="K982" t="s">
        <v>18</v>
      </c>
      <c r="L982" t="b">
        <v>0</v>
      </c>
    </row>
    <row r="983" spans="1:12" x14ac:dyDescent="0.3">
      <c r="A983" t="s">
        <v>1117</v>
      </c>
      <c r="B983" t="s">
        <v>57</v>
      </c>
      <c r="C983" t="s">
        <v>42</v>
      </c>
      <c r="D983">
        <v>30</v>
      </c>
      <c r="E983" t="s">
        <v>15</v>
      </c>
      <c r="F983" t="s">
        <v>28</v>
      </c>
      <c r="G983" s="1">
        <v>44004</v>
      </c>
      <c r="H983">
        <v>113727.23</v>
      </c>
      <c r="I983" t="s">
        <v>94</v>
      </c>
      <c r="J983">
        <v>-8818984840</v>
      </c>
      <c r="K983" t="s">
        <v>40</v>
      </c>
      <c r="L983" t="b">
        <v>0</v>
      </c>
    </row>
    <row r="984" spans="1:12" x14ac:dyDescent="0.3">
      <c r="A984" t="s">
        <v>1118</v>
      </c>
      <c r="B984" t="s">
        <v>32</v>
      </c>
      <c r="C984" t="s">
        <v>20</v>
      </c>
      <c r="D984">
        <v>25</v>
      </c>
      <c r="E984" t="s">
        <v>64</v>
      </c>
      <c r="F984" t="s">
        <v>16</v>
      </c>
      <c r="G984" s="1">
        <v>44933</v>
      </c>
      <c r="H984">
        <v>72828.179999999993</v>
      </c>
      <c r="I984" t="s">
        <v>138</v>
      </c>
      <c r="J984">
        <v>-6046154020</v>
      </c>
      <c r="K984" t="s">
        <v>30</v>
      </c>
      <c r="L984" t="b">
        <v>0</v>
      </c>
    </row>
    <row r="985" spans="1:12" x14ac:dyDescent="0.3">
      <c r="A985" t="s">
        <v>1119</v>
      </c>
      <c r="B985" t="s">
        <v>67</v>
      </c>
      <c r="C985" t="s">
        <v>26</v>
      </c>
      <c r="E985" t="s">
        <v>72</v>
      </c>
      <c r="F985" t="s">
        <v>33</v>
      </c>
      <c r="G985" s="1">
        <v>43872</v>
      </c>
      <c r="H985">
        <v>98717.09</v>
      </c>
      <c r="I985" t="s">
        <v>73</v>
      </c>
      <c r="J985">
        <v>-1901707567</v>
      </c>
      <c r="K985" t="s">
        <v>40</v>
      </c>
      <c r="L985" t="b">
        <v>0</v>
      </c>
    </row>
    <row r="986" spans="1:12" x14ac:dyDescent="0.3">
      <c r="A986" t="s">
        <v>1120</v>
      </c>
      <c r="B986" t="s">
        <v>36</v>
      </c>
      <c r="C986" t="s">
        <v>42</v>
      </c>
      <c r="D986">
        <v>40</v>
      </c>
      <c r="E986" t="s">
        <v>72</v>
      </c>
      <c r="F986" t="s">
        <v>33</v>
      </c>
      <c r="G986" s="1">
        <v>45003</v>
      </c>
      <c r="H986">
        <v>56840.800000000003</v>
      </c>
      <c r="I986" t="s">
        <v>157</v>
      </c>
      <c r="J986">
        <v>-1429831521</v>
      </c>
      <c r="K986" t="s">
        <v>40</v>
      </c>
      <c r="L986" t="b">
        <v>1</v>
      </c>
    </row>
    <row r="987" spans="1:12" x14ac:dyDescent="0.3">
      <c r="A987" t="s">
        <v>1121</v>
      </c>
      <c r="B987" t="s">
        <v>57</v>
      </c>
      <c r="C987" t="s">
        <v>53</v>
      </c>
      <c r="D987">
        <v>35</v>
      </c>
      <c r="E987" t="s">
        <v>215</v>
      </c>
      <c r="F987" t="s">
        <v>28</v>
      </c>
      <c r="G987" s="1">
        <v>44526</v>
      </c>
      <c r="H987">
        <v>61663.91</v>
      </c>
      <c r="I987" t="s">
        <v>183</v>
      </c>
      <c r="J987">
        <v>-9107322835</v>
      </c>
      <c r="K987" t="s">
        <v>18</v>
      </c>
      <c r="L987" t="b">
        <v>1</v>
      </c>
    </row>
    <row r="988" spans="1:12" x14ac:dyDescent="0.3">
      <c r="A988" t="s">
        <v>1122</v>
      </c>
      <c r="B988" t="s">
        <v>67</v>
      </c>
      <c r="C988" t="s">
        <v>20</v>
      </c>
      <c r="D988">
        <v>30</v>
      </c>
      <c r="E988" t="s">
        <v>93</v>
      </c>
      <c r="F988" t="s">
        <v>16</v>
      </c>
      <c r="G988" s="1">
        <v>45552</v>
      </c>
      <c r="H988">
        <v>109523.4</v>
      </c>
      <c r="I988" t="s">
        <v>173</v>
      </c>
      <c r="J988">
        <v>-849378305</v>
      </c>
      <c r="K988" t="s">
        <v>40</v>
      </c>
      <c r="L988" t="b">
        <v>1</v>
      </c>
    </row>
    <row r="989" spans="1:12" x14ac:dyDescent="0.3">
      <c r="A989" t="s">
        <v>1123</v>
      </c>
      <c r="B989" t="s">
        <v>32</v>
      </c>
      <c r="C989" t="s">
        <v>20</v>
      </c>
      <c r="D989">
        <v>25</v>
      </c>
      <c r="E989" t="s">
        <v>166</v>
      </c>
      <c r="F989" t="s">
        <v>33</v>
      </c>
      <c r="G989" s="1">
        <v>45478</v>
      </c>
      <c r="H989">
        <v>65812.02</v>
      </c>
      <c r="I989" t="s">
        <v>138</v>
      </c>
      <c r="J989">
        <v>-3963845268</v>
      </c>
      <c r="K989" t="s">
        <v>18</v>
      </c>
      <c r="L989" t="b">
        <v>1</v>
      </c>
    </row>
    <row r="990" spans="1:12" x14ac:dyDescent="0.3">
      <c r="A990" t="s">
        <v>1124</v>
      </c>
      <c r="B990" t="s">
        <v>13</v>
      </c>
      <c r="C990" t="s">
        <v>53</v>
      </c>
      <c r="E990" t="s">
        <v>89</v>
      </c>
      <c r="F990" t="s">
        <v>33</v>
      </c>
      <c r="G990" s="1">
        <v>44390</v>
      </c>
      <c r="H990">
        <v>54708.88</v>
      </c>
      <c r="I990" t="s">
        <v>171</v>
      </c>
      <c r="J990">
        <v>-6944391648</v>
      </c>
      <c r="K990" t="s">
        <v>23</v>
      </c>
      <c r="L990" t="b">
        <v>1</v>
      </c>
    </row>
    <row r="991" spans="1:12" x14ac:dyDescent="0.3">
      <c r="A991" t="s">
        <v>1125</v>
      </c>
      <c r="B991" t="s">
        <v>63</v>
      </c>
      <c r="C991" t="s">
        <v>42</v>
      </c>
      <c r="D991">
        <v>40</v>
      </c>
      <c r="E991" t="s">
        <v>108</v>
      </c>
      <c r="F991" t="s">
        <v>16</v>
      </c>
      <c r="G991" s="1">
        <v>45165</v>
      </c>
      <c r="H991">
        <v>107661.73</v>
      </c>
      <c r="I991" t="s">
        <v>209</v>
      </c>
      <c r="J991">
        <v>-7016934291</v>
      </c>
      <c r="K991" t="s">
        <v>23</v>
      </c>
      <c r="L991" t="b">
        <v>1</v>
      </c>
    </row>
    <row r="992" spans="1:12" x14ac:dyDescent="0.3">
      <c r="A992" t="s">
        <v>1126</v>
      </c>
      <c r="B992" t="s">
        <v>32</v>
      </c>
      <c r="C992" t="s">
        <v>53</v>
      </c>
      <c r="D992">
        <v>40</v>
      </c>
      <c r="E992" t="s">
        <v>75</v>
      </c>
      <c r="F992" t="s">
        <v>33</v>
      </c>
      <c r="G992" s="1">
        <v>44240</v>
      </c>
      <c r="H992">
        <v>79002</v>
      </c>
      <c r="I992" t="s">
        <v>254</v>
      </c>
      <c r="J992">
        <v>-9132033015</v>
      </c>
      <c r="K992" t="s">
        <v>18</v>
      </c>
      <c r="L992" t="b">
        <v>1</v>
      </c>
    </row>
    <row r="993" spans="1:12" x14ac:dyDescent="0.3">
      <c r="A993" t="s">
        <v>1127</v>
      </c>
      <c r="B993" t="s">
        <v>63</v>
      </c>
      <c r="C993" t="s">
        <v>20</v>
      </c>
      <c r="E993" t="s">
        <v>96</v>
      </c>
      <c r="F993" t="s">
        <v>28</v>
      </c>
      <c r="G993" s="1">
        <v>45271</v>
      </c>
      <c r="H993">
        <v>86135.69</v>
      </c>
      <c r="I993" t="s">
        <v>307</v>
      </c>
      <c r="J993">
        <v>-2341903105</v>
      </c>
      <c r="K993" t="s">
        <v>23</v>
      </c>
      <c r="L993" t="b">
        <v>0</v>
      </c>
    </row>
    <row r="994" spans="1:12" x14ac:dyDescent="0.3">
      <c r="A994" t="s">
        <v>1128</v>
      </c>
      <c r="B994" t="s">
        <v>63</v>
      </c>
      <c r="C994" t="s">
        <v>53</v>
      </c>
      <c r="D994">
        <v>30</v>
      </c>
      <c r="E994" t="s">
        <v>258</v>
      </c>
      <c r="F994" t="s">
        <v>33</v>
      </c>
      <c r="G994" s="1">
        <v>44379</v>
      </c>
      <c r="H994">
        <v>115601.4</v>
      </c>
      <c r="I994" t="s">
        <v>104</v>
      </c>
      <c r="J994">
        <v>-1537221555</v>
      </c>
      <c r="K994" t="s">
        <v>30</v>
      </c>
      <c r="L994" t="b">
        <v>1</v>
      </c>
    </row>
    <row r="995" spans="1:12" x14ac:dyDescent="0.3">
      <c r="A995" t="s">
        <v>1129</v>
      </c>
      <c r="B995" t="s">
        <v>67</v>
      </c>
      <c r="C995" t="s">
        <v>20</v>
      </c>
      <c r="E995" t="s">
        <v>258</v>
      </c>
      <c r="F995" t="s">
        <v>16</v>
      </c>
      <c r="G995" s="1">
        <v>44900</v>
      </c>
      <c r="H995">
        <v>64045.36</v>
      </c>
      <c r="I995" t="s">
        <v>173</v>
      </c>
      <c r="J995">
        <v>-6847323652</v>
      </c>
      <c r="K995" t="s">
        <v>40</v>
      </c>
      <c r="L995" t="b">
        <v>1</v>
      </c>
    </row>
    <row r="996" spans="1:12" x14ac:dyDescent="0.3">
      <c r="A996" t="s">
        <v>1130</v>
      </c>
      <c r="B996" t="s">
        <v>57</v>
      </c>
      <c r="C996" t="s">
        <v>20</v>
      </c>
      <c r="D996">
        <v>30</v>
      </c>
      <c r="E996" t="s">
        <v>258</v>
      </c>
      <c r="F996" t="s">
        <v>33</v>
      </c>
      <c r="G996" s="1">
        <v>45559</v>
      </c>
      <c r="H996">
        <v>80477.210000000006</v>
      </c>
      <c r="I996" t="s">
        <v>188</v>
      </c>
      <c r="J996">
        <v>-3774604066</v>
      </c>
      <c r="K996" t="s">
        <v>30</v>
      </c>
      <c r="L996" t="b">
        <v>0</v>
      </c>
    </row>
    <row r="997" spans="1:12" x14ac:dyDescent="0.3">
      <c r="A997" t="s">
        <v>1131</v>
      </c>
      <c r="B997" t="s">
        <v>13</v>
      </c>
      <c r="C997" t="s">
        <v>26</v>
      </c>
      <c r="D997">
        <v>30</v>
      </c>
      <c r="E997" t="s">
        <v>68</v>
      </c>
      <c r="F997" t="s">
        <v>33</v>
      </c>
      <c r="G997" s="1">
        <v>45154</v>
      </c>
      <c r="H997">
        <v>61240.9</v>
      </c>
      <c r="I997" t="s">
        <v>48</v>
      </c>
      <c r="J997">
        <v>-2007843613</v>
      </c>
      <c r="K997" t="s">
        <v>40</v>
      </c>
      <c r="L997" t="b">
        <v>1</v>
      </c>
    </row>
    <row r="998" spans="1:12" x14ac:dyDescent="0.3">
      <c r="A998" t="s">
        <v>1132</v>
      </c>
      <c r="B998" t="s">
        <v>57</v>
      </c>
      <c r="C998" t="s">
        <v>111</v>
      </c>
      <c r="D998">
        <v>40</v>
      </c>
      <c r="E998" t="s">
        <v>96</v>
      </c>
      <c r="F998" t="s">
        <v>16</v>
      </c>
      <c r="G998" s="1">
        <v>44224</v>
      </c>
      <c r="H998">
        <v>51939.29</v>
      </c>
      <c r="I998" t="s">
        <v>266</v>
      </c>
      <c r="J998">
        <v>-2442607818</v>
      </c>
      <c r="K998" t="s">
        <v>23</v>
      </c>
      <c r="L998" t="b">
        <v>1</v>
      </c>
    </row>
    <row r="999" spans="1:12" x14ac:dyDescent="0.3">
      <c r="A999" t="s">
        <v>1133</v>
      </c>
      <c r="B999" t="s">
        <v>32</v>
      </c>
      <c r="C999" t="s">
        <v>20</v>
      </c>
      <c r="D999">
        <v>40</v>
      </c>
      <c r="E999" t="s">
        <v>215</v>
      </c>
      <c r="F999" t="s">
        <v>33</v>
      </c>
      <c r="G999" s="1">
        <v>44695</v>
      </c>
      <c r="H999">
        <v>95284.54</v>
      </c>
      <c r="I999" t="s">
        <v>138</v>
      </c>
      <c r="J999">
        <v>-7543734763</v>
      </c>
      <c r="K999" t="s">
        <v>30</v>
      </c>
      <c r="L999" t="b">
        <v>0</v>
      </c>
    </row>
    <row r="1000" spans="1:12" x14ac:dyDescent="0.3">
      <c r="A1000" t="s">
        <v>1134</v>
      </c>
      <c r="B1000" t="s">
        <v>52</v>
      </c>
      <c r="C1000" t="s">
        <v>42</v>
      </c>
      <c r="D1000">
        <v>35</v>
      </c>
      <c r="E1000" t="s">
        <v>96</v>
      </c>
      <c r="F1000" t="s">
        <v>33</v>
      </c>
      <c r="G1000" s="1">
        <v>45448</v>
      </c>
      <c r="H1000">
        <v>106247.67</v>
      </c>
      <c r="I1000" t="s">
        <v>81</v>
      </c>
      <c r="J1000">
        <v>-2737203762</v>
      </c>
      <c r="K1000" t="s">
        <v>23</v>
      </c>
      <c r="L1000" t="b">
        <v>1</v>
      </c>
    </row>
    <row r="1001" spans="1:12" x14ac:dyDescent="0.3">
      <c r="A1001" t="s">
        <v>1135</v>
      </c>
      <c r="B1001" t="s">
        <v>52</v>
      </c>
      <c r="C1001" t="s">
        <v>37</v>
      </c>
      <c r="D1001">
        <v>25</v>
      </c>
      <c r="E1001" t="s">
        <v>192</v>
      </c>
      <c r="F1001" t="s">
        <v>16</v>
      </c>
      <c r="G1001" s="1">
        <v>43944</v>
      </c>
      <c r="H1001">
        <v>110170.88</v>
      </c>
      <c r="I1001" t="s">
        <v>84</v>
      </c>
      <c r="J1001">
        <v>-8821458413</v>
      </c>
      <c r="K1001" t="s">
        <v>40</v>
      </c>
      <c r="L1001" t="b">
        <v>1</v>
      </c>
    </row>
    <row r="1002" spans="1:12" x14ac:dyDescent="0.3">
      <c r="A1002" t="s">
        <v>1136</v>
      </c>
      <c r="B1002" t="s">
        <v>52</v>
      </c>
      <c r="C1002" t="s">
        <v>86</v>
      </c>
      <c r="D1002">
        <v>25</v>
      </c>
      <c r="E1002" t="s">
        <v>133</v>
      </c>
      <c r="F1002" t="s">
        <v>28</v>
      </c>
      <c r="G1002" s="1">
        <v>45453</v>
      </c>
      <c r="H1002">
        <v>52615.44</v>
      </c>
      <c r="I1002" t="s">
        <v>371</v>
      </c>
      <c r="J1002">
        <v>-8460191343</v>
      </c>
      <c r="K1002" t="s">
        <v>18</v>
      </c>
      <c r="L1002" t="b">
        <v>1</v>
      </c>
    </row>
    <row r="1003" spans="1:12" x14ac:dyDescent="0.3">
      <c r="A1003" t="s">
        <v>1137</v>
      </c>
      <c r="B1003" t="s">
        <v>32</v>
      </c>
      <c r="C1003" t="s">
        <v>14</v>
      </c>
      <c r="D1003">
        <v>30</v>
      </c>
      <c r="E1003" t="s">
        <v>75</v>
      </c>
      <c r="F1003" t="s">
        <v>33</v>
      </c>
      <c r="G1003" s="1">
        <v>43939</v>
      </c>
      <c r="H1003">
        <v>82547.259999999995</v>
      </c>
      <c r="I1003" t="s">
        <v>34</v>
      </c>
      <c r="J1003">
        <v>-3899827801</v>
      </c>
      <c r="K1003" t="s">
        <v>18</v>
      </c>
      <c r="L1003" t="b">
        <v>0</v>
      </c>
    </row>
    <row r="1004" spans="1:12" x14ac:dyDescent="0.3">
      <c r="A1004" t="s">
        <v>1138</v>
      </c>
      <c r="B1004" t="s">
        <v>13</v>
      </c>
      <c r="C1004" t="s">
        <v>111</v>
      </c>
      <c r="D1004">
        <v>35</v>
      </c>
      <c r="E1004" t="s">
        <v>215</v>
      </c>
      <c r="F1004" t="s">
        <v>28</v>
      </c>
      <c r="G1004" s="1">
        <v>44011</v>
      </c>
      <c r="H1004">
        <v>63049.22</v>
      </c>
      <c r="I1004" t="s">
        <v>112</v>
      </c>
      <c r="J1004">
        <v>-586950731</v>
      </c>
      <c r="K1004" t="s">
        <v>30</v>
      </c>
      <c r="L1004" t="b">
        <v>1</v>
      </c>
    </row>
    <row r="1005" spans="1:12" x14ac:dyDescent="0.3">
      <c r="A1005" t="s">
        <v>1139</v>
      </c>
      <c r="B1005" t="s">
        <v>36</v>
      </c>
      <c r="C1005" t="s">
        <v>111</v>
      </c>
      <c r="D1005">
        <v>35</v>
      </c>
      <c r="E1005" t="s">
        <v>131</v>
      </c>
      <c r="F1005" t="s">
        <v>28</v>
      </c>
      <c r="G1005" s="1">
        <v>44972</v>
      </c>
      <c r="H1005">
        <v>115229.12</v>
      </c>
      <c r="I1005" t="s">
        <v>124</v>
      </c>
      <c r="J1005">
        <v>-1464493698</v>
      </c>
      <c r="K1005" t="s">
        <v>23</v>
      </c>
      <c r="L1005" t="b">
        <v>1</v>
      </c>
    </row>
    <row r="1006" spans="1:12" x14ac:dyDescent="0.3">
      <c r="A1006" t="s">
        <v>1140</v>
      </c>
      <c r="B1006" t="s">
        <v>67</v>
      </c>
      <c r="C1006" t="s">
        <v>111</v>
      </c>
      <c r="D1006">
        <v>25</v>
      </c>
      <c r="E1006" t="s">
        <v>75</v>
      </c>
      <c r="F1006" t="s">
        <v>28</v>
      </c>
      <c r="G1006" s="1">
        <v>45092</v>
      </c>
      <c r="H1006">
        <v>60687.63</v>
      </c>
      <c r="I1006" t="s">
        <v>122</v>
      </c>
      <c r="J1006">
        <v>-9516793349</v>
      </c>
      <c r="K1006" t="s">
        <v>23</v>
      </c>
      <c r="L1006" t="b">
        <v>0</v>
      </c>
    </row>
    <row r="1007" spans="1:12" x14ac:dyDescent="0.3">
      <c r="A1007" t="s">
        <v>1141</v>
      </c>
      <c r="B1007" t="s">
        <v>36</v>
      </c>
      <c r="C1007" t="s">
        <v>26</v>
      </c>
      <c r="D1007">
        <v>30</v>
      </c>
      <c r="E1007" t="s">
        <v>215</v>
      </c>
      <c r="F1007" t="s">
        <v>33</v>
      </c>
      <c r="G1007" s="1">
        <v>44639</v>
      </c>
      <c r="H1007">
        <v>67492.73</v>
      </c>
      <c r="I1007" t="s">
        <v>46</v>
      </c>
      <c r="J1007">
        <v>-5573857367</v>
      </c>
      <c r="K1007" t="s">
        <v>30</v>
      </c>
      <c r="L1007" t="b">
        <v>1</v>
      </c>
    </row>
    <row r="1008" spans="1:12" x14ac:dyDescent="0.3">
      <c r="A1008" t="s">
        <v>1142</v>
      </c>
      <c r="B1008" t="s">
        <v>67</v>
      </c>
      <c r="C1008" t="s">
        <v>20</v>
      </c>
      <c r="E1008" t="s">
        <v>166</v>
      </c>
      <c r="F1008" t="s">
        <v>33</v>
      </c>
      <c r="G1008" s="1">
        <v>45224</v>
      </c>
      <c r="H1008">
        <v>77821.789999999994</v>
      </c>
      <c r="I1008" t="s">
        <v>173</v>
      </c>
      <c r="J1008">
        <v>-119236036</v>
      </c>
      <c r="K1008" t="s">
        <v>18</v>
      </c>
      <c r="L1008" t="b">
        <v>0</v>
      </c>
    </row>
    <row r="1009" spans="1:12" x14ac:dyDescent="0.3">
      <c r="A1009" t="s">
        <v>1143</v>
      </c>
      <c r="B1009" t="s">
        <v>52</v>
      </c>
      <c r="C1009" t="s">
        <v>26</v>
      </c>
      <c r="D1009">
        <v>35</v>
      </c>
      <c r="E1009" t="s">
        <v>197</v>
      </c>
      <c r="F1009" t="s">
        <v>16</v>
      </c>
      <c r="G1009" s="1">
        <v>44756</v>
      </c>
      <c r="H1009">
        <v>69146.95</v>
      </c>
      <c r="I1009" t="s">
        <v>109</v>
      </c>
      <c r="J1009">
        <v>-6811872332</v>
      </c>
      <c r="K1009" t="s">
        <v>40</v>
      </c>
      <c r="L1009" t="b">
        <v>0</v>
      </c>
    </row>
    <row r="1010" spans="1:12" x14ac:dyDescent="0.3">
      <c r="A1010" t="s">
        <v>1144</v>
      </c>
      <c r="B1010" t="s">
        <v>67</v>
      </c>
      <c r="C1010" t="s">
        <v>20</v>
      </c>
      <c r="D1010">
        <v>35</v>
      </c>
      <c r="E1010" t="s">
        <v>27</v>
      </c>
      <c r="F1010" t="s">
        <v>33</v>
      </c>
      <c r="G1010" s="1">
        <v>44632</v>
      </c>
      <c r="H1010">
        <v>90224.82</v>
      </c>
      <c r="I1010" t="s">
        <v>173</v>
      </c>
      <c r="J1010">
        <v>-5104096148</v>
      </c>
      <c r="K1010" t="s">
        <v>30</v>
      </c>
      <c r="L1010" t="b">
        <v>1</v>
      </c>
    </row>
    <row r="1011" spans="1:12" x14ac:dyDescent="0.3">
      <c r="A1011" t="s">
        <v>1145</v>
      </c>
      <c r="B1011" t="s">
        <v>57</v>
      </c>
      <c r="C1011" t="s">
        <v>42</v>
      </c>
      <c r="E1011" t="s">
        <v>215</v>
      </c>
      <c r="F1011" t="s">
        <v>28</v>
      </c>
      <c r="G1011" s="1">
        <v>45454</v>
      </c>
      <c r="H1011">
        <v>62603.98</v>
      </c>
      <c r="I1011" t="s">
        <v>94</v>
      </c>
      <c r="J1011">
        <v>-7315391148</v>
      </c>
      <c r="K1011" t="s">
        <v>40</v>
      </c>
      <c r="L1011" t="b">
        <v>0</v>
      </c>
    </row>
    <row r="1012" spans="1:12" x14ac:dyDescent="0.3">
      <c r="A1012" t="s">
        <v>1146</v>
      </c>
      <c r="B1012" t="s">
        <v>13</v>
      </c>
      <c r="C1012" t="s">
        <v>26</v>
      </c>
      <c r="D1012">
        <v>35</v>
      </c>
      <c r="E1012" t="s">
        <v>185</v>
      </c>
      <c r="F1012" t="s">
        <v>16</v>
      </c>
      <c r="G1012" s="1">
        <v>45453</v>
      </c>
      <c r="H1012">
        <v>71148.27</v>
      </c>
      <c r="I1012" t="s">
        <v>48</v>
      </c>
      <c r="J1012">
        <v>-8307482072</v>
      </c>
      <c r="K1012" t="s">
        <v>18</v>
      </c>
      <c r="L1012" t="b">
        <v>0</v>
      </c>
    </row>
    <row r="1013" spans="1:12" x14ac:dyDescent="0.3">
      <c r="A1013" t="s">
        <v>1147</v>
      </c>
      <c r="B1013" t="s">
        <v>57</v>
      </c>
      <c r="C1013" t="s">
        <v>26</v>
      </c>
      <c r="D1013">
        <v>40</v>
      </c>
      <c r="E1013" t="s">
        <v>108</v>
      </c>
      <c r="F1013" t="s">
        <v>33</v>
      </c>
      <c r="G1013" s="1">
        <v>44825</v>
      </c>
      <c r="H1013">
        <v>52031.74</v>
      </c>
      <c r="I1013" t="s">
        <v>200</v>
      </c>
      <c r="J1013">
        <v>-6511893939</v>
      </c>
      <c r="K1013" t="s">
        <v>23</v>
      </c>
      <c r="L1013" t="b">
        <v>1</v>
      </c>
    </row>
    <row r="1014" spans="1:12" x14ac:dyDescent="0.3">
      <c r="A1014" t="s">
        <v>1148</v>
      </c>
      <c r="B1014" t="s">
        <v>67</v>
      </c>
      <c r="C1014" t="s">
        <v>86</v>
      </c>
      <c r="D1014">
        <v>35</v>
      </c>
      <c r="E1014" t="s">
        <v>192</v>
      </c>
      <c r="F1014" t="s">
        <v>33</v>
      </c>
      <c r="G1014" s="1">
        <v>45031</v>
      </c>
      <c r="H1014" t="s">
        <v>223</v>
      </c>
      <c r="I1014" t="s">
        <v>147</v>
      </c>
      <c r="J1014">
        <v>-6557820189</v>
      </c>
      <c r="K1014" t="s">
        <v>18</v>
      </c>
      <c r="L1014" t="b">
        <v>0</v>
      </c>
    </row>
    <row r="1015" spans="1:12" x14ac:dyDescent="0.3">
      <c r="A1015" t="s">
        <v>1149</v>
      </c>
      <c r="B1015" t="s">
        <v>32</v>
      </c>
      <c r="C1015" t="s">
        <v>37</v>
      </c>
      <c r="E1015" t="s">
        <v>166</v>
      </c>
      <c r="F1015" t="s">
        <v>28</v>
      </c>
      <c r="G1015" s="1">
        <v>43867</v>
      </c>
      <c r="H1015">
        <v>116680.63</v>
      </c>
      <c r="I1015" t="s">
        <v>127</v>
      </c>
      <c r="J1015">
        <v>-4322302332</v>
      </c>
      <c r="K1015" t="s">
        <v>30</v>
      </c>
      <c r="L1015" t="b">
        <v>0</v>
      </c>
    </row>
    <row r="1016" spans="1:12" x14ac:dyDescent="0.3">
      <c r="A1016" t="s">
        <v>1150</v>
      </c>
      <c r="B1016" t="s">
        <v>67</v>
      </c>
      <c r="C1016" t="s">
        <v>26</v>
      </c>
      <c r="D1016">
        <v>30</v>
      </c>
      <c r="E1016" t="s">
        <v>93</v>
      </c>
      <c r="F1016" t="s">
        <v>28</v>
      </c>
      <c r="G1016" s="1">
        <v>44332</v>
      </c>
      <c r="H1016">
        <v>51990.98</v>
      </c>
      <c r="I1016" t="s">
        <v>73</v>
      </c>
      <c r="J1016">
        <v>-2470739200</v>
      </c>
      <c r="K1016" t="s">
        <v>23</v>
      </c>
      <c r="L1016" t="b">
        <v>1</v>
      </c>
    </row>
    <row r="1017" spans="1:12" x14ac:dyDescent="0.3">
      <c r="A1017" t="s">
        <v>1151</v>
      </c>
      <c r="B1017" t="s">
        <v>57</v>
      </c>
      <c r="C1017" t="s">
        <v>86</v>
      </c>
      <c r="D1017">
        <v>30</v>
      </c>
      <c r="E1017" t="s">
        <v>131</v>
      </c>
      <c r="F1017" t="s">
        <v>16</v>
      </c>
      <c r="G1017" s="1">
        <v>45157</v>
      </c>
      <c r="H1017" t="s">
        <v>223</v>
      </c>
      <c r="I1017" t="s">
        <v>98</v>
      </c>
      <c r="J1017">
        <v>-3546212759</v>
      </c>
      <c r="K1017" t="s">
        <v>30</v>
      </c>
      <c r="L1017" t="b">
        <v>1</v>
      </c>
    </row>
    <row r="1018" spans="1:12" x14ac:dyDescent="0.3">
      <c r="A1018" t="s">
        <v>1152</v>
      </c>
      <c r="B1018" t="s">
        <v>57</v>
      </c>
      <c r="C1018" t="s">
        <v>53</v>
      </c>
      <c r="D1018">
        <v>30</v>
      </c>
      <c r="E1018" t="s">
        <v>141</v>
      </c>
      <c r="F1018" t="s">
        <v>33</v>
      </c>
      <c r="G1018" s="1">
        <v>44507</v>
      </c>
      <c r="H1018">
        <v>100215.06</v>
      </c>
      <c r="I1018" t="s">
        <v>183</v>
      </c>
      <c r="J1018">
        <v>-2508261122</v>
      </c>
      <c r="K1018" t="s">
        <v>30</v>
      </c>
      <c r="L1018" t="b">
        <v>1</v>
      </c>
    </row>
    <row r="1019" spans="1:12" x14ac:dyDescent="0.3">
      <c r="A1019" t="s">
        <v>1153</v>
      </c>
      <c r="B1019" t="s">
        <v>52</v>
      </c>
      <c r="C1019" t="s">
        <v>37</v>
      </c>
      <c r="D1019">
        <v>40</v>
      </c>
      <c r="E1019" t="s">
        <v>190</v>
      </c>
      <c r="F1019" t="s">
        <v>16</v>
      </c>
      <c r="G1019" s="1">
        <v>45203</v>
      </c>
      <c r="H1019">
        <v>114587.11</v>
      </c>
      <c r="I1019" t="s">
        <v>84</v>
      </c>
      <c r="J1019">
        <v>-1261632487</v>
      </c>
      <c r="K1019" t="s">
        <v>18</v>
      </c>
      <c r="L1019" t="b">
        <v>0</v>
      </c>
    </row>
    <row r="1020" spans="1:12" x14ac:dyDescent="0.3">
      <c r="A1020" t="s">
        <v>1154</v>
      </c>
      <c r="B1020" t="s">
        <v>25</v>
      </c>
      <c r="C1020" t="s">
        <v>42</v>
      </c>
      <c r="D1020">
        <v>30</v>
      </c>
      <c r="E1020" t="s">
        <v>180</v>
      </c>
      <c r="F1020" t="s">
        <v>33</v>
      </c>
      <c r="G1020" s="1">
        <v>45642</v>
      </c>
      <c r="H1020">
        <v>71318.789999999994</v>
      </c>
      <c r="I1020" t="s">
        <v>44</v>
      </c>
      <c r="J1020">
        <v>-8995729892</v>
      </c>
      <c r="K1020" t="s">
        <v>30</v>
      </c>
      <c r="L1020" t="b">
        <v>1</v>
      </c>
    </row>
    <row r="1021" spans="1:12" x14ac:dyDescent="0.3">
      <c r="A1021" t="s">
        <v>1155</v>
      </c>
      <c r="B1021" t="s">
        <v>63</v>
      </c>
      <c r="C1021" t="s">
        <v>26</v>
      </c>
      <c r="D1021">
        <v>30</v>
      </c>
      <c r="E1021" t="s">
        <v>75</v>
      </c>
      <c r="F1021" t="s">
        <v>28</v>
      </c>
      <c r="G1021" s="1">
        <v>44249</v>
      </c>
      <c r="H1021">
        <v>77764.240000000005</v>
      </c>
      <c r="I1021" t="s">
        <v>251</v>
      </c>
      <c r="J1021">
        <v>-7629745492</v>
      </c>
      <c r="K1021" t="s">
        <v>18</v>
      </c>
      <c r="L1021" t="b">
        <v>0</v>
      </c>
    </row>
  </sheetData>
  <sheetProtection sheet="1" objects="1" scenarios="1" sort="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3126-6CCB-42E9-9E56-852355ECCA40}">
  <dimension ref="A1:M1021"/>
  <sheetViews>
    <sheetView workbookViewId="0">
      <selection activeCell="C26" sqref="C26"/>
    </sheetView>
  </sheetViews>
  <sheetFormatPr defaultRowHeight="16.8" x14ac:dyDescent="0.4"/>
  <cols>
    <col min="1" max="1" width="18.21875" style="2" customWidth="1"/>
    <col min="2" max="2" width="16" style="2" customWidth="1"/>
    <col min="3" max="3" width="15.44140625" style="2" customWidth="1"/>
    <col min="4" max="4" width="9" style="2" customWidth="1"/>
    <col min="5" max="5" width="15" style="2" customWidth="1"/>
    <col min="6" max="6" width="12.21875" style="2" customWidth="1"/>
    <col min="7" max="7" width="11.33203125" style="2" customWidth="1"/>
    <col min="8" max="8" width="15.21875" style="2" customWidth="1"/>
    <col min="9" max="9" width="12.21875" style="4" customWidth="1"/>
    <col min="10" max="10" width="21.21875" style="2" customWidth="1"/>
    <col min="11" max="11" width="11.33203125" style="7" customWidth="1"/>
    <col min="12" max="12" width="23.88671875" style="2" customWidth="1"/>
    <col min="13" max="13" width="19.5546875" style="2" customWidth="1"/>
    <col min="14" max="14" width="8.88671875" style="2"/>
    <col min="15" max="15" width="12.44140625" style="2" bestFit="1" customWidth="1"/>
    <col min="16" max="16" width="16.33203125" style="2" bestFit="1" customWidth="1"/>
    <col min="17" max="17" width="12.44140625" style="2" bestFit="1" customWidth="1"/>
    <col min="18" max="16384" width="8.88671875" style="2"/>
  </cols>
  <sheetData>
    <row r="1" spans="1:13" s="6" customFormat="1" x14ac:dyDescent="0.4">
      <c r="A1" s="6" t="s">
        <v>0</v>
      </c>
      <c r="B1" s="6" t="s">
        <v>1</v>
      </c>
      <c r="C1" s="6" t="s">
        <v>2</v>
      </c>
      <c r="D1" s="6" t="s">
        <v>3</v>
      </c>
      <c r="E1" s="6" t="s">
        <v>1157</v>
      </c>
      <c r="F1" s="6" t="s">
        <v>1156</v>
      </c>
      <c r="G1" s="6" t="s">
        <v>5</v>
      </c>
      <c r="H1" s="6" t="s">
        <v>6</v>
      </c>
      <c r="I1" s="6" t="s">
        <v>7</v>
      </c>
      <c r="J1" s="6" t="s">
        <v>8</v>
      </c>
      <c r="K1" s="6" t="s">
        <v>9</v>
      </c>
      <c r="L1" s="6" t="s">
        <v>10</v>
      </c>
      <c r="M1" s="6" t="s">
        <v>11</v>
      </c>
    </row>
    <row r="2" spans="1:13" x14ac:dyDescent="0.4">
      <c r="A2" s="2" t="str">
        <f>IFERROR(TRIM(Raw_Data!A2), "Review")</f>
        <v>EMP1000</v>
      </c>
      <c r="B2" s="2" t="str">
        <f>IFERROR(TRIM(Raw_Data!B2), "Review")</f>
        <v>Bob</v>
      </c>
      <c r="C2" s="2" t="str">
        <f>IFERROR(TRIM(Raw_Data!C2), "Review")</f>
        <v>Davis</v>
      </c>
      <c r="D2" s="2">
        <f>IF(Raw_Data!D2="", "", IFERROR(VALUE(Raw_Data!D2), ""))</f>
        <v>25</v>
      </c>
      <c r="E2" s="2" t="str">
        <f>IFERROR(LEFT(Raw_Data!E2,SEARCH("-",Raw_Data!E2)-1),"Review")</f>
        <v>DevOps</v>
      </c>
      <c r="F2" s="2" t="str">
        <f>IFERROR(_xlfn.TEXTAFTER(Raw_Data!E2,"-"),"Review")</f>
        <v>California</v>
      </c>
      <c r="G2" s="2" t="str">
        <f>IFERROR(TRIM(Raw_Data!F2), "Review")</f>
        <v>Active</v>
      </c>
      <c r="H2" s="3" t="str">
        <f>IFERROR(TEXT(Raw_Data!G2, "YYYY-MM-DD"),"Review")</f>
        <v>2021-04-02</v>
      </c>
      <c r="I2" s="4">
        <f>IF(Raw_Data!H2="", "", IFERROR(VALUE(Raw_Data!H2), ""))</f>
        <v>59767.65</v>
      </c>
      <c r="J2" s="2" t="str">
        <f>IF(Raw_Data!I2="", "", IF(ISNUMBER(FIND("@", Raw_Data!I2)), Raw_Data!I2, "Review"))</f>
        <v>bob.davis@example.com</v>
      </c>
      <c r="K2" s="5" t="str">
        <f>IFERROR(TEXT(ABS(Raw_Data!J2), "0"), "Review")</f>
        <v>1651623197</v>
      </c>
      <c r="L2" s="2" t="str">
        <f>IFERROR(TRIM(Raw_Data!K2), "Review")</f>
        <v>Average</v>
      </c>
      <c r="M2" s="2" t="b">
        <f>IF(Raw_Data!L2="", "",
    IF(ISLOGICAL(Raw_Data!L2), Raw_Data!L2,
        IF(OR(UPPER(Raw_Data!L2)="TRUE", UPPER(Raw_Data!L2)="YES", UPPER(Raw_Data!L2)="1"), TRUE,
            IF(OR(UPPER(Raw_Data!L2)="FALSE", UPPER(Raw_Data!L2)="NO", UPPER(Raw_Data!L2)="0"), FALSE, "Review")
        )
    )
)</f>
        <v>1</v>
      </c>
    </row>
    <row r="3" spans="1:13" x14ac:dyDescent="0.4">
      <c r="A3" s="2" t="str">
        <f>IFERROR(TRIM(Raw_Data!A3), "Review")</f>
        <v>EMP1001</v>
      </c>
      <c r="B3" s="2" t="str">
        <f>IFERROR(TRIM(Raw_Data!B3), "Review")</f>
        <v>Bob</v>
      </c>
      <c r="C3" s="2" t="str">
        <f>IFERROR(TRIM(Raw_Data!C3), "Review")</f>
        <v>Brown</v>
      </c>
      <c r="D3" s="2" t="str">
        <f>IF(Raw_Data!D3="", "", IFERROR(VALUE(Raw_Data!D3), ""))</f>
        <v/>
      </c>
      <c r="E3" s="2" t="str">
        <f>IFERROR(LEFT(Raw_Data!E3,SEARCH("-",Raw_Data!E3)-1),"Review")</f>
        <v>Finance</v>
      </c>
      <c r="F3" s="2" t="str">
        <f>IFERROR(_xlfn.TEXTAFTER(Raw_Data!E3,"-"),"Review")</f>
        <v>Texas</v>
      </c>
      <c r="G3" s="2" t="str">
        <f>IFERROR(TRIM(Raw_Data!F3), "Review")</f>
        <v>Active</v>
      </c>
      <c r="H3" s="3" t="str">
        <f>IFERROR(TEXT(Raw_Data!G3, "YYYY-MM-DD"),"Review")</f>
        <v>2020-07-10</v>
      </c>
      <c r="I3" s="4">
        <f>IF(Raw_Data!H3="", "", IFERROR(VALUE(Raw_Data!H3), ""))</f>
        <v>65304.66</v>
      </c>
      <c r="J3" s="2" t="str">
        <f>IF(Raw_Data!I3="", "", IF(ISNUMBER(FIND("@", Raw_Data!I3)), Raw_Data!I3, "Review"))</f>
        <v>bob.brown@example.com</v>
      </c>
      <c r="K3" s="5" t="str">
        <f>IFERROR(TEXT(ABS(Raw_Data!J3), "0"), "Review")</f>
        <v>1898471390</v>
      </c>
      <c r="L3" s="2" t="str">
        <f>IFERROR(TRIM(Raw_Data!K3), "Review")</f>
        <v>Excellent</v>
      </c>
      <c r="M3" s="2" t="b">
        <f>IF(Raw_Data!L3="", "",
    IF(ISLOGICAL(Raw_Data!L3), Raw_Data!L3,
        IF(OR(UPPER(Raw_Data!L3)="TRUE", UPPER(Raw_Data!L3)="YES", UPPER(Raw_Data!L3)="1"), TRUE,
            IF(OR(UPPER(Raw_Data!L3)="FALSE", UPPER(Raw_Data!L3)="NO", UPPER(Raw_Data!L3)="0"), FALSE, "Review")
        )
    )
)</f>
        <v>1</v>
      </c>
    </row>
    <row r="4" spans="1:13" x14ac:dyDescent="0.4">
      <c r="A4" s="2" t="str">
        <f>IFERROR(TRIM(Raw_Data!A4), "Review")</f>
        <v>EMP1002</v>
      </c>
      <c r="B4" s="2" t="str">
        <f>IFERROR(TRIM(Raw_Data!B4), "Review")</f>
        <v>Alice</v>
      </c>
      <c r="C4" s="2" t="str">
        <f>IFERROR(TRIM(Raw_Data!C4), "Review")</f>
        <v>Jones</v>
      </c>
      <c r="D4" s="2" t="str">
        <f>IF(Raw_Data!D4="", "", IFERROR(VALUE(Raw_Data!D4), ""))</f>
        <v/>
      </c>
      <c r="E4" s="2" t="str">
        <f>IFERROR(LEFT(Raw_Data!E4,SEARCH("-",Raw_Data!E4)-1),"Review")</f>
        <v>Admin</v>
      </c>
      <c r="F4" s="2" t="str">
        <f>IFERROR(_xlfn.TEXTAFTER(Raw_Data!E4,"-"),"Review")</f>
        <v>Nevada</v>
      </c>
      <c r="G4" s="2" t="str">
        <f>IFERROR(TRIM(Raw_Data!F4), "Review")</f>
        <v>Pending</v>
      </c>
      <c r="H4" s="3" t="str">
        <f>IFERROR(TEXT(Raw_Data!G4, "YYYY-MM-DD"),"Review")</f>
        <v>2023-12-07</v>
      </c>
      <c r="I4" s="4">
        <f>IF(Raw_Data!H4="", "", IFERROR(VALUE(Raw_Data!H4), ""))</f>
        <v>88145.9</v>
      </c>
      <c r="J4" s="2" t="str">
        <f>IF(Raw_Data!I4="", "", IF(ISNUMBER(FIND("@", Raw_Data!I4)), Raw_Data!I4, "Review"))</f>
        <v>alice.jones@example.com</v>
      </c>
      <c r="K4" s="5" t="str">
        <f>IFERROR(TEXT(ABS(Raw_Data!J4), "0"), "Review")</f>
        <v>5596363211</v>
      </c>
      <c r="L4" s="2" t="str">
        <f>IFERROR(TRIM(Raw_Data!K4), "Review")</f>
        <v>Good</v>
      </c>
      <c r="M4" s="2" t="b">
        <f>IF(Raw_Data!L4="", "",
    IF(ISLOGICAL(Raw_Data!L4), Raw_Data!L4,
        IF(OR(UPPER(Raw_Data!L4)="TRUE", UPPER(Raw_Data!L4)="YES", UPPER(Raw_Data!L4)="1"), TRUE,
            IF(OR(UPPER(Raw_Data!L4)="FALSE", UPPER(Raw_Data!L4)="NO", UPPER(Raw_Data!L4)="0"), FALSE, "Review")
        )
    )
)</f>
        <v>1</v>
      </c>
    </row>
    <row r="5" spans="1:13" x14ac:dyDescent="0.4">
      <c r="A5" s="2" t="str">
        <f>IFERROR(TRIM(Raw_Data!A5), "Review")</f>
        <v>EMP1003</v>
      </c>
      <c r="B5" s="2" t="str">
        <f>IFERROR(TRIM(Raw_Data!B5), "Review")</f>
        <v>Eva</v>
      </c>
      <c r="C5" s="2" t="str">
        <f>IFERROR(TRIM(Raw_Data!C5), "Review")</f>
        <v>Davis</v>
      </c>
      <c r="D5" s="2">
        <f>IF(Raw_Data!D5="", "", IFERROR(VALUE(Raw_Data!D5), ""))</f>
        <v>25</v>
      </c>
      <c r="E5" s="2" t="str">
        <f>IFERROR(LEFT(Raw_Data!E5,SEARCH("-",Raw_Data!E5)-1),"Review")</f>
        <v>Admin</v>
      </c>
      <c r="F5" s="2" t="str">
        <f>IFERROR(_xlfn.TEXTAFTER(Raw_Data!E5,"-"),"Review")</f>
        <v>Nevada</v>
      </c>
      <c r="G5" s="2" t="str">
        <f>IFERROR(TRIM(Raw_Data!F5), "Review")</f>
        <v>Inactive</v>
      </c>
      <c r="H5" s="3" t="str">
        <f>IFERROR(TEXT(Raw_Data!G5, "YYYY-MM-DD"),"Review")</f>
        <v>2021-11-27</v>
      </c>
      <c r="I5" s="4">
        <f>IF(Raw_Data!H5="", "", IFERROR(VALUE(Raw_Data!H5), ""))</f>
        <v>69450.990000000005</v>
      </c>
      <c r="J5" s="2" t="str">
        <f>IF(Raw_Data!I5="", "", IF(ISNUMBER(FIND("@", Raw_Data!I5)), Raw_Data!I5, "Review"))</f>
        <v>eva.davis@example.com</v>
      </c>
      <c r="K5" s="5" t="str">
        <f>IFERROR(TEXT(ABS(Raw_Data!J5), "0"), "Review")</f>
        <v>3476490784</v>
      </c>
      <c r="L5" s="2" t="str">
        <f>IFERROR(TRIM(Raw_Data!K5), "Review")</f>
        <v>Good</v>
      </c>
      <c r="M5" s="2" t="b">
        <f>IF(Raw_Data!L5="", "",
    IF(ISLOGICAL(Raw_Data!L5), Raw_Data!L5,
        IF(OR(UPPER(Raw_Data!L5)="TRUE", UPPER(Raw_Data!L5)="YES", UPPER(Raw_Data!L5)="1"), TRUE,
            IF(OR(UPPER(Raw_Data!L5)="FALSE", UPPER(Raw_Data!L5)="NO", UPPER(Raw_Data!L5)="0"), FALSE, "Review")
        )
    )
)</f>
        <v>1</v>
      </c>
    </row>
    <row r="6" spans="1:13" x14ac:dyDescent="0.4">
      <c r="A6" s="2" t="str">
        <f>IFERROR(TRIM(Raw_Data!A6), "Review")</f>
        <v>EMP1004</v>
      </c>
      <c r="B6" s="2" t="str">
        <f>IFERROR(TRIM(Raw_Data!B6), "Review")</f>
        <v>Frank</v>
      </c>
      <c r="C6" s="2" t="str">
        <f>IFERROR(TRIM(Raw_Data!C6), "Review")</f>
        <v>Williams</v>
      </c>
      <c r="D6" s="2">
        <f>IF(Raw_Data!D6="", "", IFERROR(VALUE(Raw_Data!D6), ""))</f>
        <v>25</v>
      </c>
      <c r="E6" s="2" t="str">
        <f>IFERROR(LEFT(Raw_Data!E6,SEARCH("-",Raw_Data!E6)-1),"Review")</f>
        <v>Cloud Tech</v>
      </c>
      <c r="F6" s="2" t="str">
        <f>IFERROR(_xlfn.TEXTAFTER(Raw_Data!E6,"-"),"Review")</f>
        <v>Florida</v>
      </c>
      <c r="G6" s="2" t="str">
        <f>IFERROR(TRIM(Raw_Data!F6), "Review")</f>
        <v>Active</v>
      </c>
      <c r="H6" s="3" t="str">
        <f>IFERROR(TEXT(Raw_Data!G6, "YYYY-MM-DD"),"Review")</f>
        <v>2022-01-05</v>
      </c>
      <c r="I6" s="4">
        <f>IF(Raw_Data!H6="", "", IFERROR(VALUE(Raw_Data!H6), ""))</f>
        <v>109324.61</v>
      </c>
      <c r="J6" s="2" t="str">
        <f>IF(Raw_Data!I6="", "", IF(ISNUMBER(FIND("@", Raw_Data!I6)), Raw_Data!I6, "Review"))</f>
        <v>frank.williams@example.com</v>
      </c>
      <c r="K6" s="5" t="str">
        <f>IFERROR(TEXT(ABS(Raw_Data!J6), "0"), "Review")</f>
        <v>1586734256</v>
      </c>
      <c r="L6" s="2" t="str">
        <f>IFERROR(TRIM(Raw_Data!K6), "Review")</f>
        <v>Poor</v>
      </c>
      <c r="M6" s="2" t="b">
        <f>IF(Raw_Data!L6="", "",
    IF(ISLOGICAL(Raw_Data!L6), Raw_Data!L6,
        IF(OR(UPPER(Raw_Data!L6)="TRUE", UPPER(Raw_Data!L6)="YES", UPPER(Raw_Data!L6)="1"), TRUE,
            IF(OR(UPPER(Raw_Data!L6)="FALSE", UPPER(Raw_Data!L6)="NO", UPPER(Raw_Data!L6)="0"), FALSE, "Review")
        )
    )
)</f>
        <v>0</v>
      </c>
    </row>
    <row r="7" spans="1:13" x14ac:dyDescent="0.4">
      <c r="A7" s="2" t="str">
        <f>IFERROR(TRIM(Raw_Data!A7), "Review")</f>
        <v>EMP1005</v>
      </c>
      <c r="B7" s="2" t="str">
        <f>IFERROR(TRIM(Raw_Data!B7), "Review")</f>
        <v>Alice</v>
      </c>
      <c r="C7" s="2" t="str">
        <f>IFERROR(TRIM(Raw_Data!C7), "Review")</f>
        <v>Garcia</v>
      </c>
      <c r="D7" s="2">
        <f>IF(Raw_Data!D7="", "", IFERROR(VALUE(Raw_Data!D7), ""))</f>
        <v>40</v>
      </c>
      <c r="E7" s="2" t="str">
        <f>IFERROR(LEFT(Raw_Data!E7,SEARCH("-",Raw_Data!E7)-1),"Review")</f>
        <v>Sales</v>
      </c>
      <c r="F7" s="2" t="str">
        <f>IFERROR(_xlfn.TEXTAFTER(Raw_Data!E7,"-"),"Review")</f>
        <v>Texas</v>
      </c>
      <c r="G7" s="2" t="str">
        <f>IFERROR(TRIM(Raw_Data!F7), "Review")</f>
        <v>Inactive</v>
      </c>
      <c r="H7" s="3" t="str">
        <f>IFERROR(TEXT(Raw_Data!G7, "YYYY-MM-DD"),"Review")</f>
        <v>2020-06-10</v>
      </c>
      <c r="I7" s="4">
        <f>IF(Raw_Data!H7="", "", IFERROR(VALUE(Raw_Data!H7), ""))</f>
        <v>88642.84</v>
      </c>
      <c r="J7" s="2" t="str">
        <f>IF(Raw_Data!I7="", "", IF(ISNUMBER(FIND("@", Raw_Data!I7)), Raw_Data!I7, "Review"))</f>
        <v>alice.garcia@example.com</v>
      </c>
      <c r="K7" s="5" t="str">
        <f>IFERROR(TEXT(ABS(Raw_Data!J7), "0"), "Review")</f>
        <v>5409003485</v>
      </c>
      <c r="L7" s="2" t="str">
        <f>IFERROR(TRIM(Raw_Data!K7), "Review")</f>
        <v>Good</v>
      </c>
      <c r="M7" s="2" t="b">
        <f>IF(Raw_Data!L7="", "",
    IF(ISLOGICAL(Raw_Data!L7), Raw_Data!L7,
        IF(OR(UPPER(Raw_Data!L7)="TRUE", UPPER(Raw_Data!L7)="YES", UPPER(Raw_Data!L7)="1"), TRUE,
            IF(OR(UPPER(Raw_Data!L7)="FALSE", UPPER(Raw_Data!L7)="NO", UPPER(Raw_Data!L7)="0"), FALSE, "Review")
        )
    )
)</f>
        <v>0</v>
      </c>
    </row>
    <row r="8" spans="1:13" x14ac:dyDescent="0.4">
      <c r="A8" s="2" t="str">
        <f>IFERROR(TRIM(Raw_Data!A8), "Review")</f>
        <v>EMP1006</v>
      </c>
      <c r="B8" s="2" t="str">
        <f>IFERROR(TRIM(Raw_Data!B8), "Review")</f>
        <v>Frank</v>
      </c>
      <c r="C8" s="2" t="str">
        <f>IFERROR(TRIM(Raw_Data!C8), "Review")</f>
        <v>Jones</v>
      </c>
      <c r="D8" s="2" t="str">
        <f>IF(Raw_Data!D8="", "", IFERROR(VALUE(Raw_Data!D8), ""))</f>
        <v/>
      </c>
      <c r="E8" s="2" t="str">
        <f>IFERROR(LEFT(Raw_Data!E8,SEARCH("-",Raw_Data!E8)-1),"Review")</f>
        <v>Admin</v>
      </c>
      <c r="F8" s="2" t="str">
        <f>IFERROR(_xlfn.TEXTAFTER(Raw_Data!E8,"-"),"Review")</f>
        <v>Nevada</v>
      </c>
      <c r="G8" s="2" t="str">
        <f>IFERROR(TRIM(Raw_Data!F8), "Review")</f>
        <v>Active</v>
      </c>
      <c r="H8" s="3" t="str">
        <f>IFERROR(TEXT(Raw_Data!G8, "YYYY-MM-DD"),"Review")</f>
        <v>2020-04-03</v>
      </c>
      <c r="I8" s="4">
        <f>IF(Raw_Data!H8="", "", IFERROR(VALUE(Raw_Data!H8), ""))</f>
        <v>96288.43</v>
      </c>
      <c r="J8" s="2" t="str">
        <f>IF(Raw_Data!I8="", "", IF(ISNUMBER(FIND("@", Raw_Data!I8)), Raw_Data!I8, "Review"))</f>
        <v>frank.jones@example.com</v>
      </c>
      <c r="K8" s="5" t="str">
        <f>IFERROR(TEXT(ABS(Raw_Data!J8), "0"), "Review")</f>
        <v>4518376063</v>
      </c>
      <c r="L8" s="2" t="str">
        <f>IFERROR(TRIM(Raw_Data!K8), "Review")</f>
        <v>Good</v>
      </c>
      <c r="M8" s="2" t="b">
        <f>IF(Raw_Data!L8="", "",
    IF(ISLOGICAL(Raw_Data!L8), Raw_Data!L8,
        IF(OR(UPPER(Raw_Data!L8)="TRUE", UPPER(Raw_Data!L8)="YES", UPPER(Raw_Data!L8)="1"), TRUE,
            IF(OR(UPPER(Raw_Data!L8)="FALSE", UPPER(Raw_Data!L8)="NO", UPPER(Raw_Data!L8)="0"), FALSE, "Review")
        )
    )
)</f>
        <v>0</v>
      </c>
    </row>
    <row r="9" spans="1:13" x14ac:dyDescent="0.4">
      <c r="A9" s="2" t="str">
        <f>IFERROR(TRIM(Raw_Data!A9), "Review")</f>
        <v>EMP1007</v>
      </c>
      <c r="B9" s="2" t="str">
        <f>IFERROR(TRIM(Raw_Data!B9), "Review")</f>
        <v>Bob</v>
      </c>
      <c r="C9" s="2" t="str">
        <f>IFERROR(TRIM(Raw_Data!C9), "Review")</f>
        <v>Jones</v>
      </c>
      <c r="D9" s="2">
        <f>IF(Raw_Data!D9="", "", IFERROR(VALUE(Raw_Data!D9), ""))</f>
        <v>30</v>
      </c>
      <c r="E9" s="2" t="str">
        <f>IFERROR(LEFT(Raw_Data!E9,SEARCH("-",Raw_Data!E9)-1),"Review")</f>
        <v>Cloud Tech</v>
      </c>
      <c r="F9" s="2" t="str">
        <f>IFERROR(_xlfn.TEXTAFTER(Raw_Data!E9,"-"),"Review")</f>
        <v>Florida</v>
      </c>
      <c r="G9" s="2" t="str">
        <f>IFERROR(TRIM(Raw_Data!F9), "Review")</f>
        <v>Inactive</v>
      </c>
      <c r="H9" s="3" t="str">
        <f>IFERROR(TEXT(Raw_Data!G9, "YYYY-MM-DD"),"Review")</f>
        <v>2022-07-17</v>
      </c>
      <c r="I9" s="4">
        <f>IF(Raw_Data!H9="", "", IFERROR(VALUE(Raw_Data!H9), ""))</f>
        <v>94497.91</v>
      </c>
      <c r="J9" s="2" t="str">
        <f>IF(Raw_Data!I9="", "", IF(ISNUMBER(FIND("@", Raw_Data!I9)), Raw_Data!I9, "Review"))</f>
        <v>bob.jones@example.com</v>
      </c>
      <c r="K9" s="5" t="str">
        <f>IFERROR(TEXT(ABS(Raw_Data!J9), "0"), "Review")</f>
        <v>4134327559</v>
      </c>
      <c r="L9" s="2" t="str">
        <f>IFERROR(TRIM(Raw_Data!K9), "Review")</f>
        <v>Average</v>
      </c>
      <c r="M9" s="2" t="b">
        <f>IF(Raw_Data!L9="", "",
    IF(ISLOGICAL(Raw_Data!L9), Raw_Data!L9,
        IF(OR(UPPER(Raw_Data!L9)="TRUE", UPPER(Raw_Data!L9)="YES", UPPER(Raw_Data!L9)="1"), TRUE,
            IF(OR(UPPER(Raw_Data!L9)="FALSE", UPPER(Raw_Data!L9)="NO", UPPER(Raw_Data!L9)="0"), FALSE, "Review")
        )
    )
)</f>
        <v>1</v>
      </c>
    </row>
    <row r="10" spans="1:13" x14ac:dyDescent="0.4">
      <c r="A10" s="2" t="str">
        <f>IFERROR(TRIM(Raw_Data!A10), "Review")</f>
        <v>EMP1008</v>
      </c>
      <c r="B10" s="2" t="str">
        <f>IFERROR(TRIM(Raw_Data!B10), "Review")</f>
        <v>Frank</v>
      </c>
      <c r="C10" s="2" t="str">
        <f>IFERROR(TRIM(Raw_Data!C10), "Review")</f>
        <v>Davis</v>
      </c>
      <c r="D10" s="2">
        <f>IF(Raw_Data!D10="", "", IFERROR(VALUE(Raw_Data!D10), ""))</f>
        <v>35</v>
      </c>
      <c r="E10" s="2" t="str">
        <f>IFERROR(LEFT(Raw_Data!E10,SEARCH("-",Raw_Data!E10)-1),"Review")</f>
        <v>Admin</v>
      </c>
      <c r="F10" s="2" t="str">
        <f>IFERROR(_xlfn.TEXTAFTER(Raw_Data!E10,"-"),"Review")</f>
        <v>Nevada</v>
      </c>
      <c r="G10" s="2" t="str">
        <f>IFERROR(TRIM(Raw_Data!F10), "Review")</f>
        <v>Inactive</v>
      </c>
      <c r="H10" s="3" t="str">
        <f>IFERROR(TEXT(Raw_Data!G10, "YYYY-MM-DD"),"Review")</f>
        <v>2023-12-08</v>
      </c>
      <c r="I10" s="4">
        <f>IF(Raw_Data!H10="", "", IFERROR(VALUE(Raw_Data!H10), ""))</f>
        <v>115565.82</v>
      </c>
      <c r="J10" s="2" t="str">
        <f>IF(Raw_Data!I10="", "", IF(ISNUMBER(FIND("@", Raw_Data!I10)), Raw_Data!I10, "Review"))</f>
        <v>frank.davis@example.com</v>
      </c>
      <c r="K10" s="5" t="str">
        <f>IFERROR(TEXT(ABS(Raw_Data!J10), "0"), "Review")</f>
        <v>4177656123</v>
      </c>
      <c r="L10" s="2" t="str">
        <f>IFERROR(TRIM(Raw_Data!K10), "Review")</f>
        <v>Excellent</v>
      </c>
      <c r="M10" s="2" t="b">
        <f>IF(Raw_Data!L10="", "",
    IF(ISLOGICAL(Raw_Data!L10), Raw_Data!L10,
        IF(OR(UPPER(Raw_Data!L10)="TRUE", UPPER(Raw_Data!L10)="YES", UPPER(Raw_Data!L10)="1"), TRUE,
            IF(OR(UPPER(Raw_Data!L10)="FALSE", UPPER(Raw_Data!L10)="NO", UPPER(Raw_Data!L10)="0"), FALSE, "Review")
        )
    )
)</f>
        <v>1</v>
      </c>
    </row>
    <row r="11" spans="1:13" x14ac:dyDescent="0.4">
      <c r="A11" s="2" t="str">
        <f>IFERROR(TRIM(Raw_Data!A11), "Review")</f>
        <v>EMP1009</v>
      </c>
      <c r="B11" s="2" t="str">
        <f>IFERROR(TRIM(Raw_Data!B11), "Review")</f>
        <v>Charlie</v>
      </c>
      <c r="C11" s="2" t="str">
        <f>IFERROR(TRIM(Raw_Data!C11), "Review")</f>
        <v>Johnson</v>
      </c>
      <c r="D11" s="2" t="str">
        <f>IF(Raw_Data!D11="", "", IFERROR(VALUE(Raw_Data!D11), ""))</f>
        <v/>
      </c>
      <c r="E11" s="2" t="str">
        <f>IFERROR(LEFT(Raw_Data!E11,SEARCH("-",Raw_Data!E11)-1),"Review")</f>
        <v>DevOps</v>
      </c>
      <c r="F11" s="2" t="str">
        <f>IFERROR(_xlfn.TEXTAFTER(Raw_Data!E11,"-"),"Review")</f>
        <v>New York</v>
      </c>
      <c r="G11" s="2" t="str">
        <f>IFERROR(TRIM(Raw_Data!F11), "Review")</f>
        <v>Active</v>
      </c>
      <c r="H11" s="3" t="str">
        <f>IFERROR(TEXT(Raw_Data!G11, "YYYY-MM-DD"),"Review")</f>
        <v>2022-08-04</v>
      </c>
      <c r="I11" s="4">
        <f>IF(Raw_Data!H11="", "", IFERROR(VALUE(Raw_Data!H11), ""))</f>
        <v>76561.88</v>
      </c>
      <c r="J11" s="2" t="str">
        <f>IF(Raw_Data!I11="", "", IF(ISNUMBER(FIND("@", Raw_Data!I11)), Raw_Data!I11, "Review"))</f>
        <v>charlie.johnson@example.com</v>
      </c>
      <c r="K11" s="5" t="str">
        <f>IFERROR(TEXT(ABS(Raw_Data!J11), "0"), "Review")</f>
        <v>8156985699</v>
      </c>
      <c r="L11" s="2" t="str">
        <f>IFERROR(TRIM(Raw_Data!K11), "Review")</f>
        <v>Excellent</v>
      </c>
      <c r="M11" s="2" t="b">
        <f>IF(Raw_Data!L11="", "",
    IF(ISLOGICAL(Raw_Data!L11), Raw_Data!L11,
        IF(OR(UPPER(Raw_Data!L11)="TRUE", UPPER(Raw_Data!L11)="YES", UPPER(Raw_Data!L11)="1"), TRUE,
            IF(OR(UPPER(Raw_Data!L11)="FALSE", UPPER(Raw_Data!L11)="NO", UPPER(Raw_Data!L11)="0"), FALSE, "Review")
        )
    )
)</f>
        <v>1</v>
      </c>
    </row>
    <row r="12" spans="1:13" x14ac:dyDescent="0.4">
      <c r="A12" s="2" t="str">
        <f>IFERROR(TRIM(Raw_Data!A12), "Review")</f>
        <v>EMP1010</v>
      </c>
      <c r="B12" s="2" t="str">
        <f>IFERROR(TRIM(Raw_Data!B12), "Review")</f>
        <v>David</v>
      </c>
      <c r="C12" s="2" t="str">
        <f>IFERROR(TRIM(Raw_Data!C12), "Review")</f>
        <v>Williams</v>
      </c>
      <c r="D12" s="2">
        <f>IF(Raw_Data!D12="", "", IFERROR(VALUE(Raw_Data!D12), ""))</f>
        <v>35</v>
      </c>
      <c r="E12" s="2" t="str">
        <f>IFERROR(LEFT(Raw_Data!E12,SEARCH("-",Raw_Data!E12)-1),"Review")</f>
        <v>Cloud Tech</v>
      </c>
      <c r="F12" s="2" t="str">
        <f>IFERROR(_xlfn.TEXTAFTER(Raw_Data!E12,"-"),"Review")</f>
        <v>New York</v>
      </c>
      <c r="G12" s="2" t="str">
        <f>IFERROR(TRIM(Raw_Data!F12), "Review")</f>
        <v>Active</v>
      </c>
      <c r="H12" s="3" t="str">
        <f>IFERROR(TEXT(Raw_Data!G12, "YYYY-MM-DD"),"Review")</f>
        <v>2024-07-06</v>
      </c>
      <c r="I12" s="4">
        <f>IF(Raw_Data!H12="", "", IFERROR(VALUE(Raw_Data!H12), ""))</f>
        <v>72081.710000000006</v>
      </c>
      <c r="J12" s="2" t="str">
        <f>IF(Raw_Data!I12="", "", IF(ISNUMBER(FIND("@", Raw_Data!I12)), Raw_Data!I12, "Review"))</f>
        <v>david.williams@example.com</v>
      </c>
      <c r="K12" s="5" t="str">
        <f>IFERROR(TEXT(ABS(Raw_Data!J12), "0"), "Review")</f>
        <v>2720634590</v>
      </c>
      <c r="L12" s="2" t="str">
        <f>IFERROR(TRIM(Raw_Data!K12), "Review")</f>
        <v>Average</v>
      </c>
      <c r="M12" s="2" t="b">
        <f>IF(Raw_Data!L12="", "",
    IF(ISLOGICAL(Raw_Data!L12), Raw_Data!L12,
        IF(OR(UPPER(Raw_Data!L12)="TRUE", UPPER(Raw_Data!L12)="YES", UPPER(Raw_Data!L12)="1"), TRUE,
            IF(OR(UPPER(Raw_Data!L12)="FALSE", UPPER(Raw_Data!L12)="NO", UPPER(Raw_Data!L12)="0"), FALSE, "Review")
        )
    )
)</f>
        <v>0</v>
      </c>
    </row>
    <row r="13" spans="1:13" x14ac:dyDescent="0.4">
      <c r="A13" s="2" t="str">
        <f>IFERROR(TRIM(Raw_Data!A13), "Review")</f>
        <v>EMP1011</v>
      </c>
      <c r="B13" s="2" t="str">
        <f>IFERROR(TRIM(Raw_Data!B13), "Review")</f>
        <v>David</v>
      </c>
      <c r="C13" s="2" t="str">
        <f>IFERROR(TRIM(Raw_Data!C13), "Review")</f>
        <v>Davis</v>
      </c>
      <c r="D13" s="2" t="str">
        <f>IF(Raw_Data!D13="", "", IFERROR(VALUE(Raw_Data!D13), ""))</f>
        <v/>
      </c>
      <c r="E13" s="2" t="str">
        <f>IFERROR(LEFT(Raw_Data!E13,SEARCH("-",Raw_Data!E13)-1),"Review")</f>
        <v>DevOps</v>
      </c>
      <c r="F13" s="2" t="str">
        <f>IFERROR(_xlfn.TEXTAFTER(Raw_Data!E13,"-"),"Review")</f>
        <v>California</v>
      </c>
      <c r="G13" s="2" t="str">
        <f>IFERROR(TRIM(Raw_Data!F13), "Review")</f>
        <v>Active</v>
      </c>
      <c r="H13" s="3" t="str">
        <f>IFERROR(TEXT(Raw_Data!G13, "YYYY-MM-DD"),"Review")</f>
        <v>2023-09-04</v>
      </c>
      <c r="I13" s="4">
        <f>IF(Raw_Data!H13="", "", IFERROR(VALUE(Raw_Data!H13), ""))</f>
        <v>84946.19</v>
      </c>
      <c r="J13" s="2" t="str">
        <f>IF(Raw_Data!I13="", "", IF(ISNUMBER(FIND("@", Raw_Data!I13)), Raw_Data!I13, "Review"))</f>
        <v>david.davis@example.com</v>
      </c>
      <c r="K13" s="5" t="str">
        <f>IFERROR(TEXT(ABS(Raw_Data!J13), "0"), "Review")</f>
        <v>1238296576</v>
      </c>
      <c r="L13" s="2" t="str">
        <f>IFERROR(TRIM(Raw_Data!K13), "Review")</f>
        <v>Poor</v>
      </c>
      <c r="M13" s="2" t="b">
        <f>IF(Raw_Data!L13="", "",
    IF(ISLOGICAL(Raw_Data!L13), Raw_Data!L13,
        IF(OR(UPPER(Raw_Data!L13)="TRUE", UPPER(Raw_Data!L13)="YES", UPPER(Raw_Data!L13)="1"), TRUE,
            IF(OR(UPPER(Raw_Data!L13)="FALSE", UPPER(Raw_Data!L13)="NO", UPPER(Raw_Data!L13)="0"), FALSE, "Review")
        )
    )
)</f>
        <v>1</v>
      </c>
    </row>
    <row r="14" spans="1:13" x14ac:dyDescent="0.4">
      <c r="A14" s="2" t="str">
        <f>IFERROR(TRIM(Raw_Data!A14), "Review")</f>
        <v>EMP1012</v>
      </c>
      <c r="B14" s="2" t="str">
        <f>IFERROR(TRIM(Raw_Data!B14), "Review")</f>
        <v>Heidi</v>
      </c>
      <c r="C14" s="2" t="str">
        <f>IFERROR(TRIM(Raw_Data!C14), "Review")</f>
        <v>Williams</v>
      </c>
      <c r="D14" s="2">
        <f>IF(Raw_Data!D14="", "", IFERROR(VALUE(Raw_Data!D14), ""))</f>
        <v>30</v>
      </c>
      <c r="E14" s="2" t="str">
        <f>IFERROR(LEFT(Raw_Data!E14,SEARCH("-",Raw_Data!E14)-1),"Review")</f>
        <v>HR</v>
      </c>
      <c r="F14" s="2" t="str">
        <f>IFERROR(_xlfn.TEXTAFTER(Raw_Data!E14,"-"),"Review")</f>
        <v>New York</v>
      </c>
      <c r="G14" s="2" t="str">
        <f>IFERROR(TRIM(Raw_Data!F14), "Review")</f>
        <v>Active</v>
      </c>
      <c r="H14" s="3" t="str">
        <f>IFERROR(TEXT(Raw_Data!G14, "YYYY-MM-DD"),"Review")</f>
        <v>2024-03-05</v>
      </c>
      <c r="I14" s="4">
        <f>IF(Raw_Data!H14="", "", IFERROR(VALUE(Raw_Data!H14), ""))</f>
        <v>89295.77</v>
      </c>
      <c r="J14" s="2" t="str">
        <f>IF(Raw_Data!I14="", "", IF(ISNUMBER(FIND("@", Raw_Data!I14)), Raw_Data!I14, "Review"))</f>
        <v>heidi.williams@example.com</v>
      </c>
      <c r="K14" s="5" t="str">
        <f>IFERROR(TEXT(ABS(Raw_Data!J14), "0"), "Review")</f>
        <v>2429543164</v>
      </c>
      <c r="L14" s="2" t="str">
        <f>IFERROR(TRIM(Raw_Data!K14), "Review")</f>
        <v>Excellent</v>
      </c>
      <c r="M14" s="2" t="b">
        <f>IF(Raw_Data!L14="", "",
    IF(ISLOGICAL(Raw_Data!L14), Raw_Data!L14,
        IF(OR(UPPER(Raw_Data!L14)="TRUE", UPPER(Raw_Data!L14)="YES", UPPER(Raw_Data!L14)="1"), TRUE,
            IF(OR(UPPER(Raw_Data!L14)="FALSE", UPPER(Raw_Data!L14)="NO", UPPER(Raw_Data!L14)="0"), FALSE, "Review")
        )
    )
)</f>
        <v>0</v>
      </c>
    </row>
    <row r="15" spans="1:13" x14ac:dyDescent="0.4">
      <c r="A15" s="2" t="str">
        <f>IFERROR(TRIM(Raw_Data!A15), "Review")</f>
        <v>EMP1013</v>
      </c>
      <c r="B15" s="2" t="str">
        <f>IFERROR(TRIM(Raw_Data!B15), "Review")</f>
        <v>Grace</v>
      </c>
      <c r="C15" s="2" t="str">
        <f>IFERROR(TRIM(Raw_Data!C15), "Review")</f>
        <v>Williams</v>
      </c>
      <c r="D15" s="2" t="str">
        <f>IF(Raw_Data!D15="", "", IFERROR(VALUE(Raw_Data!D15), ""))</f>
        <v/>
      </c>
      <c r="E15" s="2" t="str">
        <f>IFERROR(LEFT(Raw_Data!E15,SEARCH("-",Raw_Data!E15)-1),"Review")</f>
        <v>Finance</v>
      </c>
      <c r="F15" s="2" t="str">
        <f>IFERROR(_xlfn.TEXTAFTER(Raw_Data!E15,"-"),"Review")</f>
        <v>California</v>
      </c>
      <c r="G15" s="2" t="str">
        <f>IFERROR(TRIM(Raw_Data!F15), "Review")</f>
        <v>Active</v>
      </c>
      <c r="H15" s="3" t="str">
        <f>IFERROR(TEXT(Raw_Data!G15, "YYYY-MM-DD"),"Review")</f>
        <v>2020-10-10</v>
      </c>
      <c r="I15" s="4">
        <f>IF(Raw_Data!H15="", "", IFERROR(VALUE(Raw_Data!H15), ""))</f>
        <v>85666.84</v>
      </c>
      <c r="J15" s="2" t="str">
        <f>IF(Raw_Data!I15="", "", IF(ISNUMBER(FIND("@", Raw_Data!I15)), Raw_Data!I15, "Review"))</f>
        <v>grace.williams@example.com</v>
      </c>
      <c r="K15" s="5" t="str">
        <f>IFERROR(TEXT(ABS(Raw_Data!J15), "0"), "Review")</f>
        <v>2669300892</v>
      </c>
      <c r="L15" s="2" t="str">
        <f>IFERROR(TRIM(Raw_Data!K15), "Review")</f>
        <v>Good</v>
      </c>
      <c r="M15" s="2" t="b">
        <f>IF(Raw_Data!L15="", "",
    IF(ISLOGICAL(Raw_Data!L15), Raw_Data!L15,
        IF(OR(UPPER(Raw_Data!L15)="TRUE", UPPER(Raw_Data!L15)="YES", UPPER(Raw_Data!L15)="1"), TRUE,
            IF(OR(UPPER(Raw_Data!L15)="FALSE", UPPER(Raw_Data!L15)="NO", UPPER(Raw_Data!L15)="0"), FALSE, "Review")
        )
    )
)</f>
        <v>0</v>
      </c>
    </row>
    <row r="16" spans="1:13" x14ac:dyDescent="0.4">
      <c r="A16" s="2" t="str">
        <f>IFERROR(TRIM(Raw_Data!A16), "Review")</f>
        <v>EMP1014</v>
      </c>
      <c r="B16" s="2" t="str">
        <f>IFERROR(TRIM(Raw_Data!B16), "Review")</f>
        <v>Alice</v>
      </c>
      <c r="C16" s="2" t="str">
        <f>IFERROR(TRIM(Raw_Data!C16), "Review")</f>
        <v>Garcia</v>
      </c>
      <c r="D16" s="2">
        <f>IF(Raw_Data!D16="", "", IFERROR(VALUE(Raw_Data!D16), ""))</f>
        <v>25</v>
      </c>
      <c r="E16" s="2" t="str">
        <f>IFERROR(LEFT(Raw_Data!E16,SEARCH("-",Raw_Data!E16)-1),"Review")</f>
        <v>Admin</v>
      </c>
      <c r="F16" s="2" t="str">
        <f>IFERROR(_xlfn.TEXTAFTER(Raw_Data!E16,"-"),"Review")</f>
        <v>Nevada</v>
      </c>
      <c r="G16" s="2" t="str">
        <f>IFERROR(TRIM(Raw_Data!F16), "Review")</f>
        <v>Active</v>
      </c>
      <c r="H16" s="3" t="str">
        <f>IFERROR(TEXT(Raw_Data!G16, "YYYY-MM-DD"),"Review")</f>
        <v>2024-06-10</v>
      </c>
      <c r="I16" s="4">
        <f>IF(Raw_Data!H16="", "", IFERROR(VALUE(Raw_Data!H16), ""))</f>
        <v>97633.68</v>
      </c>
      <c r="J16" s="2" t="str">
        <f>IF(Raw_Data!I16="", "", IF(ISNUMBER(FIND("@", Raw_Data!I16)), Raw_Data!I16, "Review"))</f>
        <v>alice.garcia@example.com</v>
      </c>
      <c r="K16" s="5" t="str">
        <f>IFERROR(TEXT(ABS(Raw_Data!J16), "0"), "Review")</f>
        <v>1734206968</v>
      </c>
      <c r="L16" s="2" t="str">
        <f>IFERROR(TRIM(Raw_Data!K16), "Review")</f>
        <v>Excellent</v>
      </c>
      <c r="M16" s="2" t="b">
        <f>IF(Raw_Data!L16="", "",
    IF(ISLOGICAL(Raw_Data!L16), Raw_Data!L16,
        IF(OR(UPPER(Raw_Data!L16)="TRUE", UPPER(Raw_Data!L16)="YES", UPPER(Raw_Data!L16)="1"), TRUE,
            IF(OR(UPPER(Raw_Data!L16)="FALSE", UPPER(Raw_Data!L16)="NO", UPPER(Raw_Data!L16)="0"), FALSE, "Review")
        )
    )
)</f>
        <v>1</v>
      </c>
    </row>
    <row r="17" spans="1:13" x14ac:dyDescent="0.4">
      <c r="A17" s="2" t="str">
        <f>IFERROR(TRIM(Raw_Data!A17), "Review")</f>
        <v>EMP1015</v>
      </c>
      <c r="B17" s="2" t="str">
        <f>IFERROR(TRIM(Raw_Data!B17), "Review")</f>
        <v>Grace</v>
      </c>
      <c r="C17" s="2" t="str">
        <f>IFERROR(TRIM(Raw_Data!C17), "Review")</f>
        <v>Jones</v>
      </c>
      <c r="D17" s="2">
        <f>IF(Raw_Data!D17="", "", IFERROR(VALUE(Raw_Data!D17), ""))</f>
        <v>40</v>
      </c>
      <c r="E17" s="2" t="str">
        <f>IFERROR(LEFT(Raw_Data!E17,SEARCH("-",Raw_Data!E17)-1),"Review")</f>
        <v>Sales</v>
      </c>
      <c r="F17" s="2" t="str">
        <f>IFERROR(_xlfn.TEXTAFTER(Raw_Data!E17,"-"),"Review")</f>
        <v>Florida</v>
      </c>
      <c r="G17" s="2" t="str">
        <f>IFERROR(TRIM(Raw_Data!F17), "Review")</f>
        <v>Pending</v>
      </c>
      <c r="H17" s="3" t="str">
        <f>IFERROR(TEXT(Raw_Data!G17, "YYYY-MM-DD"),"Review")</f>
        <v>2021-05-29</v>
      </c>
      <c r="I17" s="4">
        <f>IF(Raw_Data!H17="", "", IFERROR(VALUE(Raw_Data!H17), ""))</f>
        <v>117975.49</v>
      </c>
      <c r="J17" s="2" t="str">
        <f>IF(Raw_Data!I17="", "", IF(ISNUMBER(FIND("@", Raw_Data!I17)), Raw_Data!I17, "Review"))</f>
        <v>grace.jones@example.com</v>
      </c>
      <c r="K17" s="5" t="str">
        <f>IFERROR(TEXT(ABS(Raw_Data!J17), "0"), "Review")</f>
        <v>4215291085</v>
      </c>
      <c r="L17" s="2" t="str">
        <f>IFERROR(TRIM(Raw_Data!K17), "Review")</f>
        <v>Good</v>
      </c>
      <c r="M17" s="2" t="b">
        <f>IF(Raw_Data!L17="", "",
    IF(ISLOGICAL(Raw_Data!L17), Raw_Data!L17,
        IF(OR(UPPER(Raw_Data!L17)="TRUE", UPPER(Raw_Data!L17)="YES", UPPER(Raw_Data!L17)="1"), TRUE,
            IF(OR(UPPER(Raw_Data!L17)="FALSE", UPPER(Raw_Data!L17)="NO", UPPER(Raw_Data!L17)="0"), FALSE, "Review")
        )
    )
)</f>
        <v>1</v>
      </c>
    </row>
    <row r="18" spans="1:13" x14ac:dyDescent="0.4">
      <c r="A18" s="2" t="str">
        <f>IFERROR(TRIM(Raw_Data!A18), "Review")</f>
        <v>EMP1016</v>
      </c>
      <c r="B18" s="2" t="str">
        <f>IFERROR(TRIM(Raw_Data!B18), "Review")</f>
        <v>Alice</v>
      </c>
      <c r="C18" s="2" t="str">
        <f>IFERROR(TRIM(Raw_Data!C18), "Review")</f>
        <v>Brown</v>
      </c>
      <c r="D18" s="2">
        <f>IF(Raw_Data!D18="", "", IFERROR(VALUE(Raw_Data!D18), ""))</f>
        <v>25</v>
      </c>
      <c r="E18" s="2" t="str">
        <f>IFERROR(LEFT(Raw_Data!E18,SEARCH("-",Raw_Data!E18)-1),"Review")</f>
        <v>DevOps</v>
      </c>
      <c r="F18" s="2" t="str">
        <f>IFERROR(_xlfn.TEXTAFTER(Raw_Data!E18,"-"),"Review")</f>
        <v>Illinois</v>
      </c>
      <c r="G18" s="2" t="str">
        <f>IFERROR(TRIM(Raw_Data!F18), "Review")</f>
        <v>Inactive</v>
      </c>
      <c r="H18" s="3" t="str">
        <f>IFERROR(TEXT(Raw_Data!G18, "YYYY-MM-DD"),"Review")</f>
        <v>2024-04-23</v>
      </c>
      <c r="I18" s="4">
        <f>IF(Raw_Data!H18="", "", IFERROR(VALUE(Raw_Data!H18), ""))</f>
        <v>94867.33</v>
      </c>
      <c r="J18" s="2" t="str">
        <f>IF(Raw_Data!I18="", "", IF(ISNUMBER(FIND("@", Raw_Data!I18)), Raw_Data!I18, "Review"))</f>
        <v>alice.brown@example.com</v>
      </c>
      <c r="K18" s="5" t="str">
        <f>IFERROR(TEXT(ABS(Raw_Data!J18), "0"), "Review")</f>
        <v>7713334475</v>
      </c>
      <c r="L18" s="2" t="str">
        <f>IFERROR(TRIM(Raw_Data!K18), "Review")</f>
        <v>Poor</v>
      </c>
      <c r="M18" s="2" t="b">
        <f>IF(Raw_Data!L18="", "",
    IF(ISLOGICAL(Raw_Data!L18), Raw_Data!L18,
        IF(OR(UPPER(Raw_Data!L18)="TRUE", UPPER(Raw_Data!L18)="YES", UPPER(Raw_Data!L18)="1"), TRUE,
            IF(OR(UPPER(Raw_Data!L18)="FALSE", UPPER(Raw_Data!L18)="NO", UPPER(Raw_Data!L18)="0"), FALSE, "Review")
        )
    )
)</f>
        <v>0</v>
      </c>
    </row>
    <row r="19" spans="1:13" x14ac:dyDescent="0.4">
      <c r="A19" s="2" t="str">
        <f>IFERROR(TRIM(Raw_Data!A19), "Review")</f>
        <v>EMP1017</v>
      </c>
      <c r="B19" s="2" t="str">
        <f>IFERROR(TRIM(Raw_Data!B19), "Review")</f>
        <v>Grace</v>
      </c>
      <c r="C19" s="2" t="str">
        <f>IFERROR(TRIM(Raw_Data!C19), "Review")</f>
        <v>Garcia</v>
      </c>
      <c r="D19" s="2">
        <f>IF(Raw_Data!D19="", "", IFERROR(VALUE(Raw_Data!D19), ""))</f>
        <v>30</v>
      </c>
      <c r="E19" s="2" t="str">
        <f>IFERROR(LEFT(Raw_Data!E19,SEARCH("-",Raw_Data!E19)-1),"Review")</f>
        <v>Finance</v>
      </c>
      <c r="F19" s="2" t="str">
        <f>IFERROR(_xlfn.TEXTAFTER(Raw_Data!E19,"-"),"Review")</f>
        <v>Texas</v>
      </c>
      <c r="G19" s="2" t="str">
        <f>IFERROR(TRIM(Raw_Data!F19), "Review")</f>
        <v>Pending</v>
      </c>
      <c r="H19" s="3" t="str">
        <f>IFERROR(TEXT(Raw_Data!G19, "YYYY-MM-DD"),"Review")</f>
        <v>2024-11-28</v>
      </c>
      <c r="I19" s="4">
        <f>IF(Raw_Data!H19="", "", IFERROR(VALUE(Raw_Data!H19), ""))</f>
        <v>100377.65</v>
      </c>
      <c r="J19" s="2" t="str">
        <f>IF(Raw_Data!I19="", "", IF(ISNUMBER(FIND("@", Raw_Data!I19)), Raw_Data!I19, "Review"))</f>
        <v>grace.garcia@example.com</v>
      </c>
      <c r="K19" s="5" t="str">
        <f>IFERROR(TEXT(ABS(Raw_Data!J19), "0"), "Review")</f>
        <v>2639343625</v>
      </c>
      <c r="L19" s="2" t="str">
        <f>IFERROR(TRIM(Raw_Data!K19), "Review")</f>
        <v>Average</v>
      </c>
      <c r="M19" s="2" t="b">
        <f>IF(Raw_Data!L19="", "",
    IF(ISLOGICAL(Raw_Data!L19), Raw_Data!L19,
        IF(OR(UPPER(Raw_Data!L19)="TRUE", UPPER(Raw_Data!L19)="YES", UPPER(Raw_Data!L19)="1"), TRUE,
            IF(OR(UPPER(Raw_Data!L19)="FALSE", UPPER(Raw_Data!L19)="NO", UPPER(Raw_Data!L19)="0"), FALSE, "Review")
        )
    )
)</f>
        <v>1</v>
      </c>
    </row>
    <row r="20" spans="1:13" x14ac:dyDescent="0.4">
      <c r="A20" s="2" t="str">
        <f>IFERROR(TRIM(Raw_Data!A20), "Review")</f>
        <v>EMP1018</v>
      </c>
      <c r="B20" s="2" t="str">
        <f>IFERROR(TRIM(Raw_Data!B20), "Review")</f>
        <v>Charlie</v>
      </c>
      <c r="C20" s="2" t="str">
        <f>IFERROR(TRIM(Raw_Data!C20), "Review")</f>
        <v>Garcia</v>
      </c>
      <c r="D20" s="2" t="str">
        <f>IF(Raw_Data!D20="", "", IFERROR(VALUE(Raw_Data!D20), ""))</f>
        <v/>
      </c>
      <c r="E20" s="2" t="str">
        <f>IFERROR(LEFT(Raw_Data!E20,SEARCH("-",Raw_Data!E20)-1),"Review")</f>
        <v>Cloud Tech</v>
      </c>
      <c r="F20" s="2" t="str">
        <f>IFERROR(_xlfn.TEXTAFTER(Raw_Data!E20,"-"),"Review")</f>
        <v>Nevada</v>
      </c>
      <c r="G20" s="2" t="str">
        <f>IFERROR(TRIM(Raw_Data!F20), "Review")</f>
        <v>Inactive</v>
      </c>
      <c r="H20" s="3" t="str">
        <f>IFERROR(TEXT(Raw_Data!G20, "YYYY-MM-DD"),"Review")</f>
        <v>2024-09-19</v>
      </c>
      <c r="I20" s="4">
        <f>IF(Raw_Data!H20="", "", IFERROR(VALUE(Raw_Data!H20), ""))</f>
        <v>94726.46</v>
      </c>
      <c r="J20" s="2" t="str">
        <f>IF(Raw_Data!I20="", "", IF(ISNUMBER(FIND("@", Raw_Data!I20)), Raw_Data!I20, "Review"))</f>
        <v>charlie.garcia@example.com</v>
      </c>
      <c r="K20" s="5" t="str">
        <f>IFERROR(TEXT(ABS(Raw_Data!J20), "0"), "Review")</f>
        <v>2044397358</v>
      </c>
      <c r="L20" s="2" t="str">
        <f>IFERROR(TRIM(Raw_Data!K20), "Review")</f>
        <v>Excellent</v>
      </c>
      <c r="M20" s="2" t="b">
        <f>IF(Raw_Data!L20="", "",
    IF(ISLOGICAL(Raw_Data!L20), Raw_Data!L20,
        IF(OR(UPPER(Raw_Data!L20)="TRUE", UPPER(Raw_Data!L20)="YES", UPPER(Raw_Data!L20)="1"), TRUE,
            IF(OR(UPPER(Raw_Data!L20)="FALSE", UPPER(Raw_Data!L20)="NO", UPPER(Raw_Data!L20)="0"), FALSE, "Review")
        )
    )
)</f>
        <v>0</v>
      </c>
    </row>
    <row r="21" spans="1:13" x14ac:dyDescent="0.4">
      <c r="A21" s="2" t="str">
        <f>IFERROR(TRIM(Raw_Data!A21), "Review")</f>
        <v>EMP1019</v>
      </c>
      <c r="B21" s="2" t="str">
        <f>IFERROR(TRIM(Raw_Data!B21), "Review")</f>
        <v>Charlie</v>
      </c>
      <c r="C21" s="2" t="str">
        <f>IFERROR(TRIM(Raw_Data!C21), "Review")</f>
        <v>Williams</v>
      </c>
      <c r="D21" s="2">
        <f>IF(Raw_Data!D21="", "", IFERROR(VALUE(Raw_Data!D21), ""))</f>
        <v>35</v>
      </c>
      <c r="E21" s="2" t="str">
        <f>IFERROR(LEFT(Raw_Data!E21,SEARCH("-",Raw_Data!E21)-1),"Review")</f>
        <v>Admin</v>
      </c>
      <c r="F21" s="2" t="str">
        <f>IFERROR(_xlfn.TEXTAFTER(Raw_Data!E21,"-"),"Review")</f>
        <v>Illinois</v>
      </c>
      <c r="G21" s="2" t="str">
        <f>IFERROR(TRIM(Raw_Data!F21), "Review")</f>
        <v>Pending</v>
      </c>
      <c r="H21" s="3" t="str">
        <f>IFERROR(TEXT(Raw_Data!G21, "YYYY-MM-DD"),"Review")</f>
        <v>2020-01-02</v>
      </c>
      <c r="I21" s="4">
        <f>IF(Raw_Data!H21="", "", IFERROR(VALUE(Raw_Data!H21), ""))</f>
        <v>91926.12</v>
      </c>
      <c r="J21" s="2" t="str">
        <f>IF(Raw_Data!I21="", "", IF(ISNUMBER(FIND("@", Raw_Data!I21)), Raw_Data!I21, "Review"))</f>
        <v>charlie.williams@example.com</v>
      </c>
      <c r="K21" s="5" t="str">
        <f>IFERROR(TEXT(ABS(Raw_Data!J21), "0"), "Review")</f>
        <v>7107256365</v>
      </c>
      <c r="L21" s="2" t="str">
        <f>IFERROR(TRIM(Raw_Data!K21), "Review")</f>
        <v>Average</v>
      </c>
      <c r="M21" s="2" t="b">
        <f>IF(Raw_Data!L21="", "",
    IF(ISLOGICAL(Raw_Data!L21), Raw_Data!L21,
        IF(OR(UPPER(Raw_Data!L21)="TRUE", UPPER(Raw_Data!L21)="YES", UPPER(Raw_Data!L21)="1"), TRUE,
            IF(OR(UPPER(Raw_Data!L21)="FALSE", UPPER(Raw_Data!L21)="NO", UPPER(Raw_Data!L21)="0"), FALSE, "Review")
        )
    )
)</f>
        <v>1</v>
      </c>
    </row>
    <row r="22" spans="1:13" x14ac:dyDescent="0.4">
      <c r="A22" s="2" t="str">
        <f>IFERROR(TRIM(Raw_Data!A22), "Review")</f>
        <v>EMP1020</v>
      </c>
      <c r="B22" s="2" t="str">
        <f>IFERROR(TRIM(Raw_Data!B22), "Review")</f>
        <v>Bob</v>
      </c>
      <c r="C22" s="2" t="str">
        <f>IFERROR(TRIM(Raw_Data!C22), "Review")</f>
        <v>Miller</v>
      </c>
      <c r="D22" s="2">
        <f>IF(Raw_Data!D22="", "", IFERROR(VALUE(Raw_Data!D22), ""))</f>
        <v>35</v>
      </c>
      <c r="E22" s="2" t="str">
        <f>IFERROR(LEFT(Raw_Data!E22,SEARCH("-",Raw_Data!E22)-1),"Review")</f>
        <v>HR</v>
      </c>
      <c r="F22" s="2" t="str">
        <f>IFERROR(_xlfn.TEXTAFTER(Raw_Data!E22,"-"),"Review")</f>
        <v>New York</v>
      </c>
      <c r="G22" s="2" t="str">
        <f>IFERROR(TRIM(Raw_Data!F22), "Review")</f>
        <v>Active</v>
      </c>
      <c r="H22" s="3" t="str">
        <f>IFERROR(TEXT(Raw_Data!G22, "YYYY-MM-DD"),"Review")</f>
        <v>2021-05-08</v>
      </c>
      <c r="I22" s="4">
        <f>IF(Raw_Data!H22="", "", IFERROR(VALUE(Raw_Data!H22), ""))</f>
        <v>111460.67</v>
      </c>
      <c r="J22" s="2" t="str">
        <f>IF(Raw_Data!I22="", "", IF(ISNUMBER(FIND("@", Raw_Data!I22)), Raw_Data!I22, "Review"))</f>
        <v>bob.miller@example.com</v>
      </c>
      <c r="K22" s="5" t="str">
        <f>IFERROR(TEXT(ABS(Raw_Data!J22), "0"), "Review")</f>
        <v>9411800536</v>
      </c>
      <c r="L22" s="2" t="str">
        <f>IFERROR(TRIM(Raw_Data!K22), "Review")</f>
        <v>Excellent</v>
      </c>
      <c r="M22" s="2" t="b">
        <f>IF(Raw_Data!L22="", "",
    IF(ISLOGICAL(Raw_Data!L22), Raw_Data!L22,
        IF(OR(UPPER(Raw_Data!L22)="TRUE", UPPER(Raw_Data!L22)="YES", UPPER(Raw_Data!L22)="1"), TRUE,
            IF(OR(UPPER(Raw_Data!L22)="FALSE", UPPER(Raw_Data!L22)="NO", UPPER(Raw_Data!L22)="0"), FALSE, "Review")
        )
    )
)</f>
        <v>1</v>
      </c>
    </row>
    <row r="23" spans="1:13" x14ac:dyDescent="0.4">
      <c r="A23" s="2" t="str">
        <f>IFERROR(TRIM(Raw_Data!A23), "Review")</f>
        <v>EMP1021</v>
      </c>
      <c r="B23" s="2" t="str">
        <f>IFERROR(TRIM(Raw_Data!B23), "Review")</f>
        <v>Bob</v>
      </c>
      <c r="C23" s="2" t="str">
        <f>IFERROR(TRIM(Raw_Data!C23), "Review")</f>
        <v>Jones</v>
      </c>
      <c r="D23" s="2">
        <f>IF(Raw_Data!D23="", "", IFERROR(VALUE(Raw_Data!D23), ""))</f>
        <v>40</v>
      </c>
      <c r="E23" s="2" t="str">
        <f>IFERROR(LEFT(Raw_Data!E23,SEARCH("-",Raw_Data!E23)-1),"Review")</f>
        <v>Cloud Tech</v>
      </c>
      <c r="F23" s="2" t="str">
        <f>IFERROR(_xlfn.TEXTAFTER(Raw_Data!E23,"-"),"Review")</f>
        <v>Illinois</v>
      </c>
      <c r="G23" s="2" t="str">
        <f>IFERROR(TRIM(Raw_Data!F23), "Review")</f>
        <v>Active</v>
      </c>
      <c r="H23" s="3" t="str">
        <f>IFERROR(TEXT(Raw_Data!G23, "YYYY-MM-DD"),"Review")</f>
        <v>2020-09-19</v>
      </c>
      <c r="I23" s="4">
        <f>IF(Raw_Data!H23="", "", IFERROR(VALUE(Raw_Data!H23), ""))</f>
        <v>96182.56</v>
      </c>
      <c r="J23" s="2" t="str">
        <f>IF(Raw_Data!I23="", "", IF(ISNUMBER(FIND("@", Raw_Data!I23)), Raw_Data!I23, "Review"))</f>
        <v>bob.jones@example.com</v>
      </c>
      <c r="K23" s="5" t="str">
        <f>IFERROR(TEXT(ABS(Raw_Data!J23), "0"), "Review")</f>
        <v>5990048963</v>
      </c>
      <c r="L23" s="2" t="str">
        <f>IFERROR(TRIM(Raw_Data!K23), "Review")</f>
        <v>Good</v>
      </c>
      <c r="M23" s="2" t="b">
        <f>IF(Raw_Data!L23="", "",
    IF(ISLOGICAL(Raw_Data!L23), Raw_Data!L23,
        IF(OR(UPPER(Raw_Data!L23)="TRUE", UPPER(Raw_Data!L23)="YES", UPPER(Raw_Data!L23)="1"), TRUE,
            IF(OR(UPPER(Raw_Data!L23)="FALSE", UPPER(Raw_Data!L23)="NO", UPPER(Raw_Data!L23)="0"), FALSE, "Review")
        )
    )
)</f>
        <v>0</v>
      </c>
    </row>
    <row r="24" spans="1:13" x14ac:dyDescent="0.4">
      <c r="A24" s="2" t="str">
        <f>IFERROR(TRIM(Raw_Data!A24), "Review")</f>
        <v>EMP1022</v>
      </c>
      <c r="B24" s="2" t="str">
        <f>IFERROR(TRIM(Raw_Data!B24), "Review")</f>
        <v>Charlie</v>
      </c>
      <c r="C24" s="2" t="str">
        <f>IFERROR(TRIM(Raw_Data!C24), "Review")</f>
        <v>Johnson</v>
      </c>
      <c r="D24" s="2">
        <f>IF(Raw_Data!D24="", "", IFERROR(VALUE(Raw_Data!D24), ""))</f>
        <v>35</v>
      </c>
      <c r="E24" s="2" t="str">
        <f>IFERROR(LEFT(Raw_Data!E24,SEARCH("-",Raw_Data!E24)-1),"Review")</f>
        <v>Sales</v>
      </c>
      <c r="F24" s="2" t="str">
        <f>IFERROR(_xlfn.TEXTAFTER(Raw_Data!E24,"-"),"Review")</f>
        <v>Illinois</v>
      </c>
      <c r="G24" s="2" t="str">
        <f>IFERROR(TRIM(Raw_Data!F24), "Review")</f>
        <v>Inactive</v>
      </c>
      <c r="H24" s="3" t="str">
        <f>IFERROR(TEXT(Raw_Data!G24, "YYYY-MM-DD"),"Review")</f>
        <v>2021-03-09</v>
      </c>
      <c r="I24" s="4">
        <f>IF(Raw_Data!H24="", "", IFERROR(VALUE(Raw_Data!H24), ""))</f>
        <v>115023.94</v>
      </c>
      <c r="J24" s="2" t="str">
        <f>IF(Raw_Data!I24="", "", IF(ISNUMBER(FIND("@", Raw_Data!I24)), Raw_Data!I24, "Review"))</f>
        <v>charlie.johnson@example.com</v>
      </c>
      <c r="K24" s="5" t="str">
        <f>IFERROR(TEXT(ABS(Raw_Data!J24), "0"), "Review")</f>
        <v>6528092427</v>
      </c>
      <c r="L24" s="2" t="str">
        <f>IFERROR(TRIM(Raw_Data!K24), "Review")</f>
        <v>Average</v>
      </c>
      <c r="M24" s="2" t="b">
        <f>IF(Raw_Data!L24="", "",
    IF(ISLOGICAL(Raw_Data!L24), Raw_Data!L24,
        IF(OR(UPPER(Raw_Data!L24)="TRUE", UPPER(Raw_Data!L24)="YES", UPPER(Raw_Data!L24)="1"), TRUE,
            IF(OR(UPPER(Raw_Data!L24)="FALSE", UPPER(Raw_Data!L24)="NO", UPPER(Raw_Data!L24)="0"), FALSE, "Review")
        )
    )
)</f>
        <v>1</v>
      </c>
    </row>
    <row r="25" spans="1:13" x14ac:dyDescent="0.4">
      <c r="A25" s="2" t="str">
        <f>IFERROR(TRIM(Raw_Data!A25), "Review")</f>
        <v>EMP1023</v>
      </c>
      <c r="B25" s="2" t="str">
        <f>IFERROR(TRIM(Raw_Data!B25), "Review")</f>
        <v>David</v>
      </c>
      <c r="C25" s="2" t="str">
        <f>IFERROR(TRIM(Raw_Data!C25), "Review")</f>
        <v>Garcia</v>
      </c>
      <c r="D25" s="2">
        <f>IF(Raw_Data!D25="", "", IFERROR(VALUE(Raw_Data!D25), ""))</f>
        <v>35</v>
      </c>
      <c r="E25" s="2" t="str">
        <f>IFERROR(LEFT(Raw_Data!E25,SEARCH("-",Raw_Data!E25)-1),"Review")</f>
        <v>Finance</v>
      </c>
      <c r="F25" s="2" t="str">
        <f>IFERROR(_xlfn.TEXTAFTER(Raw_Data!E25,"-"),"Review")</f>
        <v>Nevada</v>
      </c>
      <c r="G25" s="2" t="str">
        <f>IFERROR(TRIM(Raw_Data!F25), "Review")</f>
        <v>Pending</v>
      </c>
      <c r="H25" s="3" t="str">
        <f>IFERROR(TEXT(Raw_Data!G25, "YYYY-MM-DD"),"Review")</f>
        <v>2022-02-03</v>
      </c>
      <c r="I25" s="4">
        <f>IF(Raw_Data!H25="", "", IFERROR(VALUE(Raw_Data!H25), ""))</f>
        <v>80667.009999999995</v>
      </c>
      <c r="J25" s="2" t="str">
        <f>IF(Raw_Data!I25="", "", IF(ISNUMBER(FIND("@", Raw_Data!I25)), Raw_Data!I25, "Review"))</f>
        <v>david.garcia@example.com</v>
      </c>
      <c r="K25" s="5" t="str">
        <f>IFERROR(TEXT(ABS(Raw_Data!J25), "0"), "Review")</f>
        <v>7572158623</v>
      </c>
      <c r="L25" s="2" t="str">
        <f>IFERROR(TRIM(Raw_Data!K25), "Review")</f>
        <v>Excellent</v>
      </c>
      <c r="M25" s="2" t="b">
        <f>IF(Raw_Data!L25="", "",
    IF(ISLOGICAL(Raw_Data!L25), Raw_Data!L25,
        IF(OR(UPPER(Raw_Data!L25)="TRUE", UPPER(Raw_Data!L25)="YES", UPPER(Raw_Data!L25)="1"), TRUE,
            IF(OR(UPPER(Raw_Data!L25)="FALSE", UPPER(Raw_Data!L25)="NO", UPPER(Raw_Data!L25)="0"), FALSE, "Review")
        )
    )
)</f>
        <v>0</v>
      </c>
    </row>
    <row r="26" spans="1:13" x14ac:dyDescent="0.4">
      <c r="A26" s="2" t="str">
        <f>IFERROR(TRIM(Raw_Data!A26), "Review")</f>
        <v>EMP1024</v>
      </c>
      <c r="B26" s="2" t="str">
        <f>IFERROR(TRIM(Raw_Data!B26), "Review")</f>
        <v>Bob</v>
      </c>
      <c r="C26" s="2" t="str">
        <f>IFERROR(TRIM(Raw_Data!C26), "Review")</f>
        <v>Brown</v>
      </c>
      <c r="D26" s="2">
        <f>IF(Raw_Data!D26="", "", IFERROR(VALUE(Raw_Data!D26), ""))</f>
        <v>30</v>
      </c>
      <c r="E26" s="2" t="str">
        <f>IFERROR(LEFT(Raw_Data!E26,SEARCH("-",Raw_Data!E26)-1),"Review")</f>
        <v>Admin</v>
      </c>
      <c r="F26" s="2" t="str">
        <f>IFERROR(_xlfn.TEXTAFTER(Raw_Data!E26,"-"),"Review")</f>
        <v>Texas</v>
      </c>
      <c r="G26" s="2" t="str">
        <f>IFERROR(TRIM(Raw_Data!F26), "Review")</f>
        <v>Inactive</v>
      </c>
      <c r="H26" s="3" t="str">
        <f>IFERROR(TEXT(Raw_Data!G26, "YYYY-MM-DD"),"Review")</f>
        <v>2020-02-13</v>
      </c>
      <c r="I26" s="4">
        <f>IF(Raw_Data!H26="", "", IFERROR(VALUE(Raw_Data!H26), ""))</f>
        <v>91181.61</v>
      </c>
      <c r="J26" s="2" t="str">
        <f>IF(Raw_Data!I26="", "", IF(ISNUMBER(FIND("@", Raw_Data!I26)), Raw_Data!I26, "Review"))</f>
        <v>bob.brown@example.com</v>
      </c>
      <c r="K26" s="5" t="str">
        <f>IFERROR(TEXT(ABS(Raw_Data!J26), "0"), "Review")</f>
        <v>1502745643</v>
      </c>
      <c r="L26" s="2" t="str">
        <f>IFERROR(TRIM(Raw_Data!K26), "Review")</f>
        <v>Good</v>
      </c>
      <c r="M26" s="2" t="b">
        <f>IF(Raw_Data!L26="", "",
    IF(ISLOGICAL(Raw_Data!L26), Raw_Data!L26,
        IF(OR(UPPER(Raw_Data!L26)="TRUE", UPPER(Raw_Data!L26)="YES", UPPER(Raw_Data!L26)="1"), TRUE,
            IF(OR(UPPER(Raw_Data!L26)="FALSE", UPPER(Raw_Data!L26)="NO", UPPER(Raw_Data!L26)="0"), FALSE, "Review")
        )
    )
)</f>
        <v>1</v>
      </c>
    </row>
    <row r="27" spans="1:13" x14ac:dyDescent="0.4">
      <c r="A27" s="2" t="str">
        <f>IFERROR(TRIM(Raw_Data!A27), "Review")</f>
        <v>EMP1025</v>
      </c>
      <c r="B27" s="2" t="str">
        <f>IFERROR(TRIM(Raw_Data!B27), "Review")</f>
        <v>David</v>
      </c>
      <c r="C27" s="2" t="str">
        <f>IFERROR(TRIM(Raw_Data!C27), "Review")</f>
        <v>Miller</v>
      </c>
      <c r="D27" s="2">
        <f>IF(Raw_Data!D27="", "", IFERROR(VALUE(Raw_Data!D27), ""))</f>
        <v>25</v>
      </c>
      <c r="E27" s="2" t="str">
        <f>IFERROR(LEFT(Raw_Data!E27,SEARCH("-",Raw_Data!E27)-1),"Review")</f>
        <v>Cloud Tech</v>
      </c>
      <c r="F27" s="2" t="str">
        <f>IFERROR(_xlfn.TEXTAFTER(Raw_Data!E27,"-"),"Review")</f>
        <v>Nevada</v>
      </c>
      <c r="G27" s="2" t="str">
        <f>IFERROR(TRIM(Raw_Data!F27), "Review")</f>
        <v>Pending</v>
      </c>
      <c r="H27" s="3" t="str">
        <f>IFERROR(TEXT(Raw_Data!G27, "YYYY-MM-DD"),"Review")</f>
        <v>2020-04-30</v>
      </c>
      <c r="I27" s="4">
        <f>IF(Raw_Data!H27="", "", IFERROR(VALUE(Raw_Data!H27), ""))</f>
        <v>66025.919999999998</v>
      </c>
      <c r="J27" s="2" t="str">
        <f>IF(Raw_Data!I27="", "", IF(ISNUMBER(FIND("@", Raw_Data!I27)), Raw_Data!I27, "Review"))</f>
        <v>david.miller@example.com</v>
      </c>
      <c r="K27" s="5" t="str">
        <f>IFERROR(TEXT(ABS(Raw_Data!J27), "0"), "Review")</f>
        <v>9485625727</v>
      </c>
      <c r="L27" s="2" t="str">
        <f>IFERROR(TRIM(Raw_Data!K27), "Review")</f>
        <v>Average</v>
      </c>
      <c r="M27" s="2" t="b">
        <f>IF(Raw_Data!L27="", "",
    IF(ISLOGICAL(Raw_Data!L27), Raw_Data!L27,
        IF(OR(UPPER(Raw_Data!L27)="TRUE", UPPER(Raw_Data!L27)="YES", UPPER(Raw_Data!L27)="1"), TRUE,
            IF(OR(UPPER(Raw_Data!L27)="FALSE", UPPER(Raw_Data!L27)="NO", UPPER(Raw_Data!L27)="0"), FALSE, "Review")
        )
    )
)</f>
        <v>0</v>
      </c>
    </row>
    <row r="28" spans="1:13" x14ac:dyDescent="0.4">
      <c r="A28" s="2" t="str">
        <f>IFERROR(TRIM(Raw_Data!A28), "Review")</f>
        <v>EMP1026</v>
      </c>
      <c r="B28" s="2" t="str">
        <f>IFERROR(TRIM(Raw_Data!B28), "Review")</f>
        <v>Frank</v>
      </c>
      <c r="C28" s="2" t="str">
        <f>IFERROR(TRIM(Raw_Data!C28), "Review")</f>
        <v>Miller</v>
      </c>
      <c r="D28" s="2">
        <f>IF(Raw_Data!D28="", "", IFERROR(VALUE(Raw_Data!D28), ""))</f>
        <v>25</v>
      </c>
      <c r="E28" s="2" t="str">
        <f>IFERROR(LEFT(Raw_Data!E28,SEARCH("-",Raw_Data!E28)-1),"Review")</f>
        <v>Sales</v>
      </c>
      <c r="F28" s="2" t="str">
        <f>IFERROR(_xlfn.TEXTAFTER(Raw_Data!E28,"-"),"Review")</f>
        <v>New York</v>
      </c>
      <c r="G28" s="2" t="str">
        <f>IFERROR(TRIM(Raw_Data!F28), "Review")</f>
        <v>Inactive</v>
      </c>
      <c r="H28" s="3" t="str">
        <f>IFERROR(TEXT(Raw_Data!G28, "YYYY-MM-DD"),"Review")</f>
        <v>2023-10-02</v>
      </c>
      <c r="I28" s="4">
        <f>IF(Raw_Data!H28="", "", IFERROR(VALUE(Raw_Data!H28), ""))</f>
        <v>83979.01</v>
      </c>
      <c r="J28" s="2" t="str">
        <f>IF(Raw_Data!I28="", "", IF(ISNUMBER(FIND("@", Raw_Data!I28)), Raw_Data!I28, "Review"))</f>
        <v>frank.miller@example.com</v>
      </c>
      <c r="K28" s="5" t="str">
        <f>IFERROR(TEXT(ABS(Raw_Data!J28), "0"), "Review")</f>
        <v>7032032073</v>
      </c>
      <c r="L28" s="2" t="str">
        <f>IFERROR(TRIM(Raw_Data!K28), "Review")</f>
        <v>Average</v>
      </c>
      <c r="M28" s="2" t="b">
        <f>IF(Raw_Data!L28="", "",
    IF(ISLOGICAL(Raw_Data!L28), Raw_Data!L28,
        IF(OR(UPPER(Raw_Data!L28)="TRUE", UPPER(Raw_Data!L28)="YES", UPPER(Raw_Data!L28)="1"), TRUE,
            IF(OR(UPPER(Raw_Data!L28)="FALSE", UPPER(Raw_Data!L28)="NO", UPPER(Raw_Data!L28)="0"), FALSE, "Review")
        )
    )
)</f>
        <v>0</v>
      </c>
    </row>
    <row r="29" spans="1:13" x14ac:dyDescent="0.4">
      <c r="A29" s="2" t="str">
        <f>IFERROR(TRIM(Raw_Data!A29), "Review")</f>
        <v>EMP1027</v>
      </c>
      <c r="B29" s="2" t="str">
        <f>IFERROR(TRIM(Raw_Data!B29), "Review")</f>
        <v>Heidi</v>
      </c>
      <c r="C29" s="2" t="str">
        <f>IFERROR(TRIM(Raw_Data!C29), "Review")</f>
        <v>Johnson</v>
      </c>
      <c r="D29" s="2">
        <f>IF(Raw_Data!D29="", "", IFERROR(VALUE(Raw_Data!D29), ""))</f>
        <v>30</v>
      </c>
      <c r="E29" s="2" t="str">
        <f>IFERROR(LEFT(Raw_Data!E29,SEARCH("-",Raw_Data!E29)-1),"Review")</f>
        <v>Finance</v>
      </c>
      <c r="F29" s="2" t="str">
        <f>IFERROR(_xlfn.TEXTAFTER(Raw_Data!E29,"-"),"Review")</f>
        <v>Florida</v>
      </c>
      <c r="G29" s="2" t="str">
        <f>IFERROR(TRIM(Raw_Data!F29), "Review")</f>
        <v>Active</v>
      </c>
      <c r="H29" s="3" t="str">
        <f>IFERROR(TEXT(Raw_Data!G29, "YYYY-MM-DD"),"Review")</f>
        <v>2020-07-12</v>
      </c>
      <c r="I29" s="4">
        <f>IF(Raw_Data!H29="", "", IFERROR(VALUE(Raw_Data!H29), ""))</f>
        <v>56785.16</v>
      </c>
      <c r="J29" s="2" t="str">
        <f>IF(Raw_Data!I29="", "", IF(ISNUMBER(FIND("@", Raw_Data!I29)), Raw_Data!I29, "Review"))</f>
        <v>heidi.johnson@example.com</v>
      </c>
      <c r="K29" s="5" t="str">
        <f>IFERROR(TEXT(ABS(Raw_Data!J29), "0"), "Review")</f>
        <v>2761707586</v>
      </c>
      <c r="L29" s="2" t="str">
        <f>IFERROR(TRIM(Raw_Data!K29), "Review")</f>
        <v>Excellent</v>
      </c>
      <c r="M29" s="2" t="b">
        <f>IF(Raw_Data!L29="", "",
    IF(ISLOGICAL(Raw_Data!L29), Raw_Data!L29,
        IF(OR(UPPER(Raw_Data!L29)="TRUE", UPPER(Raw_Data!L29)="YES", UPPER(Raw_Data!L29)="1"), TRUE,
            IF(OR(UPPER(Raw_Data!L29)="FALSE", UPPER(Raw_Data!L29)="NO", UPPER(Raw_Data!L29)="0"), FALSE, "Review")
        )
    )
)</f>
        <v>1</v>
      </c>
    </row>
    <row r="30" spans="1:13" x14ac:dyDescent="0.4">
      <c r="A30" s="2" t="str">
        <f>IFERROR(TRIM(Raw_Data!A30), "Review")</f>
        <v>EMP1028</v>
      </c>
      <c r="B30" s="2" t="str">
        <f>IFERROR(TRIM(Raw_Data!B30), "Review")</f>
        <v>Grace</v>
      </c>
      <c r="C30" s="2" t="str">
        <f>IFERROR(TRIM(Raw_Data!C30), "Review")</f>
        <v>Garcia</v>
      </c>
      <c r="D30" s="2">
        <f>IF(Raw_Data!D30="", "", IFERROR(VALUE(Raw_Data!D30), ""))</f>
        <v>40</v>
      </c>
      <c r="E30" s="2" t="str">
        <f>IFERROR(LEFT(Raw_Data!E30,SEARCH("-",Raw_Data!E30)-1),"Review")</f>
        <v>Finance</v>
      </c>
      <c r="F30" s="2" t="str">
        <f>IFERROR(_xlfn.TEXTAFTER(Raw_Data!E30,"-"),"Review")</f>
        <v>Nevada</v>
      </c>
      <c r="G30" s="2" t="str">
        <f>IFERROR(TRIM(Raw_Data!F30), "Review")</f>
        <v>Active</v>
      </c>
      <c r="H30" s="3" t="str">
        <f>IFERROR(TEXT(Raw_Data!G30, "YYYY-MM-DD"),"Review")</f>
        <v>2023-10-11</v>
      </c>
      <c r="I30" s="4">
        <f>IF(Raw_Data!H30="", "", IFERROR(VALUE(Raw_Data!H30), ""))</f>
        <v>95741.88</v>
      </c>
      <c r="J30" s="2" t="str">
        <f>IF(Raw_Data!I30="", "", IF(ISNUMBER(FIND("@", Raw_Data!I30)), Raw_Data!I30, "Review"))</f>
        <v>grace.garcia@example.com</v>
      </c>
      <c r="K30" s="5" t="str">
        <f>IFERROR(TEXT(ABS(Raw_Data!J30), "0"), "Review")</f>
        <v>7712151341</v>
      </c>
      <c r="L30" s="2" t="str">
        <f>IFERROR(TRIM(Raw_Data!K30), "Review")</f>
        <v>Excellent</v>
      </c>
      <c r="M30" s="2" t="b">
        <f>IF(Raw_Data!L30="", "",
    IF(ISLOGICAL(Raw_Data!L30), Raw_Data!L30,
        IF(OR(UPPER(Raw_Data!L30)="TRUE", UPPER(Raw_Data!L30)="YES", UPPER(Raw_Data!L30)="1"), TRUE,
            IF(OR(UPPER(Raw_Data!L30)="FALSE", UPPER(Raw_Data!L30)="NO", UPPER(Raw_Data!L30)="0"), FALSE, "Review")
        )
    )
)</f>
        <v>0</v>
      </c>
    </row>
    <row r="31" spans="1:13" x14ac:dyDescent="0.4">
      <c r="A31" s="2" t="str">
        <f>IFERROR(TRIM(Raw_Data!A31), "Review")</f>
        <v>EMP1029</v>
      </c>
      <c r="B31" s="2" t="str">
        <f>IFERROR(TRIM(Raw_Data!B31), "Review")</f>
        <v>Alice</v>
      </c>
      <c r="C31" s="2" t="str">
        <f>IFERROR(TRIM(Raw_Data!C31), "Review")</f>
        <v>Brown</v>
      </c>
      <c r="D31" s="2">
        <f>IF(Raw_Data!D31="", "", IFERROR(VALUE(Raw_Data!D31), ""))</f>
        <v>40</v>
      </c>
      <c r="E31" s="2" t="str">
        <f>IFERROR(LEFT(Raw_Data!E31,SEARCH("-",Raw_Data!E31)-1),"Review")</f>
        <v>DevOps</v>
      </c>
      <c r="F31" s="2" t="str">
        <f>IFERROR(_xlfn.TEXTAFTER(Raw_Data!E31,"-"),"Review")</f>
        <v>California</v>
      </c>
      <c r="G31" s="2" t="str">
        <f>IFERROR(TRIM(Raw_Data!F31), "Review")</f>
        <v>Active</v>
      </c>
      <c r="H31" s="3" t="str">
        <f>IFERROR(TEXT(Raw_Data!G31, "YYYY-MM-DD"),"Review")</f>
        <v>2021-05-24</v>
      </c>
      <c r="I31" s="4">
        <f>IF(Raw_Data!H31="", "", IFERROR(VALUE(Raw_Data!H31), ""))</f>
        <v>63411.31</v>
      </c>
      <c r="J31" s="2" t="str">
        <f>IF(Raw_Data!I31="", "", IF(ISNUMBER(FIND("@", Raw_Data!I31)), Raw_Data!I31, "Review"))</f>
        <v>alice.brown@example.com</v>
      </c>
      <c r="K31" s="5" t="str">
        <f>IFERROR(TEXT(ABS(Raw_Data!J31), "0"), "Review")</f>
        <v>2849939088</v>
      </c>
      <c r="L31" s="2" t="str">
        <f>IFERROR(TRIM(Raw_Data!K31), "Review")</f>
        <v>Excellent</v>
      </c>
      <c r="M31" s="2" t="b">
        <f>IF(Raw_Data!L31="", "",
    IF(ISLOGICAL(Raw_Data!L31), Raw_Data!L31,
        IF(OR(UPPER(Raw_Data!L31)="TRUE", UPPER(Raw_Data!L31)="YES", UPPER(Raw_Data!L31)="1"), TRUE,
            IF(OR(UPPER(Raw_Data!L31)="FALSE", UPPER(Raw_Data!L31)="NO", UPPER(Raw_Data!L31)="0"), FALSE, "Review")
        )
    )
)</f>
        <v>1</v>
      </c>
    </row>
    <row r="32" spans="1:13" x14ac:dyDescent="0.4">
      <c r="A32" s="2" t="str">
        <f>IFERROR(TRIM(Raw_Data!A32), "Review")</f>
        <v>EMP1030</v>
      </c>
      <c r="B32" s="2" t="str">
        <f>IFERROR(TRIM(Raw_Data!B32), "Review")</f>
        <v>Charlie</v>
      </c>
      <c r="C32" s="2" t="str">
        <f>IFERROR(TRIM(Raw_Data!C32), "Review")</f>
        <v>Jones</v>
      </c>
      <c r="D32" s="2">
        <f>IF(Raw_Data!D32="", "", IFERROR(VALUE(Raw_Data!D32), ""))</f>
        <v>40</v>
      </c>
      <c r="E32" s="2" t="str">
        <f>IFERROR(LEFT(Raw_Data!E32,SEARCH("-",Raw_Data!E32)-1),"Review")</f>
        <v>Admin</v>
      </c>
      <c r="F32" s="2" t="str">
        <f>IFERROR(_xlfn.TEXTAFTER(Raw_Data!E32,"-"),"Review")</f>
        <v>California</v>
      </c>
      <c r="G32" s="2" t="str">
        <f>IFERROR(TRIM(Raw_Data!F32), "Review")</f>
        <v>Inactive</v>
      </c>
      <c r="H32" s="3" t="str">
        <f>IFERROR(TEXT(Raw_Data!G32, "YYYY-MM-DD"),"Review")</f>
        <v>2021-05-26</v>
      </c>
      <c r="I32" s="4">
        <f>IF(Raw_Data!H32="", "", IFERROR(VALUE(Raw_Data!H32), ""))</f>
        <v>111214.02</v>
      </c>
      <c r="J32" s="2" t="str">
        <f>IF(Raw_Data!I32="", "", IF(ISNUMBER(FIND("@", Raw_Data!I32)), Raw_Data!I32, "Review"))</f>
        <v>charlie.jones@example.com</v>
      </c>
      <c r="K32" s="5" t="str">
        <f>IFERROR(TEXT(ABS(Raw_Data!J32), "0"), "Review")</f>
        <v>2613715040</v>
      </c>
      <c r="L32" s="2" t="str">
        <f>IFERROR(TRIM(Raw_Data!K32), "Review")</f>
        <v>Good</v>
      </c>
      <c r="M32" s="2" t="b">
        <f>IF(Raw_Data!L32="", "",
    IF(ISLOGICAL(Raw_Data!L32), Raw_Data!L32,
        IF(OR(UPPER(Raw_Data!L32)="TRUE", UPPER(Raw_Data!L32)="YES", UPPER(Raw_Data!L32)="1"), TRUE,
            IF(OR(UPPER(Raw_Data!L32)="FALSE", UPPER(Raw_Data!L32)="NO", UPPER(Raw_Data!L32)="0"), FALSE, "Review")
        )
    )
)</f>
        <v>1</v>
      </c>
    </row>
    <row r="33" spans="1:13" x14ac:dyDescent="0.4">
      <c r="A33" s="2" t="str">
        <f>IFERROR(TRIM(Raw_Data!A33), "Review")</f>
        <v>EMP1031</v>
      </c>
      <c r="B33" s="2" t="str">
        <f>IFERROR(TRIM(Raw_Data!B33), "Review")</f>
        <v>Bob</v>
      </c>
      <c r="C33" s="2" t="str">
        <f>IFERROR(TRIM(Raw_Data!C33), "Review")</f>
        <v>Smith</v>
      </c>
      <c r="D33" s="2">
        <f>IF(Raw_Data!D33="", "", IFERROR(VALUE(Raw_Data!D33), ""))</f>
        <v>25</v>
      </c>
      <c r="E33" s="2" t="str">
        <f>IFERROR(LEFT(Raw_Data!E33,SEARCH("-",Raw_Data!E33)-1),"Review")</f>
        <v>DevOps</v>
      </c>
      <c r="F33" s="2" t="str">
        <f>IFERROR(_xlfn.TEXTAFTER(Raw_Data!E33,"-"),"Review")</f>
        <v>Illinois</v>
      </c>
      <c r="G33" s="2" t="str">
        <f>IFERROR(TRIM(Raw_Data!F33), "Review")</f>
        <v>Active</v>
      </c>
      <c r="H33" s="3" t="str">
        <f>IFERROR(TEXT(Raw_Data!G33, "YYYY-MM-DD"),"Review")</f>
        <v>2020-07-10</v>
      </c>
      <c r="I33" s="4">
        <f>IF(Raw_Data!H33="", "", IFERROR(VALUE(Raw_Data!H33), ""))</f>
        <v>114845.69</v>
      </c>
      <c r="J33" s="2" t="str">
        <f>IF(Raw_Data!I33="", "", IF(ISNUMBER(FIND("@", Raw_Data!I33)), Raw_Data!I33, "Review"))</f>
        <v>bob.smith@example.com</v>
      </c>
      <c r="K33" s="5" t="str">
        <f>IFERROR(TEXT(ABS(Raw_Data!J33), "0"), "Review")</f>
        <v>6591520176</v>
      </c>
      <c r="L33" s="2" t="str">
        <f>IFERROR(TRIM(Raw_Data!K33), "Review")</f>
        <v>Excellent</v>
      </c>
      <c r="M33" s="2" t="b">
        <f>IF(Raw_Data!L33="", "",
    IF(ISLOGICAL(Raw_Data!L33), Raw_Data!L33,
        IF(OR(UPPER(Raw_Data!L33)="TRUE", UPPER(Raw_Data!L33)="YES", UPPER(Raw_Data!L33)="1"), TRUE,
            IF(OR(UPPER(Raw_Data!L33)="FALSE", UPPER(Raw_Data!L33)="NO", UPPER(Raw_Data!L33)="0"), FALSE, "Review")
        )
    )
)</f>
        <v>1</v>
      </c>
    </row>
    <row r="34" spans="1:13" x14ac:dyDescent="0.4">
      <c r="A34" s="2" t="str">
        <f>IFERROR(TRIM(Raw_Data!A34), "Review")</f>
        <v>EMP1032</v>
      </c>
      <c r="B34" s="2" t="str">
        <f>IFERROR(TRIM(Raw_Data!B34), "Review")</f>
        <v>Charlie</v>
      </c>
      <c r="C34" s="2" t="str">
        <f>IFERROR(TRIM(Raw_Data!C34), "Review")</f>
        <v>Brown</v>
      </c>
      <c r="D34" s="2">
        <f>IF(Raw_Data!D34="", "", IFERROR(VALUE(Raw_Data!D34), ""))</f>
        <v>40</v>
      </c>
      <c r="E34" s="2" t="str">
        <f>IFERROR(LEFT(Raw_Data!E34,SEARCH("-",Raw_Data!E34)-1),"Review")</f>
        <v>Finance</v>
      </c>
      <c r="F34" s="2" t="str">
        <f>IFERROR(_xlfn.TEXTAFTER(Raw_Data!E34,"-"),"Review")</f>
        <v>Florida</v>
      </c>
      <c r="G34" s="2" t="str">
        <f>IFERROR(TRIM(Raw_Data!F34), "Review")</f>
        <v>Active</v>
      </c>
      <c r="H34" s="3" t="str">
        <f>IFERROR(TEXT(Raw_Data!G34, "YYYY-MM-DD"),"Review")</f>
        <v>2024-11-05</v>
      </c>
      <c r="I34" s="4">
        <f>IF(Raw_Data!H34="", "", IFERROR(VALUE(Raw_Data!H34), ""))</f>
        <v>78072.820000000007</v>
      </c>
      <c r="J34" s="2" t="str">
        <f>IF(Raw_Data!I34="", "", IF(ISNUMBER(FIND("@", Raw_Data!I34)), Raw_Data!I34, "Review"))</f>
        <v>charlie.brown@example.com</v>
      </c>
      <c r="K34" s="5" t="str">
        <f>IFERROR(TEXT(ABS(Raw_Data!J34), "0"), "Review")</f>
        <v>7490509758</v>
      </c>
      <c r="L34" s="2" t="str">
        <f>IFERROR(TRIM(Raw_Data!K34), "Review")</f>
        <v>Average</v>
      </c>
      <c r="M34" s="2" t="b">
        <f>IF(Raw_Data!L34="", "",
    IF(ISLOGICAL(Raw_Data!L34), Raw_Data!L34,
        IF(OR(UPPER(Raw_Data!L34)="TRUE", UPPER(Raw_Data!L34)="YES", UPPER(Raw_Data!L34)="1"), TRUE,
            IF(OR(UPPER(Raw_Data!L34)="FALSE", UPPER(Raw_Data!L34)="NO", UPPER(Raw_Data!L34)="0"), FALSE, "Review")
        )
    )
)</f>
        <v>0</v>
      </c>
    </row>
    <row r="35" spans="1:13" x14ac:dyDescent="0.4">
      <c r="A35" s="2" t="str">
        <f>IFERROR(TRIM(Raw_Data!A35), "Review")</f>
        <v>EMP1033</v>
      </c>
      <c r="B35" s="2" t="str">
        <f>IFERROR(TRIM(Raw_Data!B35), "Review")</f>
        <v>Grace</v>
      </c>
      <c r="C35" s="2" t="str">
        <f>IFERROR(TRIM(Raw_Data!C35), "Review")</f>
        <v>Johnson</v>
      </c>
      <c r="D35" s="2">
        <f>IF(Raw_Data!D35="", "", IFERROR(VALUE(Raw_Data!D35), ""))</f>
        <v>25</v>
      </c>
      <c r="E35" s="2" t="str">
        <f>IFERROR(LEFT(Raw_Data!E35,SEARCH("-",Raw_Data!E35)-1),"Review")</f>
        <v>Finance</v>
      </c>
      <c r="F35" s="2" t="str">
        <f>IFERROR(_xlfn.TEXTAFTER(Raw_Data!E35,"-"),"Review")</f>
        <v>California</v>
      </c>
      <c r="G35" s="2" t="str">
        <f>IFERROR(TRIM(Raw_Data!F35), "Review")</f>
        <v>Inactive</v>
      </c>
      <c r="H35" s="3" t="str">
        <f>IFERROR(TEXT(Raw_Data!G35, "YYYY-MM-DD"),"Review")</f>
        <v>2021-08-07</v>
      </c>
      <c r="I35" s="4">
        <f>IF(Raw_Data!H35="", "", IFERROR(VALUE(Raw_Data!H35), ""))</f>
        <v>79610.52</v>
      </c>
      <c r="J35" s="2" t="str">
        <f>IF(Raw_Data!I35="", "", IF(ISNUMBER(FIND("@", Raw_Data!I35)), Raw_Data!I35, "Review"))</f>
        <v>grace.johnson@example.com</v>
      </c>
      <c r="K35" s="5" t="str">
        <f>IFERROR(TEXT(ABS(Raw_Data!J35), "0"), "Review")</f>
        <v>2304501895</v>
      </c>
      <c r="L35" s="2" t="str">
        <f>IFERROR(TRIM(Raw_Data!K35), "Review")</f>
        <v>Average</v>
      </c>
      <c r="M35" s="2" t="b">
        <f>IF(Raw_Data!L35="", "",
    IF(ISLOGICAL(Raw_Data!L35), Raw_Data!L35,
        IF(OR(UPPER(Raw_Data!L35)="TRUE", UPPER(Raw_Data!L35)="YES", UPPER(Raw_Data!L35)="1"), TRUE,
            IF(OR(UPPER(Raw_Data!L35)="FALSE", UPPER(Raw_Data!L35)="NO", UPPER(Raw_Data!L35)="0"), FALSE, "Review")
        )
    )
)</f>
        <v>0</v>
      </c>
    </row>
    <row r="36" spans="1:13" x14ac:dyDescent="0.4">
      <c r="A36" s="2" t="str">
        <f>IFERROR(TRIM(Raw_Data!A36), "Review")</f>
        <v>EMP1034</v>
      </c>
      <c r="B36" s="2" t="str">
        <f>IFERROR(TRIM(Raw_Data!B36), "Review")</f>
        <v>Heidi</v>
      </c>
      <c r="C36" s="2" t="str">
        <f>IFERROR(TRIM(Raw_Data!C36), "Review")</f>
        <v>Miller</v>
      </c>
      <c r="D36" s="2">
        <f>IF(Raw_Data!D36="", "", IFERROR(VALUE(Raw_Data!D36), ""))</f>
        <v>30</v>
      </c>
      <c r="E36" s="2" t="str">
        <f>IFERROR(LEFT(Raw_Data!E36,SEARCH("-",Raw_Data!E36)-1),"Review")</f>
        <v>Admin</v>
      </c>
      <c r="F36" s="2" t="str">
        <f>IFERROR(_xlfn.TEXTAFTER(Raw_Data!E36,"-"),"Review")</f>
        <v>California</v>
      </c>
      <c r="G36" s="2" t="str">
        <f>IFERROR(TRIM(Raw_Data!F36), "Review")</f>
        <v>Active</v>
      </c>
      <c r="H36" s="3" t="str">
        <f>IFERROR(TEXT(Raw_Data!G36, "YYYY-MM-DD"),"Review")</f>
        <v>2020-04-29</v>
      </c>
      <c r="I36" s="4">
        <f>IF(Raw_Data!H36="", "", IFERROR(VALUE(Raw_Data!H36), ""))</f>
        <v>90542.62</v>
      </c>
      <c r="J36" s="2" t="str">
        <f>IF(Raw_Data!I36="", "", IF(ISNUMBER(FIND("@", Raw_Data!I36)), Raw_Data!I36, "Review"))</f>
        <v>heidi.miller@example.com</v>
      </c>
      <c r="K36" s="5" t="str">
        <f>IFERROR(TEXT(ABS(Raw_Data!J36), "0"), "Review")</f>
        <v>1642361031</v>
      </c>
      <c r="L36" s="2" t="str">
        <f>IFERROR(TRIM(Raw_Data!K36), "Review")</f>
        <v>Excellent</v>
      </c>
      <c r="M36" s="2" t="b">
        <f>IF(Raw_Data!L36="", "",
    IF(ISLOGICAL(Raw_Data!L36), Raw_Data!L36,
        IF(OR(UPPER(Raw_Data!L36)="TRUE", UPPER(Raw_Data!L36)="YES", UPPER(Raw_Data!L36)="1"), TRUE,
            IF(OR(UPPER(Raw_Data!L36)="FALSE", UPPER(Raw_Data!L36)="NO", UPPER(Raw_Data!L36)="0"), FALSE, "Review")
        )
    )
)</f>
        <v>1</v>
      </c>
    </row>
    <row r="37" spans="1:13" x14ac:dyDescent="0.4">
      <c r="A37" s="2" t="str">
        <f>IFERROR(TRIM(Raw_Data!A37), "Review")</f>
        <v>EMP1035</v>
      </c>
      <c r="B37" s="2" t="str">
        <f>IFERROR(TRIM(Raw_Data!B37), "Review")</f>
        <v>Frank</v>
      </c>
      <c r="C37" s="2" t="str">
        <f>IFERROR(TRIM(Raw_Data!C37), "Review")</f>
        <v>Jones</v>
      </c>
      <c r="D37" s="2">
        <f>IF(Raw_Data!D37="", "", IFERROR(VALUE(Raw_Data!D37), ""))</f>
        <v>25</v>
      </c>
      <c r="E37" s="2" t="str">
        <f>IFERROR(LEFT(Raw_Data!E37,SEARCH("-",Raw_Data!E37)-1),"Review")</f>
        <v>Cloud Tech</v>
      </c>
      <c r="F37" s="2" t="str">
        <f>IFERROR(_xlfn.TEXTAFTER(Raw_Data!E37,"-"),"Review")</f>
        <v>Illinois</v>
      </c>
      <c r="G37" s="2" t="str">
        <f>IFERROR(TRIM(Raw_Data!F37), "Review")</f>
        <v>Inactive</v>
      </c>
      <c r="H37" s="3" t="str">
        <f>IFERROR(TEXT(Raw_Data!G37, "YYYY-MM-DD"),"Review")</f>
        <v>2022-10-26</v>
      </c>
      <c r="I37" s="4">
        <f>IF(Raw_Data!H37="", "", IFERROR(VALUE(Raw_Data!H37), ""))</f>
        <v>114357.1</v>
      </c>
      <c r="J37" s="2" t="str">
        <f>IF(Raw_Data!I37="", "", IF(ISNUMBER(FIND("@", Raw_Data!I37)), Raw_Data!I37, "Review"))</f>
        <v>frank.jones@example.com</v>
      </c>
      <c r="K37" s="5" t="str">
        <f>IFERROR(TEXT(ABS(Raw_Data!J37), "0"), "Review")</f>
        <v>6642147648</v>
      </c>
      <c r="L37" s="2" t="str">
        <f>IFERROR(TRIM(Raw_Data!K37), "Review")</f>
        <v>Excellent</v>
      </c>
      <c r="M37" s="2" t="b">
        <f>IF(Raw_Data!L37="", "",
    IF(ISLOGICAL(Raw_Data!L37), Raw_Data!L37,
        IF(OR(UPPER(Raw_Data!L37)="TRUE", UPPER(Raw_Data!L37)="YES", UPPER(Raw_Data!L37)="1"), TRUE,
            IF(OR(UPPER(Raw_Data!L37)="FALSE", UPPER(Raw_Data!L37)="NO", UPPER(Raw_Data!L37)="0"), FALSE, "Review")
        )
    )
)</f>
        <v>1</v>
      </c>
    </row>
    <row r="38" spans="1:13" x14ac:dyDescent="0.4">
      <c r="A38" s="2" t="str">
        <f>IFERROR(TRIM(Raw_Data!A38), "Review")</f>
        <v>EMP1036</v>
      </c>
      <c r="B38" s="2" t="str">
        <f>IFERROR(TRIM(Raw_Data!B38), "Review")</f>
        <v>Alice</v>
      </c>
      <c r="C38" s="2" t="str">
        <f>IFERROR(TRIM(Raw_Data!C38), "Review")</f>
        <v>Brown</v>
      </c>
      <c r="D38" s="2" t="str">
        <f>IF(Raw_Data!D38="", "", IFERROR(VALUE(Raw_Data!D38), ""))</f>
        <v/>
      </c>
      <c r="E38" s="2" t="str">
        <f>IFERROR(LEFT(Raw_Data!E38,SEARCH("-",Raw_Data!E38)-1),"Review")</f>
        <v>Cloud Tech</v>
      </c>
      <c r="F38" s="2" t="str">
        <f>IFERROR(_xlfn.TEXTAFTER(Raw_Data!E38,"-"),"Review")</f>
        <v>New York</v>
      </c>
      <c r="G38" s="2" t="str">
        <f>IFERROR(TRIM(Raw_Data!F38), "Review")</f>
        <v>Active</v>
      </c>
      <c r="H38" s="3" t="str">
        <f>IFERROR(TEXT(Raw_Data!G38, "YYYY-MM-DD"),"Review")</f>
        <v>2023-05-03</v>
      </c>
      <c r="I38" s="4">
        <f>IF(Raw_Data!H38="", "", IFERROR(VALUE(Raw_Data!H38), ""))</f>
        <v>54757.26</v>
      </c>
      <c r="J38" s="2" t="str">
        <f>IF(Raw_Data!I38="", "", IF(ISNUMBER(FIND("@", Raw_Data!I38)), Raw_Data!I38, "Review"))</f>
        <v>alice.brown@example.com</v>
      </c>
      <c r="K38" s="5" t="str">
        <f>IFERROR(TEXT(ABS(Raw_Data!J38), "0"), "Review")</f>
        <v>2515837766</v>
      </c>
      <c r="L38" s="2" t="str">
        <f>IFERROR(TRIM(Raw_Data!K38), "Review")</f>
        <v>Poor</v>
      </c>
      <c r="M38" s="2" t="b">
        <f>IF(Raw_Data!L38="", "",
    IF(ISLOGICAL(Raw_Data!L38), Raw_Data!L38,
        IF(OR(UPPER(Raw_Data!L38)="TRUE", UPPER(Raw_Data!L38)="YES", UPPER(Raw_Data!L38)="1"), TRUE,
            IF(OR(UPPER(Raw_Data!L38)="FALSE", UPPER(Raw_Data!L38)="NO", UPPER(Raw_Data!L38)="0"), FALSE, "Review")
        )
    )
)</f>
        <v>0</v>
      </c>
    </row>
    <row r="39" spans="1:13" x14ac:dyDescent="0.4">
      <c r="A39" s="2" t="str">
        <f>IFERROR(TRIM(Raw_Data!A39), "Review")</f>
        <v>EMP1037</v>
      </c>
      <c r="B39" s="2" t="str">
        <f>IFERROR(TRIM(Raw_Data!B39), "Review")</f>
        <v>Grace</v>
      </c>
      <c r="C39" s="2" t="str">
        <f>IFERROR(TRIM(Raw_Data!C39), "Review")</f>
        <v>Smith</v>
      </c>
      <c r="D39" s="2">
        <f>IF(Raw_Data!D39="", "", IFERROR(VALUE(Raw_Data!D39), ""))</f>
        <v>25</v>
      </c>
      <c r="E39" s="2" t="str">
        <f>IFERROR(LEFT(Raw_Data!E39,SEARCH("-",Raw_Data!E39)-1),"Review")</f>
        <v>Sales</v>
      </c>
      <c r="F39" s="2" t="str">
        <f>IFERROR(_xlfn.TEXTAFTER(Raw_Data!E39,"-"),"Review")</f>
        <v>New York</v>
      </c>
      <c r="G39" s="2" t="str">
        <f>IFERROR(TRIM(Raw_Data!F39), "Review")</f>
        <v>Pending</v>
      </c>
      <c r="H39" s="3" t="str">
        <f>IFERROR(TEXT(Raw_Data!G39, "YYYY-MM-DD"),"Review")</f>
        <v>2023-05-02</v>
      </c>
      <c r="I39" s="4">
        <f>IF(Raw_Data!H39="", "", IFERROR(VALUE(Raw_Data!H39), ""))</f>
        <v>52781.919999999998</v>
      </c>
      <c r="J39" s="2" t="str">
        <f>IF(Raw_Data!I39="", "", IF(ISNUMBER(FIND("@", Raw_Data!I39)), Raw_Data!I39, "Review"))</f>
        <v>grace.smith@example.com</v>
      </c>
      <c r="K39" s="5" t="str">
        <f>IFERROR(TEXT(ABS(Raw_Data!J39), "0"), "Review")</f>
        <v>4996165925</v>
      </c>
      <c r="L39" s="2" t="str">
        <f>IFERROR(TRIM(Raw_Data!K39), "Review")</f>
        <v>Average</v>
      </c>
      <c r="M39" s="2" t="b">
        <f>IF(Raw_Data!L39="", "",
    IF(ISLOGICAL(Raw_Data!L39), Raw_Data!L39,
        IF(OR(UPPER(Raw_Data!L39)="TRUE", UPPER(Raw_Data!L39)="YES", UPPER(Raw_Data!L39)="1"), TRUE,
            IF(OR(UPPER(Raw_Data!L39)="FALSE", UPPER(Raw_Data!L39)="NO", UPPER(Raw_Data!L39)="0"), FALSE, "Review")
        )
    )
)</f>
        <v>1</v>
      </c>
    </row>
    <row r="40" spans="1:13" x14ac:dyDescent="0.4">
      <c r="A40" s="2" t="str">
        <f>IFERROR(TRIM(Raw_Data!A40), "Review")</f>
        <v>EMP1038</v>
      </c>
      <c r="B40" s="2" t="str">
        <f>IFERROR(TRIM(Raw_Data!B40), "Review")</f>
        <v>Frank</v>
      </c>
      <c r="C40" s="2" t="str">
        <f>IFERROR(TRIM(Raw_Data!C40), "Review")</f>
        <v>Smith</v>
      </c>
      <c r="D40" s="2">
        <f>IF(Raw_Data!D40="", "", IFERROR(VALUE(Raw_Data!D40), ""))</f>
        <v>35</v>
      </c>
      <c r="E40" s="2" t="str">
        <f>IFERROR(LEFT(Raw_Data!E40,SEARCH("-",Raw_Data!E40)-1),"Review")</f>
        <v>Admin</v>
      </c>
      <c r="F40" s="2" t="str">
        <f>IFERROR(_xlfn.TEXTAFTER(Raw_Data!E40,"-"),"Review")</f>
        <v>Nevada</v>
      </c>
      <c r="G40" s="2" t="str">
        <f>IFERROR(TRIM(Raw_Data!F40), "Review")</f>
        <v>Pending</v>
      </c>
      <c r="H40" s="3" t="str">
        <f>IFERROR(TEXT(Raw_Data!G40, "YYYY-MM-DD"),"Review")</f>
        <v>2021-10-05</v>
      </c>
      <c r="I40" s="4">
        <f>IF(Raw_Data!H40="", "", IFERROR(VALUE(Raw_Data!H40), ""))</f>
        <v>66708.02</v>
      </c>
      <c r="J40" s="2" t="str">
        <f>IF(Raw_Data!I40="", "", IF(ISNUMBER(FIND("@", Raw_Data!I40)), Raw_Data!I40, "Review"))</f>
        <v>frank.smith@example.com</v>
      </c>
      <c r="K40" s="5" t="str">
        <f>IFERROR(TEXT(ABS(Raw_Data!J40), "0"), "Review")</f>
        <v>6108573277</v>
      </c>
      <c r="L40" s="2" t="str">
        <f>IFERROR(TRIM(Raw_Data!K40), "Review")</f>
        <v>Good</v>
      </c>
      <c r="M40" s="2" t="b">
        <f>IF(Raw_Data!L40="", "",
    IF(ISLOGICAL(Raw_Data!L40), Raw_Data!L40,
        IF(OR(UPPER(Raw_Data!L40)="TRUE", UPPER(Raw_Data!L40)="YES", UPPER(Raw_Data!L40)="1"), TRUE,
            IF(OR(UPPER(Raw_Data!L40)="FALSE", UPPER(Raw_Data!L40)="NO", UPPER(Raw_Data!L40)="0"), FALSE, "Review")
        )
    )
)</f>
        <v>1</v>
      </c>
    </row>
    <row r="41" spans="1:13" x14ac:dyDescent="0.4">
      <c r="A41" s="2" t="str">
        <f>IFERROR(TRIM(Raw_Data!A41), "Review")</f>
        <v>EMP1039</v>
      </c>
      <c r="B41" s="2" t="str">
        <f>IFERROR(TRIM(Raw_Data!B41), "Review")</f>
        <v>Eva</v>
      </c>
      <c r="C41" s="2" t="str">
        <f>IFERROR(TRIM(Raw_Data!C41), "Review")</f>
        <v>Williams</v>
      </c>
      <c r="D41" s="2">
        <f>IF(Raw_Data!D41="", "", IFERROR(VALUE(Raw_Data!D41), ""))</f>
        <v>40</v>
      </c>
      <c r="E41" s="2" t="str">
        <f>IFERROR(LEFT(Raw_Data!E41,SEARCH("-",Raw_Data!E41)-1),"Review")</f>
        <v>HR</v>
      </c>
      <c r="F41" s="2" t="str">
        <f>IFERROR(_xlfn.TEXTAFTER(Raw_Data!E41,"-"),"Review")</f>
        <v>Texas</v>
      </c>
      <c r="G41" s="2" t="str">
        <f>IFERROR(TRIM(Raw_Data!F41), "Review")</f>
        <v>Active</v>
      </c>
      <c r="H41" s="3" t="str">
        <f>IFERROR(TEXT(Raw_Data!G41, "YYYY-MM-DD"),"Review")</f>
        <v>2022-07-27</v>
      </c>
      <c r="I41" s="4">
        <f>IF(Raw_Data!H41="", "", IFERROR(VALUE(Raw_Data!H41), ""))</f>
        <v>93481.15</v>
      </c>
      <c r="J41" s="2" t="str">
        <f>IF(Raw_Data!I41="", "", IF(ISNUMBER(FIND("@", Raw_Data!I41)), Raw_Data!I41, "Review"))</f>
        <v>eva.williams@example.com</v>
      </c>
      <c r="K41" s="5" t="str">
        <f>IFERROR(TEXT(ABS(Raw_Data!J41), "0"), "Review")</f>
        <v>8147617421</v>
      </c>
      <c r="L41" s="2" t="str">
        <f>IFERROR(TRIM(Raw_Data!K41), "Review")</f>
        <v>Poor</v>
      </c>
      <c r="M41" s="2" t="b">
        <f>IF(Raw_Data!L41="", "",
    IF(ISLOGICAL(Raw_Data!L41), Raw_Data!L41,
        IF(OR(UPPER(Raw_Data!L41)="TRUE", UPPER(Raw_Data!L41)="YES", UPPER(Raw_Data!L41)="1"), TRUE,
            IF(OR(UPPER(Raw_Data!L41)="FALSE", UPPER(Raw_Data!L41)="NO", UPPER(Raw_Data!L41)="0"), FALSE, "Review")
        )
    )
)</f>
        <v>0</v>
      </c>
    </row>
    <row r="42" spans="1:13" x14ac:dyDescent="0.4">
      <c r="A42" s="2" t="str">
        <f>IFERROR(TRIM(Raw_Data!A42), "Review")</f>
        <v>EMP1040</v>
      </c>
      <c r="B42" s="2" t="str">
        <f>IFERROR(TRIM(Raw_Data!B42), "Review")</f>
        <v>Bob</v>
      </c>
      <c r="C42" s="2" t="str">
        <f>IFERROR(TRIM(Raw_Data!C42), "Review")</f>
        <v>Williams</v>
      </c>
      <c r="D42" s="2">
        <f>IF(Raw_Data!D42="", "", IFERROR(VALUE(Raw_Data!D42), ""))</f>
        <v>25</v>
      </c>
      <c r="E42" s="2" t="str">
        <f>IFERROR(LEFT(Raw_Data!E42,SEARCH("-",Raw_Data!E42)-1),"Review")</f>
        <v>Sales</v>
      </c>
      <c r="F42" s="2" t="str">
        <f>IFERROR(_xlfn.TEXTAFTER(Raw_Data!E42,"-"),"Review")</f>
        <v>New York</v>
      </c>
      <c r="G42" s="2" t="str">
        <f>IFERROR(TRIM(Raw_Data!F42), "Review")</f>
        <v>Pending</v>
      </c>
      <c r="H42" s="3" t="str">
        <f>IFERROR(TEXT(Raw_Data!G42, "YYYY-MM-DD"),"Review")</f>
        <v>2021-06-27</v>
      </c>
      <c r="I42" s="4">
        <f>IF(Raw_Data!H42="", "", IFERROR(VALUE(Raw_Data!H42), ""))</f>
        <v>59271.96</v>
      </c>
      <c r="J42" s="2" t="str">
        <f>IF(Raw_Data!I42="", "", IF(ISNUMBER(FIND("@", Raw_Data!I42)), Raw_Data!I42, "Review"))</f>
        <v>bob.williams@example.com</v>
      </c>
      <c r="K42" s="5" t="str">
        <f>IFERROR(TEXT(ABS(Raw_Data!J42), "0"), "Review")</f>
        <v>4386490809</v>
      </c>
      <c r="L42" s="2" t="str">
        <f>IFERROR(TRIM(Raw_Data!K42), "Review")</f>
        <v>Excellent</v>
      </c>
      <c r="M42" s="2" t="b">
        <f>IF(Raw_Data!L42="", "",
    IF(ISLOGICAL(Raw_Data!L42), Raw_Data!L42,
        IF(OR(UPPER(Raw_Data!L42)="TRUE", UPPER(Raw_Data!L42)="YES", UPPER(Raw_Data!L42)="1"), TRUE,
            IF(OR(UPPER(Raw_Data!L42)="FALSE", UPPER(Raw_Data!L42)="NO", UPPER(Raw_Data!L42)="0"), FALSE, "Review")
        )
    )
)</f>
        <v>1</v>
      </c>
    </row>
    <row r="43" spans="1:13" x14ac:dyDescent="0.4">
      <c r="A43" s="2" t="str">
        <f>IFERROR(TRIM(Raw_Data!A43), "Review")</f>
        <v>EMP1041</v>
      </c>
      <c r="B43" s="2" t="str">
        <f>IFERROR(TRIM(Raw_Data!B43), "Review")</f>
        <v>Bob</v>
      </c>
      <c r="C43" s="2" t="str">
        <f>IFERROR(TRIM(Raw_Data!C43), "Review")</f>
        <v>Davis</v>
      </c>
      <c r="D43" s="2">
        <f>IF(Raw_Data!D43="", "", IFERROR(VALUE(Raw_Data!D43), ""))</f>
        <v>30</v>
      </c>
      <c r="E43" s="2" t="str">
        <f>IFERROR(LEFT(Raw_Data!E43,SEARCH("-",Raw_Data!E43)-1),"Review")</f>
        <v>HR</v>
      </c>
      <c r="F43" s="2" t="str">
        <f>IFERROR(_xlfn.TEXTAFTER(Raw_Data!E43,"-"),"Review")</f>
        <v>California</v>
      </c>
      <c r="G43" s="2" t="str">
        <f>IFERROR(TRIM(Raw_Data!F43), "Review")</f>
        <v>Active</v>
      </c>
      <c r="H43" s="3" t="str">
        <f>IFERROR(TEXT(Raw_Data!G43, "YYYY-MM-DD"),"Review")</f>
        <v>2022-06-16</v>
      </c>
      <c r="I43" s="4">
        <f>IF(Raw_Data!H43="", "", IFERROR(VALUE(Raw_Data!H43), ""))</f>
        <v>108362.15</v>
      </c>
      <c r="J43" s="2" t="str">
        <f>IF(Raw_Data!I43="", "", IF(ISNUMBER(FIND("@", Raw_Data!I43)), Raw_Data!I43, "Review"))</f>
        <v>bob.davis@example.com</v>
      </c>
      <c r="K43" s="5" t="str">
        <f>IFERROR(TEXT(ABS(Raw_Data!J43), "0"), "Review")</f>
        <v>8186617944</v>
      </c>
      <c r="L43" s="2" t="str">
        <f>IFERROR(TRIM(Raw_Data!K43), "Review")</f>
        <v>Excellent</v>
      </c>
      <c r="M43" s="2" t="b">
        <f>IF(Raw_Data!L43="", "",
    IF(ISLOGICAL(Raw_Data!L43), Raw_Data!L43,
        IF(OR(UPPER(Raw_Data!L43)="TRUE", UPPER(Raw_Data!L43)="YES", UPPER(Raw_Data!L43)="1"), TRUE,
            IF(OR(UPPER(Raw_Data!L43)="FALSE", UPPER(Raw_Data!L43)="NO", UPPER(Raw_Data!L43)="0"), FALSE, "Review")
        )
    )
)</f>
        <v>0</v>
      </c>
    </row>
    <row r="44" spans="1:13" x14ac:dyDescent="0.4">
      <c r="A44" s="2" t="str">
        <f>IFERROR(TRIM(Raw_Data!A44), "Review")</f>
        <v>EMP1042</v>
      </c>
      <c r="B44" s="2" t="str">
        <f>IFERROR(TRIM(Raw_Data!B44), "Review")</f>
        <v>Alice</v>
      </c>
      <c r="C44" s="2" t="str">
        <f>IFERROR(TRIM(Raw_Data!C44), "Review")</f>
        <v>Johnson</v>
      </c>
      <c r="D44" s="2" t="str">
        <f>IF(Raw_Data!D44="", "", IFERROR(VALUE(Raw_Data!D44), ""))</f>
        <v/>
      </c>
      <c r="E44" s="2" t="str">
        <f>IFERROR(LEFT(Raw_Data!E44,SEARCH("-",Raw_Data!E44)-1),"Review")</f>
        <v>HR</v>
      </c>
      <c r="F44" s="2" t="str">
        <f>IFERROR(_xlfn.TEXTAFTER(Raw_Data!E44,"-"),"Review")</f>
        <v>Nevada</v>
      </c>
      <c r="G44" s="2" t="str">
        <f>IFERROR(TRIM(Raw_Data!F44), "Review")</f>
        <v>Active</v>
      </c>
      <c r="H44" s="3" t="str">
        <f>IFERROR(TEXT(Raw_Data!G44, "YYYY-MM-DD"),"Review")</f>
        <v>2024-12-03</v>
      </c>
      <c r="I44" s="4">
        <f>IF(Raw_Data!H44="", "", IFERROR(VALUE(Raw_Data!H44), ""))</f>
        <v>59400.38</v>
      </c>
      <c r="J44" s="2" t="str">
        <f>IF(Raw_Data!I44="", "", IF(ISNUMBER(FIND("@", Raw_Data!I44)), Raw_Data!I44, "Review"))</f>
        <v>alice.johnson@example.com</v>
      </c>
      <c r="K44" s="5" t="str">
        <f>IFERROR(TEXT(ABS(Raw_Data!J44), "0"), "Review")</f>
        <v>4918017225</v>
      </c>
      <c r="L44" s="2" t="str">
        <f>IFERROR(TRIM(Raw_Data!K44), "Review")</f>
        <v>Average</v>
      </c>
      <c r="M44" s="2" t="b">
        <f>IF(Raw_Data!L44="", "",
    IF(ISLOGICAL(Raw_Data!L44), Raw_Data!L44,
        IF(OR(UPPER(Raw_Data!L44)="TRUE", UPPER(Raw_Data!L44)="YES", UPPER(Raw_Data!L44)="1"), TRUE,
            IF(OR(UPPER(Raw_Data!L44)="FALSE", UPPER(Raw_Data!L44)="NO", UPPER(Raw_Data!L44)="0"), FALSE, "Review")
        )
    )
)</f>
        <v>1</v>
      </c>
    </row>
    <row r="45" spans="1:13" x14ac:dyDescent="0.4">
      <c r="A45" s="2" t="str">
        <f>IFERROR(TRIM(Raw_Data!A45), "Review")</f>
        <v>EMP1043</v>
      </c>
      <c r="B45" s="2" t="str">
        <f>IFERROR(TRIM(Raw_Data!B45), "Review")</f>
        <v>Bob</v>
      </c>
      <c r="C45" s="2" t="str">
        <f>IFERROR(TRIM(Raw_Data!C45), "Review")</f>
        <v>Garcia</v>
      </c>
      <c r="D45" s="2" t="str">
        <f>IF(Raw_Data!D45="", "", IFERROR(VALUE(Raw_Data!D45), ""))</f>
        <v/>
      </c>
      <c r="E45" s="2" t="str">
        <f>IFERROR(LEFT(Raw_Data!E45,SEARCH("-",Raw_Data!E45)-1),"Review")</f>
        <v>Admin</v>
      </c>
      <c r="F45" s="2" t="str">
        <f>IFERROR(_xlfn.TEXTAFTER(Raw_Data!E45,"-"),"Review")</f>
        <v>California</v>
      </c>
      <c r="G45" s="2" t="str">
        <f>IFERROR(TRIM(Raw_Data!F45), "Review")</f>
        <v>Inactive</v>
      </c>
      <c r="H45" s="3" t="str">
        <f>IFERROR(TEXT(Raw_Data!G45, "YYYY-MM-DD"),"Review")</f>
        <v>2023-05-23</v>
      </c>
      <c r="I45" s="4">
        <f>IF(Raw_Data!H45="", "", IFERROR(VALUE(Raw_Data!H45), ""))</f>
        <v>64744.08</v>
      </c>
      <c r="J45" s="2" t="str">
        <f>IF(Raw_Data!I45="", "", IF(ISNUMBER(FIND("@", Raw_Data!I45)), Raw_Data!I45, "Review"))</f>
        <v>bob.garcia@example.com</v>
      </c>
      <c r="K45" s="5" t="str">
        <f>IFERROR(TEXT(ABS(Raw_Data!J45), "0"), "Review")</f>
        <v>164597793</v>
      </c>
      <c r="L45" s="2" t="str">
        <f>IFERROR(TRIM(Raw_Data!K45), "Review")</f>
        <v>Excellent</v>
      </c>
      <c r="M45" s="2" t="b">
        <f>IF(Raw_Data!L45="", "",
    IF(ISLOGICAL(Raw_Data!L45), Raw_Data!L45,
        IF(OR(UPPER(Raw_Data!L45)="TRUE", UPPER(Raw_Data!L45)="YES", UPPER(Raw_Data!L45)="1"), TRUE,
            IF(OR(UPPER(Raw_Data!L45)="FALSE", UPPER(Raw_Data!L45)="NO", UPPER(Raw_Data!L45)="0"), FALSE, "Review")
        )
    )
)</f>
        <v>0</v>
      </c>
    </row>
    <row r="46" spans="1:13" x14ac:dyDescent="0.4">
      <c r="A46" s="2" t="str">
        <f>IFERROR(TRIM(Raw_Data!A46), "Review")</f>
        <v>EMP1044</v>
      </c>
      <c r="B46" s="2" t="str">
        <f>IFERROR(TRIM(Raw_Data!B46), "Review")</f>
        <v>Eva</v>
      </c>
      <c r="C46" s="2" t="str">
        <f>IFERROR(TRIM(Raw_Data!C46), "Review")</f>
        <v>Brown</v>
      </c>
      <c r="D46" s="2" t="str">
        <f>IF(Raw_Data!D46="", "", IFERROR(VALUE(Raw_Data!D46), ""))</f>
        <v/>
      </c>
      <c r="E46" s="2" t="str">
        <f>IFERROR(LEFT(Raw_Data!E46,SEARCH("-",Raw_Data!E46)-1),"Review")</f>
        <v>Finance</v>
      </c>
      <c r="F46" s="2" t="str">
        <f>IFERROR(_xlfn.TEXTAFTER(Raw_Data!E46,"-"),"Review")</f>
        <v>California</v>
      </c>
      <c r="G46" s="2" t="str">
        <f>IFERROR(TRIM(Raw_Data!F46), "Review")</f>
        <v>Active</v>
      </c>
      <c r="H46" s="3" t="str">
        <f>IFERROR(TEXT(Raw_Data!G46, "YYYY-MM-DD"),"Review")</f>
        <v>2020-07-08</v>
      </c>
      <c r="I46" s="4">
        <f>IF(Raw_Data!H46="", "", IFERROR(VALUE(Raw_Data!H46), ""))</f>
        <v>94399.91</v>
      </c>
      <c r="J46" s="2" t="str">
        <f>IF(Raw_Data!I46="", "", IF(ISNUMBER(FIND("@", Raw_Data!I46)), Raw_Data!I46, "Review"))</f>
        <v>eva.brown@example.com</v>
      </c>
      <c r="K46" s="5" t="str">
        <f>IFERROR(TEXT(ABS(Raw_Data!J46), "0"), "Review")</f>
        <v>5232194167</v>
      </c>
      <c r="L46" s="2" t="str">
        <f>IFERROR(TRIM(Raw_Data!K46), "Review")</f>
        <v>Good</v>
      </c>
      <c r="M46" s="2" t="b">
        <f>IF(Raw_Data!L46="", "",
    IF(ISLOGICAL(Raw_Data!L46), Raw_Data!L46,
        IF(OR(UPPER(Raw_Data!L46)="TRUE", UPPER(Raw_Data!L46)="YES", UPPER(Raw_Data!L46)="1"), TRUE,
            IF(OR(UPPER(Raw_Data!L46)="FALSE", UPPER(Raw_Data!L46)="NO", UPPER(Raw_Data!L46)="0"), FALSE, "Review")
        )
    )
)</f>
        <v>1</v>
      </c>
    </row>
    <row r="47" spans="1:13" x14ac:dyDescent="0.4">
      <c r="A47" s="2" t="str">
        <f>IFERROR(TRIM(Raw_Data!A47), "Review")</f>
        <v>EMP1045</v>
      </c>
      <c r="B47" s="2" t="str">
        <f>IFERROR(TRIM(Raw_Data!B47), "Review")</f>
        <v>Alice</v>
      </c>
      <c r="C47" s="2" t="str">
        <f>IFERROR(TRIM(Raw_Data!C47), "Review")</f>
        <v>Brown</v>
      </c>
      <c r="D47" s="2">
        <f>IF(Raw_Data!D47="", "", IFERROR(VALUE(Raw_Data!D47), ""))</f>
        <v>25</v>
      </c>
      <c r="E47" s="2" t="str">
        <f>IFERROR(LEFT(Raw_Data!E47,SEARCH("-",Raw_Data!E47)-1),"Review")</f>
        <v>HR</v>
      </c>
      <c r="F47" s="2" t="str">
        <f>IFERROR(_xlfn.TEXTAFTER(Raw_Data!E47,"-"),"Review")</f>
        <v>New York</v>
      </c>
      <c r="G47" s="2" t="str">
        <f>IFERROR(TRIM(Raw_Data!F47), "Review")</f>
        <v>Pending</v>
      </c>
      <c r="H47" s="3" t="str">
        <f>IFERROR(TEXT(Raw_Data!G47, "YYYY-MM-DD"),"Review")</f>
        <v>2021-06-20</v>
      </c>
      <c r="I47" s="4">
        <f>IF(Raw_Data!H47="", "", IFERROR(VALUE(Raw_Data!H47), ""))</f>
        <v>61310.74</v>
      </c>
      <c r="J47" s="2" t="str">
        <f>IF(Raw_Data!I47="", "", IF(ISNUMBER(FIND("@", Raw_Data!I47)), Raw_Data!I47, "Review"))</f>
        <v>alice.brown@example.com</v>
      </c>
      <c r="K47" s="5" t="str">
        <f>IFERROR(TEXT(ABS(Raw_Data!J47), "0"), "Review")</f>
        <v>61027768</v>
      </c>
      <c r="L47" s="2" t="str">
        <f>IFERROR(TRIM(Raw_Data!K47), "Review")</f>
        <v>Average</v>
      </c>
      <c r="M47" s="2" t="b">
        <f>IF(Raw_Data!L47="", "",
    IF(ISLOGICAL(Raw_Data!L47), Raw_Data!L47,
        IF(OR(UPPER(Raw_Data!L47)="TRUE", UPPER(Raw_Data!L47)="YES", UPPER(Raw_Data!L47)="1"), TRUE,
            IF(OR(UPPER(Raw_Data!L47)="FALSE", UPPER(Raw_Data!L47)="NO", UPPER(Raw_Data!L47)="0"), FALSE, "Review")
        )
    )
)</f>
        <v>1</v>
      </c>
    </row>
    <row r="48" spans="1:13" x14ac:dyDescent="0.4">
      <c r="A48" s="2" t="str">
        <f>IFERROR(TRIM(Raw_Data!A48), "Review")</f>
        <v>EMP1046</v>
      </c>
      <c r="B48" s="2" t="str">
        <f>IFERROR(TRIM(Raw_Data!B48), "Review")</f>
        <v>Grace</v>
      </c>
      <c r="C48" s="2" t="str">
        <f>IFERROR(TRIM(Raw_Data!C48), "Review")</f>
        <v>Garcia</v>
      </c>
      <c r="D48" s="2" t="str">
        <f>IF(Raw_Data!D48="", "", IFERROR(VALUE(Raw_Data!D48), ""))</f>
        <v/>
      </c>
      <c r="E48" s="2" t="str">
        <f>IFERROR(LEFT(Raw_Data!E48,SEARCH("-",Raw_Data!E48)-1),"Review")</f>
        <v>Cloud Tech</v>
      </c>
      <c r="F48" s="2" t="str">
        <f>IFERROR(_xlfn.TEXTAFTER(Raw_Data!E48,"-"),"Review")</f>
        <v>Texas</v>
      </c>
      <c r="G48" s="2" t="str">
        <f>IFERROR(TRIM(Raw_Data!F48), "Review")</f>
        <v>Active</v>
      </c>
      <c r="H48" s="3" t="str">
        <f>IFERROR(TEXT(Raw_Data!G48, "YYYY-MM-DD"),"Review")</f>
        <v>2024-12-13</v>
      </c>
      <c r="I48" s="4">
        <f>IF(Raw_Data!H48="", "", IFERROR(VALUE(Raw_Data!H48), ""))</f>
        <v>98371.37</v>
      </c>
      <c r="J48" s="2" t="str">
        <f>IF(Raw_Data!I48="", "", IF(ISNUMBER(FIND("@", Raw_Data!I48)), Raw_Data!I48, "Review"))</f>
        <v>grace.garcia@example.com</v>
      </c>
      <c r="K48" s="5" t="str">
        <f>IFERROR(TEXT(ABS(Raw_Data!J48), "0"), "Review")</f>
        <v>7499564121</v>
      </c>
      <c r="L48" s="2" t="str">
        <f>IFERROR(TRIM(Raw_Data!K48), "Review")</f>
        <v>Excellent</v>
      </c>
      <c r="M48" s="2" t="b">
        <f>IF(Raw_Data!L48="", "",
    IF(ISLOGICAL(Raw_Data!L48), Raw_Data!L48,
        IF(OR(UPPER(Raw_Data!L48)="TRUE", UPPER(Raw_Data!L48)="YES", UPPER(Raw_Data!L48)="1"), TRUE,
            IF(OR(UPPER(Raw_Data!L48)="FALSE", UPPER(Raw_Data!L48)="NO", UPPER(Raw_Data!L48)="0"), FALSE, "Review")
        )
    )
)</f>
        <v>0</v>
      </c>
    </row>
    <row r="49" spans="1:13" x14ac:dyDescent="0.4">
      <c r="A49" s="2" t="str">
        <f>IFERROR(TRIM(Raw_Data!A49), "Review")</f>
        <v>EMP1047</v>
      </c>
      <c r="B49" s="2" t="str">
        <f>IFERROR(TRIM(Raw_Data!B49), "Review")</f>
        <v>Alice</v>
      </c>
      <c r="C49" s="2" t="str">
        <f>IFERROR(TRIM(Raw_Data!C49), "Review")</f>
        <v>Davis</v>
      </c>
      <c r="D49" s="2">
        <f>IF(Raw_Data!D49="", "", IFERROR(VALUE(Raw_Data!D49), ""))</f>
        <v>35</v>
      </c>
      <c r="E49" s="2" t="str">
        <f>IFERROR(LEFT(Raw_Data!E49,SEARCH("-",Raw_Data!E49)-1),"Review")</f>
        <v>Sales</v>
      </c>
      <c r="F49" s="2" t="str">
        <f>IFERROR(_xlfn.TEXTAFTER(Raw_Data!E49,"-"),"Review")</f>
        <v>Illinois</v>
      </c>
      <c r="G49" s="2" t="str">
        <f>IFERROR(TRIM(Raw_Data!F49), "Review")</f>
        <v>Active</v>
      </c>
      <c r="H49" s="3" t="str">
        <f>IFERROR(TEXT(Raw_Data!G49, "YYYY-MM-DD"),"Review")</f>
        <v>2022-05-30</v>
      </c>
      <c r="I49" s="4">
        <f>IF(Raw_Data!H49="", "", IFERROR(VALUE(Raw_Data!H49), ""))</f>
        <v>58921.19</v>
      </c>
      <c r="J49" s="2" t="str">
        <f>IF(Raw_Data!I49="", "", IF(ISNUMBER(FIND("@", Raw_Data!I49)), Raw_Data!I49, "Review"))</f>
        <v>alice.davis@example.com</v>
      </c>
      <c r="K49" s="5" t="str">
        <f>IFERROR(TEXT(ABS(Raw_Data!J49), "0"), "Review")</f>
        <v>310303722</v>
      </c>
      <c r="L49" s="2" t="str">
        <f>IFERROR(TRIM(Raw_Data!K49), "Review")</f>
        <v>Average</v>
      </c>
      <c r="M49" s="2" t="b">
        <f>IF(Raw_Data!L49="", "",
    IF(ISLOGICAL(Raw_Data!L49), Raw_Data!L49,
        IF(OR(UPPER(Raw_Data!L49)="TRUE", UPPER(Raw_Data!L49)="YES", UPPER(Raw_Data!L49)="1"), TRUE,
            IF(OR(UPPER(Raw_Data!L49)="FALSE", UPPER(Raw_Data!L49)="NO", UPPER(Raw_Data!L49)="0"), FALSE, "Review")
        )
    )
)</f>
        <v>1</v>
      </c>
    </row>
    <row r="50" spans="1:13" x14ac:dyDescent="0.4">
      <c r="A50" s="2" t="str">
        <f>IFERROR(TRIM(Raw_Data!A50), "Review")</f>
        <v>EMP1048</v>
      </c>
      <c r="B50" s="2" t="str">
        <f>IFERROR(TRIM(Raw_Data!B50), "Review")</f>
        <v>Alice</v>
      </c>
      <c r="C50" s="2" t="str">
        <f>IFERROR(TRIM(Raw_Data!C50), "Review")</f>
        <v>Miller</v>
      </c>
      <c r="D50" s="2">
        <f>IF(Raw_Data!D50="", "", IFERROR(VALUE(Raw_Data!D50), ""))</f>
        <v>35</v>
      </c>
      <c r="E50" s="2" t="str">
        <f>IFERROR(LEFT(Raw_Data!E50,SEARCH("-",Raw_Data!E50)-1),"Review")</f>
        <v>Admin</v>
      </c>
      <c r="F50" s="2" t="str">
        <f>IFERROR(_xlfn.TEXTAFTER(Raw_Data!E50,"-"),"Review")</f>
        <v>Nevada</v>
      </c>
      <c r="G50" s="2" t="str">
        <f>IFERROR(TRIM(Raw_Data!F50), "Review")</f>
        <v>Active</v>
      </c>
      <c r="H50" s="3" t="str">
        <f>IFERROR(TEXT(Raw_Data!G50, "YYYY-MM-DD"),"Review")</f>
        <v>2023-09-27</v>
      </c>
      <c r="I50" s="4">
        <f>IF(Raw_Data!H50="", "", IFERROR(VALUE(Raw_Data!H50), ""))</f>
        <v>57195.55</v>
      </c>
      <c r="J50" s="2" t="str">
        <f>IF(Raw_Data!I50="", "", IF(ISNUMBER(FIND("@", Raw_Data!I50)), Raw_Data!I50, "Review"))</f>
        <v>alice.miller@example.com</v>
      </c>
      <c r="K50" s="5" t="str">
        <f>IFERROR(TEXT(ABS(Raw_Data!J50), "0"), "Review")</f>
        <v>6831472759</v>
      </c>
      <c r="L50" s="2" t="str">
        <f>IFERROR(TRIM(Raw_Data!K50), "Review")</f>
        <v>Excellent</v>
      </c>
      <c r="M50" s="2" t="b">
        <f>IF(Raw_Data!L50="", "",
    IF(ISLOGICAL(Raw_Data!L50), Raw_Data!L50,
        IF(OR(UPPER(Raw_Data!L50)="TRUE", UPPER(Raw_Data!L50)="YES", UPPER(Raw_Data!L50)="1"), TRUE,
            IF(OR(UPPER(Raw_Data!L50)="FALSE", UPPER(Raw_Data!L50)="NO", UPPER(Raw_Data!L50)="0"), FALSE, "Review")
        )
    )
)</f>
        <v>0</v>
      </c>
    </row>
    <row r="51" spans="1:13" x14ac:dyDescent="0.4">
      <c r="A51" s="2" t="str">
        <f>IFERROR(TRIM(Raw_Data!A51), "Review")</f>
        <v>EMP1049</v>
      </c>
      <c r="B51" s="2" t="str">
        <f>IFERROR(TRIM(Raw_Data!B51), "Review")</f>
        <v>Grace</v>
      </c>
      <c r="C51" s="2" t="str">
        <f>IFERROR(TRIM(Raw_Data!C51), "Review")</f>
        <v>Miller</v>
      </c>
      <c r="D51" s="2" t="str">
        <f>IF(Raw_Data!D51="", "", IFERROR(VALUE(Raw_Data!D51), ""))</f>
        <v/>
      </c>
      <c r="E51" s="2" t="str">
        <f>IFERROR(LEFT(Raw_Data!E51,SEARCH("-",Raw_Data!E51)-1),"Review")</f>
        <v>DevOps</v>
      </c>
      <c r="F51" s="2" t="str">
        <f>IFERROR(_xlfn.TEXTAFTER(Raw_Data!E51,"-"),"Review")</f>
        <v>New York</v>
      </c>
      <c r="G51" s="2" t="str">
        <f>IFERROR(TRIM(Raw_Data!F51), "Review")</f>
        <v>Active</v>
      </c>
      <c r="H51" s="3" t="str">
        <f>IFERROR(TEXT(Raw_Data!G51, "YYYY-MM-DD"),"Review")</f>
        <v>2024-11-05</v>
      </c>
      <c r="I51" s="4">
        <f>IF(Raw_Data!H51="", "", IFERROR(VALUE(Raw_Data!H51), ""))</f>
        <v>61375.12</v>
      </c>
      <c r="J51" s="2" t="str">
        <f>IF(Raw_Data!I51="", "", IF(ISNUMBER(FIND("@", Raw_Data!I51)), Raw_Data!I51, "Review"))</f>
        <v>grace.miller@example.com</v>
      </c>
      <c r="K51" s="5" t="str">
        <f>IFERROR(TEXT(ABS(Raw_Data!J51), "0"), "Review")</f>
        <v>1227770792</v>
      </c>
      <c r="L51" s="2" t="str">
        <f>IFERROR(TRIM(Raw_Data!K51), "Review")</f>
        <v>Excellent</v>
      </c>
      <c r="M51" s="2" t="b">
        <f>IF(Raw_Data!L51="", "",
    IF(ISLOGICAL(Raw_Data!L51), Raw_Data!L51,
        IF(OR(UPPER(Raw_Data!L51)="TRUE", UPPER(Raw_Data!L51)="YES", UPPER(Raw_Data!L51)="1"), TRUE,
            IF(OR(UPPER(Raw_Data!L51)="FALSE", UPPER(Raw_Data!L51)="NO", UPPER(Raw_Data!L51)="0"), FALSE, "Review")
        )
    )
)</f>
        <v>1</v>
      </c>
    </row>
    <row r="52" spans="1:13" x14ac:dyDescent="0.4">
      <c r="A52" s="2" t="str">
        <f>IFERROR(TRIM(Raw_Data!A52), "Review")</f>
        <v>EMP1050</v>
      </c>
      <c r="B52" s="2" t="str">
        <f>IFERROR(TRIM(Raw_Data!B52), "Review")</f>
        <v>Charlie</v>
      </c>
      <c r="C52" s="2" t="str">
        <f>IFERROR(TRIM(Raw_Data!C52), "Review")</f>
        <v>Davis</v>
      </c>
      <c r="D52" s="2">
        <f>IF(Raw_Data!D52="", "", IFERROR(VALUE(Raw_Data!D52), ""))</f>
        <v>40</v>
      </c>
      <c r="E52" s="2" t="str">
        <f>IFERROR(LEFT(Raw_Data!E52,SEARCH("-",Raw_Data!E52)-1),"Review")</f>
        <v>Cloud Tech</v>
      </c>
      <c r="F52" s="2" t="str">
        <f>IFERROR(_xlfn.TEXTAFTER(Raw_Data!E52,"-"),"Review")</f>
        <v>New York</v>
      </c>
      <c r="G52" s="2" t="str">
        <f>IFERROR(TRIM(Raw_Data!F52), "Review")</f>
        <v>Pending</v>
      </c>
      <c r="H52" s="3" t="str">
        <f>IFERROR(TEXT(Raw_Data!G52, "YYYY-MM-DD"),"Review")</f>
        <v>2021-11-11</v>
      </c>
      <c r="I52" s="4">
        <f>IF(Raw_Data!H52="", "", IFERROR(VALUE(Raw_Data!H52), ""))</f>
        <v>104767.05</v>
      </c>
      <c r="J52" s="2" t="str">
        <f>IF(Raw_Data!I52="", "", IF(ISNUMBER(FIND("@", Raw_Data!I52)), Raw_Data!I52, "Review"))</f>
        <v>charlie.davis@example.com</v>
      </c>
      <c r="K52" s="5" t="str">
        <f>IFERROR(TEXT(ABS(Raw_Data!J52), "0"), "Review")</f>
        <v>3496050165</v>
      </c>
      <c r="L52" s="2" t="str">
        <f>IFERROR(TRIM(Raw_Data!K52), "Review")</f>
        <v>Excellent</v>
      </c>
      <c r="M52" s="2" t="b">
        <f>IF(Raw_Data!L52="", "",
    IF(ISLOGICAL(Raw_Data!L52), Raw_Data!L52,
        IF(OR(UPPER(Raw_Data!L52)="TRUE", UPPER(Raw_Data!L52)="YES", UPPER(Raw_Data!L52)="1"), TRUE,
            IF(OR(UPPER(Raw_Data!L52)="FALSE", UPPER(Raw_Data!L52)="NO", UPPER(Raw_Data!L52)="0"), FALSE, "Review")
        )
    )
)</f>
        <v>0</v>
      </c>
    </row>
    <row r="53" spans="1:13" x14ac:dyDescent="0.4">
      <c r="A53" s="2" t="str">
        <f>IFERROR(TRIM(Raw_Data!A53), "Review")</f>
        <v>EMP1051</v>
      </c>
      <c r="B53" s="2" t="str">
        <f>IFERROR(TRIM(Raw_Data!B53), "Review")</f>
        <v>David</v>
      </c>
      <c r="C53" s="2" t="str">
        <f>IFERROR(TRIM(Raw_Data!C53), "Review")</f>
        <v>Miller</v>
      </c>
      <c r="D53" s="2">
        <f>IF(Raw_Data!D53="", "", IFERROR(VALUE(Raw_Data!D53), ""))</f>
        <v>35</v>
      </c>
      <c r="E53" s="2" t="str">
        <f>IFERROR(LEFT(Raw_Data!E53,SEARCH("-",Raw_Data!E53)-1),"Review")</f>
        <v>Admin</v>
      </c>
      <c r="F53" s="2" t="str">
        <f>IFERROR(_xlfn.TEXTAFTER(Raw_Data!E53,"-"),"Review")</f>
        <v>Nevada</v>
      </c>
      <c r="G53" s="2" t="str">
        <f>IFERROR(TRIM(Raw_Data!F53), "Review")</f>
        <v>Active</v>
      </c>
      <c r="H53" s="3" t="str">
        <f>IFERROR(TEXT(Raw_Data!G53, "YYYY-MM-DD"),"Review")</f>
        <v>2022-02-22</v>
      </c>
      <c r="I53" s="4">
        <f>IF(Raw_Data!H53="", "", IFERROR(VALUE(Raw_Data!H53), ""))</f>
        <v>111051.67</v>
      </c>
      <c r="J53" s="2" t="str">
        <f>IF(Raw_Data!I53="", "", IF(ISNUMBER(FIND("@", Raw_Data!I53)), Raw_Data!I53, "Review"))</f>
        <v>david.miller@example.com</v>
      </c>
      <c r="K53" s="5" t="str">
        <f>IFERROR(TEXT(ABS(Raw_Data!J53), "0"), "Review")</f>
        <v>7998407677</v>
      </c>
      <c r="L53" s="2" t="str">
        <f>IFERROR(TRIM(Raw_Data!K53), "Review")</f>
        <v>Good</v>
      </c>
      <c r="M53" s="2" t="b">
        <f>IF(Raw_Data!L53="", "",
    IF(ISLOGICAL(Raw_Data!L53), Raw_Data!L53,
        IF(OR(UPPER(Raw_Data!L53)="TRUE", UPPER(Raw_Data!L53)="YES", UPPER(Raw_Data!L53)="1"), TRUE,
            IF(OR(UPPER(Raw_Data!L53)="FALSE", UPPER(Raw_Data!L53)="NO", UPPER(Raw_Data!L53)="0"), FALSE, "Review")
        )
    )
)</f>
        <v>0</v>
      </c>
    </row>
    <row r="54" spans="1:13" x14ac:dyDescent="0.4">
      <c r="A54" s="2" t="str">
        <f>IFERROR(TRIM(Raw_Data!A54), "Review")</f>
        <v>EMP1052</v>
      </c>
      <c r="B54" s="2" t="str">
        <f>IFERROR(TRIM(Raw_Data!B54), "Review")</f>
        <v>David</v>
      </c>
      <c r="C54" s="2" t="str">
        <f>IFERROR(TRIM(Raw_Data!C54), "Review")</f>
        <v>Williams</v>
      </c>
      <c r="D54" s="2">
        <f>IF(Raw_Data!D54="", "", IFERROR(VALUE(Raw_Data!D54), ""))</f>
        <v>30</v>
      </c>
      <c r="E54" s="2" t="str">
        <f>IFERROR(LEFT(Raw_Data!E54,SEARCH("-",Raw_Data!E54)-1),"Review")</f>
        <v>Finance</v>
      </c>
      <c r="F54" s="2" t="str">
        <f>IFERROR(_xlfn.TEXTAFTER(Raw_Data!E54,"-"),"Review")</f>
        <v>California</v>
      </c>
      <c r="G54" s="2" t="str">
        <f>IFERROR(TRIM(Raw_Data!F54), "Review")</f>
        <v>Inactive</v>
      </c>
      <c r="H54" s="3" t="str">
        <f>IFERROR(TEXT(Raw_Data!G54, "YYYY-MM-DD"),"Review")</f>
        <v>2024-08-07</v>
      </c>
      <c r="I54" s="4">
        <f>IF(Raw_Data!H54="", "", IFERROR(VALUE(Raw_Data!H54), ""))</f>
        <v>105674.18</v>
      </c>
      <c r="J54" s="2" t="str">
        <f>IF(Raw_Data!I54="", "", IF(ISNUMBER(FIND("@", Raw_Data!I54)), Raw_Data!I54, "Review"))</f>
        <v>david.williams@example.com</v>
      </c>
      <c r="K54" s="5" t="str">
        <f>IFERROR(TEXT(ABS(Raw_Data!J54), "0"), "Review")</f>
        <v>9973080694</v>
      </c>
      <c r="L54" s="2" t="str">
        <f>IFERROR(TRIM(Raw_Data!K54), "Review")</f>
        <v>Good</v>
      </c>
      <c r="M54" s="2" t="b">
        <f>IF(Raw_Data!L54="", "",
    IF(ISLOGICAL(Raw_Data!L54), Raw_Data!L54,
        IF(OR(UPPER(Raw_Data!L54)="TRUE", UPPER(Raw_Data!L54)="YES", UPPER(Raw_Data!L54)="1"), TRUE,
            IF(OR(UPPER(Raw_Data!L54)="FALSE", UPPER(Raw_Data!L54)="NO", UPPER(Raw_Data!L54)="0"), FALSE, "Review")
        )
    )
)</f>
        <v>0</v>
      </c>
    </row>
    <row r="55" spans="1:13" x14ac:dyDescent="0.4">
      <c r="A55" s="2" t="str">
        <f>IFERROR(TRIM(Raw_Data!A55), "Review")</f>
        <v>EMP1053</v>
      </c>
      <c r="B55" s="2" t="str">
        <f>IFERROR(TRIM(Raw_Data!B55), "Review")</f>
        <v>Alice</v>
      </c>
      <c r="C55" s="2" t="str">
        <f>IFERROR(TRIM(Raw_Data!C55), "Review")</f>
        <v>Brown</v>
      </c>
      <c r="D55" s="2">
        <f>IF(Raw_Data!D55="", "", IFERROR(VALUE(Raw_Data!D55), ""))</f>
        <v>30</v>
      </c>
      <c r="E55" s="2" t="str">
        <f>IFERROR(LEFT(Raw_Data!E55,SEARCH("-",Raw_Data!E55)-1),"Review")</f>
        <v>Finance</v>
      </c>
      <c r="F55" s="2" t="str">
        <f>IFERROR(_xlfn.TEXTAFTER(Raw_Data!E55,"-"),"Review")</f>
        <v>California</v>
      </c>
      <c r="G55" s="2" t="str">
        <f>IFERROR(TRIM(Raw_Data!F55), "Review")</f>
        <v>Inactive</v>
      </c>
      <c r="H55" s="3" t="str">
        <f>IFERROR(TEXT(Raw_Data!G55, "YYYY-MM-DD"),"Review")</f>
        <v>2024-11-05</v>
      </c>
      <c r="I55" s="4">
        <f>IF(Raw_Data!H55="", "", IFERROR(VALUE(Raw_Data!H55), ""))</f>
        <v>54859.45</v>
      </c>
      <c r="J55" s="2" t="str">
        <f>IF(Raw_Data!I55="", "", IF(ISNUMBER(FIND("@", Raw_Data!I55)), Raw_Data!I55, "Review"))</f>
        <v>alice.brown@example.com</v>
      </c>
      <c r="K55" s="5" t="str">
        <f>IFERROR(TEXT(ABS(Raw_Data!J55), "0"), "Review")</f>
        <v>8146717956</v>
      </c>
      <c r="L55" s="2" t="str">
        <f>IFERROR(TRIM(Raw_Data!K55), "Review")</f>
        <v>Average</v>
      </c>
      <c r="M55" s="2" t="b">
        <f>IF(Raw_Data!L55="", "",
    IF(ISLOGICAL(Raw_Data!L55), Raw_Data!L55,
        IF(OR(UPPER(Raw_Data!L55)="TRUE", UPPER(Raw_Data!L55)="YES", UPPER(Raw_Data!L55)="1"), TRUE,
            IF(OR(UPPER(Raw_Data!L55)="FALSE", UPPER(Raw_Data!L55)="NO", UPPER(Raw_Data!L55)="0"), FALSE, "Review")
        )
    )
)</f>
        <v>0</v>
      </c>
    </row>
    <row r="56" spans="1:13" x14ac:dyDescent="0.4">
      <c r="A56" s="2" t="str">
        <f>IFERROR(TRIM(Raw_Data!A56), "Review")</f>
        <v>EMP1054</v>
      </c>
      <c r="B56" s="2" t="str">
        <f>IFERROR(TRIM(Raw_Data!B56), "Review")</f>
        <v>Frank</v>
      </c>
      <c r="C56" s="2" t="str">
        <f>IFERROR(TRIM(Raw_Data!C56), "Review")</f>
        <v>Davis</v>
      </c>
      <c r="D56" s="2" t="str">
        <f>IF(Raw_Data!D56="", "", IFERROR(VALUE(Raw_Data!D56), ""))</f>
        <v/>
      </c>
      <c r="E56" s="2" t="str">
        <f>IFERROR(LEFT(Raw_Data!E56,SEARCH("-",Raw_Data!E56)-1),"Review")</f>
        <v>Finance</v>
      </c>
      <c r="F56" s="2" t="str">
        <f>IFERROR(_xlfn.TEXTAFTER(Raw_Data!E56,"-"),"Review")</f>
        <v>Nevada</v>
      </c>
      <c r="G56" s="2" t="str">
        <f>IFERROR(TRIM(Raw_Data!F56), "Review")</f>
        <v>Pending</v>
      </c>
      <c r="H56" s="3" t="str">
        <f>IFERROR(TEXT(Raw_Data!G56, "YYYY-MM-DD"),"Review")</f>
        <v>2021-11-09</v>
      </c>
      <c r="I56" s="4">
        <f>IF(Raw_Data!H56="", "", IFERROR(VALUE(Raw_Data!H56), ""))</f>
        <v>115746.6</v>
      </c>
      <c r="J56" s="2" t="str">
        <f>IF(Raw_Data!I56="", "", IF(ISNUMBER(FIND("@", Raw_Data!I56)), Raw_Data!I56, "Review"))</f>
        <v>frank.davis@example.com</v>
      </c>
      <c r="K56" s="5" t="str">
        <f>IFERROR(TEXT(ABS(Raw_Data!J56), "0"), "Review")</f>
        <v>6024375737</v>
      </c>
      <c r="L56" s="2" t="str">
        <f>IFERROR(TRIM(Raw_Data!K56), "Review")</f>
        <v>Excellent</v>
      </c>
      <c r="M56" s="2" t="b">
        <f>IF(Raw_Data!L56="", "",
    IF(ISLOGICAL(Raw_Data!L56), Raw_Data!L56,
        IF(OR(UPPER(Raw_Data!L56)="TRUE", UPPER(Raw_Data!L56)="YES", UPPER(Raw_Data!L56)="1"), TRUE,
            IF(OR(UPPER(Raw_Data!L56)="FALSE", UPPER(Raw_Data!L56)="NO", UPPER(Raw_Data!L56)="0"), FALSE, "Review")
        )
    )
)</f>
        <v>1</v>
      </c>
    </row>
    <row r="57" spans="1:13" x14ac:dyDescent="0.4">
      <c r="A57" s="2" t="str">
        <f>IFERROR(TRIM(Raw_Data!A57), "Review")</f>
        <v>EMP1055</v>
      </c>
      <c r="B57" s="2" t="str">
        <f>IFERROR(TRIM(Raw_Data!B57), "Review")</f>
        <v>Eva</v>
      </c>
      <c r="C57" s="2" t="str">
        <f>IFERROR(TRIM(Raw_Data!C57), "Review")</f>
        <v>Brown</v>
      </c>
      <c r="D57" s="2">
        <f>IF(Raw_Data!D57="", "", IFERROR(VALUE(Raw_Data!D57), ""))</f>
        <v>30</v>
      </c>
      <c r="E57" s="2" t="str">
        <f>IFERROR(LEFT(Raw_Data!E57,SEARCH("-",Raw_Data!E57)-1),"Review")</f>
        <v>Sales</v>
      </c>
      <c r="F57" s="2" t="str">
        <f>IFERROR(_xlfn.TEXTAFTER(Raw_Data!E57,"-"),"Review")</f>
        <v>California</v>
      </c>
      <c r="G57" s="2" t="str">
        <f>IFERROR(TRIM(Raw_Data!F57), "Review")</f>
        <v>Active</v>
      </c>
      <c r="H57" s="3" t="str">
        <f>IFERROR(TEXT(Raw_Data!G57, "YYYY-MM-DD"),"Review")</f>
        <v>2020-08-10</v>
      </c>
      <c r="I57" s="4">
        <f>IF(Raw_Data!H57="", "", IFERROR(VALUE(Raw_Data!H57), ""))</f>
        <v>91759.99</v>
      </c>
      <c r="J57" s="2" t="str">
        <f>IF(Raw_Data!I57="", "", IF(ISNUMBER(FIND("@", Raw_Data!I57)), Raw_Data!I57, "Review"))</f>
        <v>eva.brown@example.com</v>
      </c>
      <c r="K57" s="5" t="str">
        <f>IFERROR(TEXT(ABS(Raw_Data!J57), "0"), "Review")</f>
        <v>3959724664</v>
      </c>
      <c r="L57" s="2" t="str">
        <f>IFERROR(TRIM(Raw_Data!K57), "Review")</f>
        <v>Excellent</v>
      </c>
      <c r="M57" s="2" t="b">
        <f>IF(Raw_Data!L57="", "",
    IF(ISLOGICAL(Raw_Data!L57), Raw_Data!L57,
        IF(OR(UPPER(Raw_Data!L57)="TRUE", UPPER(Raw_Data!L57)="YES", UPPER(Raw_Data!L57)="1"), TRUE,
            IF(OR(UPPER(Raw_Data!L57)="FALSE", UPPER(Raw_Data!L57)="NO", UPPER(Raw_Data!L57)="0"), FALSE, "Review")
        )
    )
)</f>
        <v>1</v>
      </c>
    </row>
    <row r="58" spans="1:13" x14ac:dyDescent="0.4">
      <c r="A58" s="2" t="str">
        <f>IFERROR(TRIM(Raw_Data!A58), "Review")</f>
        <v>EMP1056</v>
      </c>
      <c r="B58" s="2" t="str">
        <f>IFERROR(TRIM(Raw_Data!B58), "Review")</f>
        <v>Frank</v>
      </c>
      <c r="C58" s="2" t="str">
        <f>IFERROR(TRIM(Raw_Data!C58), "Review")</f>
        <v>Garcia</v>
      </c>
      <c r="D58" s="2">
        <f>IF(Raw_Data!D58="", "", IFERROR(VALUE(Raw_Data!D58), ""))</f>
        <v>40</v>
      </c>
      <c r="E58" s="2" t="str">
        <f>IFERROR(LEFT(Raw_Data!E58,SEARCH("-",Raw_Data!E58)-1),"Review")</f>
        <v>Sales</v>
      </c>
      <c r="F58" s="2" t="str">
        <f>IFERROR(_xlfn.TEXTAFTER(Raw_Data!E58,"-"),"Review")</f>
        <v>Illinois</v>
      </c>
      <c r="G58" s="2" t="str">
        <f>IFERROR(TRIM(Raw_Data!F58), "Review")</f>
        <v>Active</v>
      </c>
      <c r="H58" s="3" t="str">
        <f>IFERROR(TEXT(Raw_Data!G58, "YYYY-MM-DD"),"Review")</f>
        <v>2022-02-27</v>
      </c>
      <c r="I58" s="4">
        <f>IF(Raw_Data!H58="", "", IFERROR(VALUE(Raw_Data!H58), ""))</f>
        <v>112965.33</v>
      </c>
      <c r="J58" s="2" t="str">
        <f>IF(Raw_Data!I58="", "", IF(ISNUMBER(FIND("@", Raw_Data!I58)), Raw_Data!I58, "Review"))</f>
        <v>frank.garcia@example.com</v>
      </c>
      <c r="K58" s="5" t="str">
        <f>IFERROR(TEXT(ABS(Raw_Data!J58), "0"), "Review")</f>
        <v>7293417222</v>
      </c>
      <c r="L58" s="2" t="str">
        <f>IFERROR(TRIM(Raw_Data!K58), "Review")</f>
        <v>Good</v>
      </c>
      <c r="M58" s="2" t="b">
        <f>IF(Raw_Data!L58="", "",
    IF(ISLOGICAL(Raw_Data!L58), Raw_Data!L58,
        IF(OR(UPPER(Raw_Data!L58)="TRUE", UPPER(Raw_Data!L58)="YES", UPPER(Raw_Data!L58)="1"), TRUE,
            IF(OR(UPPER(Raw_Data!L58)="FALSE", UPPER(Raw_Data!L58)="NO", UPPER(Raw_Data!L58)="0"), FALSE, "Review")
        )
    )
)</f>
        <v>0</v>
      </c>
    </row>
    <row r="59" spans="1:13" x14ac:dyDescent="0.4">
      <c r="A59" s="2" t="str">
        <f>IFERROR(TRIM(Raw_Data!A59), "Review")</f>
        <v>EMP1057</v>
      </c>
      <c r="B59" s="2" t="str">
        <f>IFERROR(TRIM(Raw_Data!B59), "Review")</f>
        <v>Alice</v>
      </c>
      <c r="C59" s="2" t="str">
        <f>IFERROR(TRIM(Raw_Data!C59), "Review")</f>
        <v>Smith</v>
      </c>
      <c r="D59" s="2">
        <f>IF(Raw_Data!D59="", "", IFERROR(VALUE(Raw_Data!D59), ""))</f>
        <v>40</v>
      </c>
      <c r="E59" s="2" t="str">
        <f>IFERROR(LEFT(Raw_Data!E59,SEARCH("-",Raw_Data!E59)-1),"Review")</f>
        <v>Cloud Tech</v>
      </c>
      <c r="F59" s="2" t="str">
        <f>IFERROR(_xlfn.TEXTAFTER(Raw_Data!E59,"-"),"Review")</f>
        <v>Illinois</v>
      </c>
      <c r="G59" s="2" t="str">
        <f>IFERROR(TRIM(Raw_Data!F59), "Review")</f>
        <v>Pending</v>
      </c>
      <c r="H59" s="3" t="str">
        <f>IFERROR(TEXT(Raw_Data!G59, "YYYY-MM-DD"),"Review")</f>
        <v>2023-11-07</v>
      </c>
      <c r="I59" s="4">
        <f>IF(Raw_Data!H59="", "", IFERROR(VALUE(Raw_Data!H59), ""))</f>
        <v>100360.1</v>
      </c>
      <c r="J59" s="2" t="str">
        <f>IF(Raw_Data!I59="", "", IF(ISNUMBER(FIND("@", Raw_Data!I59)), Raw_Data!I59, "Review"))</f>
        <v>alice.smith@example.com</v>
      </c>
      <c r="K59" s="5" t="str">
        <f>IFERROR(TEXT(ABS(Raw_Data!J59), "0"), "Review")</f>
        <v>2971674337</v>
      </c>
      <c r="L59" s="2" t="str">
        <f>IFERROR(TRIM(Raw_Data!K59), "Review")</f>
        <v>Excellent</v>
      </c>
      <c r="M59" s="2" t="b">
        <f>IF(Raw_Data!L59="", "",
    IF(ISLOGICAL(Raw_Data!L59), Raw_Data!L59,
        IF(OR(UPPER(Raw_Data!L59)="TRUE", UPPER(Raw_Data!L59)="YES", UPPER(Raw_Data!L59)="1"), TRUE,
            IF(OR(UPPER(Raw_Data!L59)="FALSE", UPPER(Raw_Data!L59)="NO", UPPER(Raw_Data!L59)="0"), FALSE, "Review")
        )
    )
)</f>
        <v>0</v>
      </c>
    </row>
    <row r="60" spans="1:13" x14ac:dyDescent="0.4">
      <c r="A60" s="2" t="str">
        <f>IFERROR(TRIM(Raw_Data!A60), "Review")</f>
        <v>EMP1058</v>
      </c>
      <c r="B60" s="2" t="str">
        <f>IFERROR(TRIM(Raw_Data!B60), "Review")</f>
        <v>David</v>
      </c>
      <c r="C60" s="2" t="str">
        <f>IFERROR(TRIM(Raw_Data!C60), "Review")</f>
        <v>Williams</v>
      </c>
      <c r="D60" s="2">
        <f>IF(Raw_Data!D60="", "", IFERROR(VALUE(Raw_Data!D60), ""))</f>
        <v>35</v>
      </c>
      <c r="E60" s="2" t="str">
        <f>IFERROR(LEFT(Raw_Data!E60,SEARCH("-",Raw_Data!E60)-1),"Review")</f>
        <v>Finance</v>
      </c>
      <c r="F60" s="2" t="str">
        <f>IFERROR(_xlfn.TEXTAFTER(Raw_Data!E60,"-"),"Review")</f>
        <v>Texas</v>
      </c>
      <c r="G60" s="2" t="str">
        <f>IFERROR(TRIM(Raw_Data!F60), "Review")</f>
        <v>Pending</v>
      </c>
      <c r="H60" s="3" t="str">
        <f>IFERROR(TEXT(Raw_Data!G60, "YYYY-MM-DD"),"Review")</f>
        <v>2021-11-07</v>
      </c>
      <c r="I60" s="4">
        <f>IF(Raw_Data!H60="", "", IFERROR(VALUE(Raw_Data!H60), ""))</f>
        <v>93620.88</v>
      </c>
      <c r="J60" s="2" t="str">
        <f>IF(Raw_Data!I60="", "", IF(ISNUMBER(FIND("@", Raw_Data!I60)), Raw_Data!I60, "Review"))</f>
        <v>david.williams@example.com</v>
      </c>
      <c r="K60" s="5" t="str">
        <f>IFERROR(TEXT(ABS(Raw_Data!J60), "0"), "Review")</f>
        <v>54522800</v>
      </c>
      <c r="L60" s="2" t="str">
        <f>IFERROR(TRIM(Raw_Data!K60), "Review")</f>
        <v>Good</v>
      </c>
      <c r="M60" s="2" t="b">
        <f>IF(Raw_Data!L60="", "",
    IF(ISLOGICAL(Raw_Data!L60), Raw_Data!L60,
        IF(OR(UPPER(Raw_Data!L60)="TRUE", UPPER(Raw_Data!L60)="YES", UPPER(Raw_Data!L60)="1"), TRUE,
            IF(OR(UPPER(Raw_Data!L60)="FALSE", UPPER(Raw_Data!L60)="NO", UPPER(Raw_Data!L60)="0"), FALSE, "Review")
        )
    )
)</f>
        <v>0</v>
      </c>
    </row>
    <row r="61" spans="1:13" x14ac:dyDescent="0.4">
      <c r="A61" s="2" t="str">
        <f>IFERROR(TRIM(Raw_Data!A61), "Review")</f>
        <v>EMP1059</v>
      </c>
      <c r="B61" s="2" t="str">
        <f>IFERROR(TRIM(Raw_Data!B61), "Review")</f>
        <v>Bob</v>
      </c>
      <c r="C61" s="2" t="str">
        <f>IFERROR(TRIM(Raw_Data!C61), "Review")</f>
        <v>Jones</v>
      </c>
      <c r="D61" s="2">
        <f>IF(Raw_Data!D61="", "", IFERROR(VALUE(Raw_Data!D61), ""))</f>
        <v>35</v>
      </c>
      <c r="E61" s="2" t="str">
        <f>IFERROR(LEFT(Raw_Data!E61,SEARCH("-",Raw_Data!E61)-1),"Review")</f>
        <v>Sales</v>
      </c>
      <c r="F61" s="2" t="str">
        <f>IFERROR(_xlfn.TEXTAFTER(Raw_Data!E61,"-"),"Review")</f>
        <v>California</v>
      </c>
      <c r="G61" s="2" t="str">
        <f>IFERROR(TRIM(Raw_Data!F61), "Review")</f>
        <v>Pending</v>
      </c>
      <c r="H61" s="3" t="str">
        <f>IFERROR(TEXT(Raw_Data!G61, "YYYY-MM-DD"),"Review")</f>
        <v>2022-04-16</v>
      </c>
      <c r="I61" s="4">
        <f>IF(Raw_Data!H61="", "", IFERROR(VALUE(Raw_Data!H61), ""))</f>
        <v>72832.800000000003</v>
      </c>
      <c r="J61" s="2" t="str">
        <f>IF(Raw_Data!I61="", "", IF(ISNUMBER(FIND("@", Raw_Data!I61)), Raw_Data!I61, "Review"))</f>
        <v>bob.jones@example.com</v>
      </c>
      <c r="K61" s="5" t="str">
        <f>IFERROR(TEXT(ABS(Raw_Data!J61), "0"), "Review")</f>
        <v>5619318373</v>
      </c>
      <c r="L61" s="2" t="str">
        <f>IFERROR(TRIM(Raw_Data!K61), "Review")</f>
        <v>Excellent</v>
      </c>
      <c r="M61" s="2" t="b">
        <f>IF(Raw_Data!L61="", "",
    IF(ISLOGICAL(Raw_Data!L61), Raw_Data!L61,
        IF(OR(UPPER(Raw_Data!L61)="TRUE", UPPER(Raw_Data!L61)="YES", UPPER(Raw_Data!L61)="1"), TRUE,
            IF(OR(UPPER(Raw_Data!L61)="FALSE", UPPER(Raw_Data!L61)="NO", UPPER(Raw_Data!L61)="0"), FALSE, "Review")
        )
    )
)</f>
        <v>1</v>
      </c>
    </row>
    <row r="62" spans="1:13" x14ac:dyDescent="0.4">
      <c r="A62" s="2" t="str">
        <f>IFERROR(TRIM(Raw_Data!A62), "Review")</f>
        <v>EMP1060</v>
      </c>
      <c r="B62" s="2" t="str">
        <f>IFERROR(TRIM(Raw_Data!B62), "Review")</f>
        <v>Charlie</v>
      </c>
      <c r="C62" s="2" t="str">
        <f>IFERROR(TRIM(Raw_Data!C62), "Review")</f>
        <v>Williams</v>
      </c>
      <c r="D62" s="2">
        <f>IF(Raw_Data!D62="", "", IFERROR(VALUE(Raw_Data!D62), ""))</f>
        <v>30</v>
      </c>
      <c r="E62" s="2" t="str">
        <f>IFERROR(LEFT(Raw_Data!E62,SEARCH("-",Raw_Data!E62)-1),"Review")</f>
        <v>Finance</v>
      </c>
      <c r="F62" s="2" t="str">
        <f>IFERROR(_xlfn.TEXTAFTER(Raw_Data!E62,"-"),"Review")</f>
        <v>Nevada</v>
      </c>
      <c r="G62" s="2" t="str">
        <f>IFERROR(TRIM(Raw_Data!F62), "Review")</f>
        <v>Inactive</v>
      </c>
      <c r="H62" s="3" t="str">
        <f>IFERROR(TEXT(Raw_Data!G62, "YYYY-MM-DD"),"Review")</f>
        <v>2023-10-19</v>
      </c>
      <c r="I62" s="4">
        <f>IF(Raw_Data!H62="", "", IFERROR(VALUE(Raw_Data!H62), ""))</f>
        <v>102369.42</v>
      </c>
      <c r="J62" s="2" t="str">
        <f>IF(Raw_Data!I62="", "", IF(ISNUMBER(FIND("@", Raw_Data!I62)), Raw_Data!I62, "Review"))</f>
        <v>charlie.williams@example.com</v>
      </c>
      <c r="K62" s="5" t="str">
        <f>IFERROR(TEXT(ABS(Raw_Data!J62), "0"), "Review")</f>
        <v>5508428909</v>
      </c>
      <c r="L62" s="2" t="str">
        <f>IFERROR(TRIM(Raw_Data!K62), "Review")</f>
        <v>Average</v>
      </c>
      <c r="M62" s="2" t="b">
        <f>IF(Raw_Data!L62="", "",
    IF(ISLOGICAL(Raw_Data!L62), Raw_Data!L62,
        IF(OR(UPPER(Raw_Data!L62)="TRUE", UPPER(Raw_Data!L62)="YES", UPPER(Raw_Data!L62)="1"), TRUE,
            IF(OR(UPPER(Raw_Data!L62)="FALSE", UPPER(Raw_Data!L62)="NO", UPPER(Raw_Data!L62)="0"), FALSE, "Review")
        )
    )
)</f>
        <v>1</v>
      </c>
    </row>
    <row r="63" spans="1:13" x14ac:dyDescent="0.4">
      <c r="A63" s="2" t="str">
        <f>IFERROR(TRIM(Raw_Data!A63), "Review")</f>
        <v>EMP1061</v>
      </c>
      <c r="B63" s="2" t="str">
        <f>IFERROR(TRIM(Raw_Data!B63), "Review")</f>
        <v>Eva</v>
      </c>
      <c r="C63" s="2" t="str">
        <f>IFERROR(TRIM(Raw_Data!C63), "Review")</f>
        <v>Davis</v>
      </c>
      <c r="D63" s="2">
        <f>IF(Raw_Data!D63="", "", IFERROR(VALUE(Raw_Data!D63), ""))</f>
        <v>40</v>
      </c>
      <c r="E63" s="2" t="str">
        <f>IFERROR(LEFT(Raw_Data!E63,SEARCH("-",Raw_Data!E63)-1),"Review")</f>
        <v>Sales</v>
      </c>
      <c r="F63" s="2" t="str">
        <f>IFERROR(_xlfn.TEXTAFTER(Raw_Data!E63,"-"),"Review")</f>
        <v>Texas</v>
      </c>
      <c r="G63" s="2" t="str">
        <f>IFERROR(TRIM(Raw_Data!F63), "Review")</f>
        <v>Inactive</v>
      </c>
      <c r="H63" s="3" t="str">
        <f>IFERROR(TEXT(Raw_Data!G63, "YYYY-MM-DD"),"Review")</f>
        <v>2021-08-10</v>
      </c>
      <c r="I63" s="4">
        <f>IF(Raw_Data!H63="", "", IFERROR(VALUE(Raw_Data!H63), ""))</f>
        <v>64712.79</v>
      </c>
      <c r="J63" s="2" t="str">
        <f>IF(Raw_Data!I63="", "", IF(ISNUMBER(FIND("@", Raw_Data!I63)), Raw_Data!I63, "Review"))</f>
        <v>eva.davis@example.com</v>
      </c>
      <c r="K63" s="5" t="str">
        <f>IFERROR(TEXT(ABS(Raw_Data!J63), "0"), "Review")</f>
        <v>7711991807</v>
      </c>
      <c r="L63" s="2" t="str">
        <f>IFERROR(TRIM(Raw_Data!K63), "Review")</f>
        <v>Excellent</v>
      </c>
      <c r="M63" s="2" t="b">
        <f>IF(Raw_Data!L63="", "",
    IF(ISLOGICAL(Raw_Data!L63), Raw_Data!L63,
        IF(OR(UPPER(Raw_Data!L63)="TRUE", UPPER(Raw_Data!L63)="YES", UPPER(Raw_Data!L63)="1"), TRUE,
            IF(OR(UPPER(Raw_Data!L63)="FALSE", UPPER(Raw_Data!L63)="NO", UPPER(Raw_Data!L63)="0"), FALSE, "Review")
        )
    )
)</f>
        <v>1</v>
      </c>
    </row>
    <row r="64" spans="1:13" x14ac:dyDescent="0.4">
      <c r="A64" s="2" t="str">
        <f>IFERROR(TRIM(Raw_Data!A64), "Review")</f>
        <v>EMP1062</v>
      </c>
      <c r="B64" s="2" t="str">
        <f>IFERROR(TRIM(Raw_Data!B64), "Review")</f>
        <v>Frank</v>
      </c>
      <c r="C64" s="2" t="str">
        <f>IFERROR(TRIM(Raw_Data!C64), "Review")</f>
        <v>Jones</v>
      </c>
      <c r="D64" s="2">
        <f>IF(Raw_Data!D64="", "", IFERROR(VALUE(Raw_Data!D64), ""))</f>
        <v>40</v>
      </c>
      <c r="E64" s="2" t="str">
        <f>IFERROR(LEFT(Raw_Data!E64,SEARCH("-",Raw_Data!E64)-1),"Review")</f>
        <v>Finance</v>
      </c>
      <c r="F64" s="2" t="str">
        <f>IFERROR(_xlfn.TEXTAFTER(Raw_Data!E64,"-"),"Review")</f>
        <v>Florida</v>
      </c>
      <c r="G64" s="2" t="str">
        <f>IFERROR(TRIM(Raw_Data!F64), "Review")</f>
        <v>Pending</v>
      </c>
      <c r="H64" s="3" t="str">
        <f>IFERROR(TEXT(Raw_Data!G64, "YYYY-MM-DD"),"Review")</f>
        <v>2021-03-13</v>
      </c>
      <c r="I64" s="4">
        <f>IF(Raw_Data!H64="", "", IFERROR(VALUE(Raw_Data!H64), ""))</f>
        <v>85782.18</v>
      </c>
      <c r="J64" s="2" t="str">
        <f>IF(Raw_Data!I64="", "", IF(ISNUMBER(FIND("@", Raw_Data!I64)), Raw_Data!I64, "Review"))</f>
        <v>frank.jones@example.com</v>
      </c>
      <c r="K64" s="5" t="str">
        <f>IFERROR(TEXT(ABS(Raw_Data!J64), "0"), "Review")</f>
        <v>1213524786</v>
      </c>
      <c r="L64" s="2" t="str">
        <f>IFERROR(TRIM(Raw_Data!K64), "Review")</f>
        <v>Excellent</v>
      </c>
      <c r="M64" s="2" t="b">
        <f>IF(Raw_Data!L64="", "",
    IF(ISLOGICAL(Raw_Data!L64), Raw_Data!L64,
        IF(OR(UPPER(Raw_Data!L64)="TRUE", UPPER(Raw_Data!L64)="YES", UPPER(Raw_Data!L64)="1"), TRUE,
            IF(OR(UPPER(Raw_Data!L64)="FALSE", UPPER(Raw_Data!L64)="NO", UPPER(Raw_Data!L64)="0"), FALSE, "Review")
        )
    )
)</f>
        <v>1</v>
      </c>
    </row>
    <row r="65" spans="1:13" x14ac:dyDescent="0.4">
      <c r="A65" s="2" t="str">
        <f>IFERROR(TRIM(Raw_Data!A65), "Review")</f>
        <v>EMP1063</v>
      </c>
      <c r="B65" s="2" t="str">
        <f>IFERROR(TRIM(Raw_Data!B65), "Review")</f>
        <v>Charlie</v>
      </c>
      <c r="C65" s="2" t="str">
        <f>IFERROR(TRIM(Raw_Data!C65), "Review")</f>
        <v>Smith</v>
      </c>
      <c r="D65" s="2">
        <f>IF(Raw_Data!D65="", "", IFERROR(VALUE(Raw_Data!D65), ""))</f>
        <v>25</v>
      </c>
      <c r="E65" s="2" t="str">
        <f>IFERROR(LEFT(Raw_Data!E65,SEARCH("-",Raw_Data!E65)-1),"Review")</f>
        <v>HR</v>
      </c>
      <c r="F65" s="2" t="str">
        <f>IFERROR(_xlfn.TEXTAFTER(Raw_Data!E65,"-"),"Review")</f>
        <v>Illinois</v>
      </c>
      <c r="G65" s="2" t="str">
        <f>IFERROR(TRIM(Raw_Data!F65), "Review")</f>
        <v>Pending</v>
      </c>
      <c r="H65" s="3" t="str">
        <f>IFERROR(TEXT(Raw_Data!G65, "YYYY-MM-DD"),"Review")</f>
        <v>2023-07-20</v>
      </c>
      <c r="I65" s="4">
        <f>IF(Raw_Data!H65="", "", IFERROR(VALUE(Raw_Data!H65), ""))</f>
        <v>93348.26</v>
      </c>
      <c r="J65" s="2" t="str">
        <f>IF(Raw_Data!I65="", "", IF(ISNUMBER(FIND("@", Raw_Data!I65)), Raw_Data!I65, "Review"))</f>
        <v>charlie.smith@example.com</v>
      </c>
      <c r="K65" s="5" t="str">
        <f>IFERROR(TEXT(ABS(Raw_Data!J65), "0"), "Review")</f>
        <v>1255213759</v>
      </c>
      <c r="L65" s="2" t="str">
        <f>IFERROR(TRIM(Raw_Data!K65), "Review")</f>
        <v>Poor</v>
      </c>
      <c r="M65" s="2" t="b">
        <f>IF(Raw_Data!L65="", "",
    IF(ISLOGICAL(Raw_Data!L65), Raw_Data!L65,
        IF(OR(UPPER(Raw_Data!L65)="TRUE", UPPER(Raw_Data!L65)="YES", UPPER(Raw_Data!L65)="1"), TRUE,
            IF(OR(UPPER(Raw_Data!L65)="FALSE", UPPER(Raw_Data!L65)="NO", UPPER(Raw_Data!L65)="0"), FALSE, "Review")
        )
    )
)</f>
        <v>0</v>
      </c>
    </row>
    <row r="66" spans="1:13" x14ac:dyDescent="0.4">
      <c r="A66" s="2" t="str">
        <f>IFERROR(TRIM(Raw_Data!A66), "Review")</f>
        <v>EMP1064</v>
      </c>
      <c r="B66" s="2" t="str">
        <f>IFERROR(TRIM(Raw_Data!B66), "Review")</f>
        <v>David</v>
      </c>
      <c r="C66" s="2" t="str">
        <f>IFERROR(TRIM(Raw_Data!C66), "Review")</f>
        <v>Davis</v>
      </c>
      <c r="D66" s="2">
        <f>IF(Raw_Data!D66="", "", IFERROR(VALUE(Raw_Data!D66), ""))</f>
        <v>35</v>
      </c>
      <c r="E66" s="2" t="str">
        <f>IFERROR(LEFT(Raw_Data!E66,SEARCH("-",Raw_Data!E66)-1),"Review")</f>
        <v>Admin</v>
      </c>
      <c r="F66" s="2" t="str">
        <f>IFERROR(_xlfn.TEXTAFTER(Raw_Data!E66,"-"),"Review")</f>
        <v>New York</v>
      </c>
      <c r="G66" s="2" t="str">
        <f>IFERROR(TRIM(Raw_Data!F66), "Review")</f>
        <v>Active</v>
      </c>
      <c r="H66" s="3" t="str">
        <f>IFERROR(TEXT(Raw_Data!G66, "YYYY-MM-DD"),"Review")</f>
        <v>2020-02-20</v>
      </c>
      <c r="I66" s="4">
        <f>IF(Raw_Data!H66="", "", IFERROR(VALUE(Raw_Data!H66), ""))</f>
        <v>53234.96</v>
      </c>
      <c r="J66" s="2" t="str">
        <f>IF(Raw_Data!I66="", "", IF(ISNUMBER(FIND("@", Raw_Data!I66)), Raw_Data!I66, "Review"))</f>
        <v>david.davis@example.com</v>
      </c>
      <c r="K66" s="5" t="str">
        <f>IFERROR(TEXT(ABS(Raw_Data!J66), "0"), "Review")</f>
        <v>3754821455</v>
      </c>
      <c r="L66" s="2" t="str">
        <f>IFERROR(TRIM(Raw_Data!K66), "Review")</f>
        <v>Good</v>
      </c>
      <c r="M66" s="2" t="b">
        <f>IF(Raw_Data!L66="", "",
    IF(ISLOGICAL(Raw_Data!L66), Raw_Data!L66,
        IF(OR(UPPER(Raw_Data!L66)="TRUE", UPPER(Raw_Data!L66)="YES", UPPER(Raw_Data!L66)="1"), TRUE,
            IF(OR(UPPER(Raw_Data!L66)="FALSE", UPPER(Raw_Data!L66)="NO", UPPER(Raw_Data!L66)="0"), FALSE, "Review")
        )
    )
)</f>
        <v>0</v>
      </c>
    </row>
    <row r="67" spans="1:13" x14ac:dyDescent="0.4">
      <c r="A67" s="2" t="str">
        <f>IFERROR(TRIM(Raw_Data!A67), "Review")</f>
        <v>EMP1065</v>
      </c>
      <c r="B67" s="2" t="str">
        <f>IFERROR(TRIM(Raw_Data!B67), "Review")</f>
        <v>Bob</v>
      </c>
      <c r="C67" s="2" t="str">
        <f>IFERROR(TRIM(Raw_Data!C67), "Review")</f>
        <v>Johnson</v>
      </c>
      <c r="D67" s="2">
        <f>IF(Raw_Data!D67="", "", IFERROR(VALUE(Raw_Data!D67), ""))</f>
        <v>40</v>
      </c>
      <c r="E67" s="2" t="str">
        <f>IFERROR(LEFT(Raw_Data!E67,SEARCH("-",Raw_Data!E67)-1),"Review")</f>
        <v>Finance</v>
      </c>
      <c r="F67" s="2" t="str">
        <f>IFERROR(_xlfn.TEXTAFTER(Raw_Data!E67,"-"),"Review")</f>
        <v>Nevada</v>
      </c>
      <c r="G67" s="2" t="str">
        <f>IFERROR(TRIM(Raw_Data!F67), "Review")</f>
        <v>Pending</v>
      </c>
      <c r="H67" s="3" t="str">
        <f>IFERROR(TEXT(Raw_Data!G67, "YYYY-MM-DD"),"Review")</f>
        <v>2021-02-02</v>
      </c>
      <c r="I67" s="4">
        <f>IF(Raw_Data!H67="", "", IFERROR(VALUE(Raw_Data!H67), ""))</f>
        <v>100284.21</v>
      </c>
      <c r="J67" s="2" t="str">
        <f>IF(Raw_Data!I67="", "", IF(ISNUMBER(FIND("@", Raw_Data!I67)), Raw_Data!I67, "Review"))</f>
        <v>bob.johnson@example.com</v>
      </c>
      <c r="K67" s="5" t="str">
        <f>IFERROR(TEXT(ABS(Raw_Data!J67), "0"), "Review")</f>
        <v>5328632665</v>
      </c>
      <c r="L67" s="2" t="str">
        <f>IFERROR(TRIM(Raw_Data!K67), "Review")</f>
        <v>Excellent</v>
      </c>
      <c r="M67" s="2" t="b">
        <f>IF(Raw_Data!L67="", "",
    IF(ISLOGICAL(Raw_Data!L67), Raw_Data!L67,
        IF(OR(UPPER(Raw_Data!L67)="TRUE", UPPER(Raw_Data!L67)="YES", UPPER(Raw_Data!L67)="1"), TRUE,
            IF(OR(UPPER(Raw_Data!L67)="FALSE", UPPER(Raw_Data!L67)="NO", UPPER(Raw_Data!L67)="0"), FALSE, "Review")
        )
    )
)</f>
        <v>0</v>
      </c>
    </row>
    <row r="68" spans="1:13" x14ac:dyDescent="0.4">
      <c r="A68" s="2" t="str">
        <f>IFERROR(TRIM(Raw_Data!A68), "Review")</f>
        <v>EMP1066</v>
      </c>
      <c r="B68" s="2" t="str">
        <f>IFERROR(TRIM(Raw_Data!B68), "Review")</f>
        <v>Grace</v>
      </c>
      <c r="C68" s="2" t="str">
        <f>IFERROR(TRIM(Raw_Data!C68), "Review")</f>
        <v>Brown</v>
      </c>
      <c r="D68" s="2">
        <f>IF(Raw_Data!D68="", "", IFERROR(VALUE(Raw_Data!D68), ""))</f>
        <v>30</v>
      </c>
      <c r="E68" s="2" t="str">
        <f>IFERROR(LEFT(Raw_Data!E68,SEARCH("-",Raw_Data!E68)-1),"Review")</f>
        <v>Admin</v>
      </c>
      <c r="F68" s="2" t="str">
        <f>IFERROR(_xlfn.TEXTAFTER(Raw_Data!E68,"-"),"Review")</f>
        <v>Nevada</v>
      </c>
      <c r="G68" s="2" t="str">
        <f>IFERROR(TRIM(Raw_Data!F68), "Review")</f>
        <v>Pending</v>
      </c>
      <c r="H68" s="3" t="str">
        <f>IFERROR(TEXT(Raw_Data!G68, "YYYY-MM-DD"),"Review")</f>
        <v>2020-01-12</v>
      </c>
      <c r="I68" s="4">
        <f>IF(Raw_Data!H68="", "", IFERROR(VALUE(Raw_Data!H68), ""))</f>
        <v>112486.19</v>
      </c>
      <c r="J68" s="2" t="str">
        <f>IF(Raw_Data!I68="", "", IF(ISNUMBER(FIND("@", Raw_Data!I68)), Raw_Data!I68, "Review"))</f>
        <v>grace.brown@example.com</v>
      </c>
      <c r="K68" s="5" t="str">
        <f>IFERROR(TEXT(ABS(Raw_Data!J68), "0"), "Review")</f>
        <v>7850720810</v>
      </c>
      <c r="L68" s="2" t="str">
        <f>IFERROR(TRIM(Raw_Data!K68), "Review")</f>
        <v>Excellent</v>
      </c>
      <c r="M68" s="2" t="b">
        <f>IF(Raw_Data!L68="", "",
    IF(ISLOGICAL(Raw_Data!L68), Raw_Data!L68,
        IF(OR(UPPER(Raw_Data!L68)="TRUE", UPPER(Raw_Data!L68)="YES", UPPER(Raw_Data!L68)="1"), TRUE,
            IF(OR(UPPER(Raw_Data!L68)="FALSE", UPPER(Raw_Data!L68)="NO", UPPER(Raw_Data!L68)="0"), FALSE, "Review")
        )
    )
)</f>
        <v>1</v>
      </c>
    </row>
    <row r="69" spans="1:13" x14ac:dyDescent="0.4">
      <c r="A69" s="2" t="str">
        <f>IFERROR(TRIM(Raw_Data!A69), "Review")</f>
        <v>EMP1067</v>
      </c>
      <c r="B69" s="2" t="str">
        <f>IFERROR(TRIM(Raw_Data!B69), "Review")</f>
        <v>Bob</v>
      </c>
      <c r="C69" s="2" t="str">
        <f>IFERROR(TRIM(Raw_Data!C69), "Review")</f>
        <v>Smith</v>
      </c>
      <c r="D69" s="2">
        <f>IF(Raw_Data!D69="", "", IFERROR(VALUE(Raw_Data!D69), ""))</f>
        <v>40</v>
      </c>
      <c r="E69" s="2" t="str">
        <f>IFERROR(LEFT(Raw_Data!E69,SEARCH("-",Raw_Data!E69)-1),"Review")</f>
        <v>Admin</v>
      </c>
      <c r="F69" s="2" t="str">
        <f>IFERROR(_xlfn.TEXTAFTER(Raw_Data!E69,"-"),"Review")</f>
        <v>New York</v>
      </c>
      <c r="G69" s="2" t="str">
        <f>IFERROR(TRIM(Raw_Data!F69), "Review")</f>
        <v>Pending</v>
      </c>
      <c r="H69" s="3" t="str">
        <f>IFERROR(TEXT(Raw_Data!G69, "YYYY-MM-DD"),"Review")</f>
        <v>2022-11-26</v>
      </c>
      <c r="I69" s="4">
        <f>IF(Raw_Data!H69="", "", IFERROR(VALUE(Raw_Data!H69), ""))</f>
        <v>82518.490000000005</v>
      </c>
      <c r="J69" s="2" t="str">
        <f>IF(Raw_Data!I69="", "", IF(ISNUMBER(FIND("@", Raw_Data!I69)), Raw_Data!I69, "Review"))</f>
        <v>bob.smith@example.com</v>
      </c>
      <c r="K69" s="5" t="str">
        <f>IFERROR(TEXT(ABS(Raw_Data!J69), "0"), "Review")</f>
        <v>5562606028</v>
      </c>
      <c r="L69" s="2" t="str">
        <f>IFERROR(TRIM(Raw_Data!K69), "Review")</f>
        <v>Poor</v>
      </c>
      <c r="M69" s="2" t="b">
        <f>IF(Raw_Data!L69="", "",
    IF(ISLOGICAL(Raw_Data!L69), Raw_Data!L69,
        IF(OR(UPPER(Raw_Data!L69)="TRUE", UPPER(Raw_Data!L69)="YES", UPPER(Raw_Data!L69)="1"), TRUE,
            IF(OR(UPPER(Raw_Data!L69)="FALSE", UPPER(Raw_Data!L69)="NO", UPPER(Raw_Data!L69)="0"), FALSE, "Review")
        )
    )
)</f>
        <v>1</v>
      </c>
    </row>
    <row r="70" spans="1:13" x14ac:dyDescent="0.4">
      <c r="A70" s="2" t="str">
        <f>IFERROR(TRIM(Raw_Data!A70), "Review")</f>
        <v>EMP1068</v>
      </c>
      <c r="B70" s="2" t="str">
        <f>IFERROR(TRIM(Raw_Data!B70), "Review")</f>
        <v>Bob</v>
      </c>
      <c r="C70" s="2" t="str">
        <f>IFERROR(TRIM(Raw_Data!C70), "Review")</f>
        <v>Brown</v>
      </c>
      <c r="D70" s="2">
        <f>IF(Raw_Data!D70="", "", IFERROR(VALUE(Raw_Data!D70), ""))</f>
        <v>40</v>
      </c>
      <c r="E70" s="2" t="str">
        <f>IFERROR(LEFT(Raw_Data!E70,SEARCH("-",Raw_Data!E70)-1),"Review")</f>
        <v>Admin</v>
      </c>
      <c r="F70" s="2" t="str">
        <f>IFERROR(_xlfn.TEXTAFTER(Raw_Data!E70,"-"),"Review")</f>
        <v>Florida</v>
      </c>
      <c r="G70" s="2" t="str">
        <f>IFERROR(TRIM(Raw_Data!F70), "Review")</f>
        <v>Pending</v>
      </c>
      <c r="H70" s="3" t="str">
        <f>IFERROR(TEXT(Raw_Data!G70, "YYYY-MM-DD"),"Review")</f>
        <v>2022-12-23</v>
      </c>
      <c r="I70" s="4">
        <f>IF(Raw_Data!H70="", "", IFERROR(VALUE(Raw_Data!H70), ""))</f>
        <v>119152.47</v>
      </c>
      <c r="J70" s="2" t="str">
        <f>IF(Raw_Data!I70="", "", IF(ISNUMBER(FIND("@", Raw_Data!I70)), Raw_Data!I70, "Review"))</f>
        <v>bob.brown@example.com</v>
      </c>
      <c r="K70" s="5" t="str">
        <f>IFERROR(TEXT(ABS(Raw_Data!J70), "0"), "Review")</f>
        <v>846684549</v>
      </c>
      <c r="L70" s="2" t="str">
        <f>IFERROR(TRIM(Raw_Data!K70), "Review")</f>
        <v>Poor</v>
      </c>
      <c r="M70" s="2" t="b">
        <f>IF(Raw_Data!L70="", "",
    IF(ISLOGICAL(Raw_Data!L70), Raw_Data!L70,
        IF(OR(UPPER(Raw_Data!L70)="TRUE", UPPER(Raw_Data!L70)="YES", UPPER(Raw_Data!L70)="1"), TRUE,
            IF(OR(UPPER(Raw_Data!L70)="FALSE", UPPER(Raw_Data!L70)="NO", UPPER(Raw_Data!L70)="0"), FALSE, "Review")
        )
    )
)</f>
        <v>1</v>
      </c>
    </row>
    <row r="71" spans="1:13" x14ac:dyDescent="0.4">
      <c r="A71" s="2" t="str">
        <f>IFERROR(TRIM(Raw_Data!A71), "Review")</f>
        <v>EMP1069</v>
      </c>
      <c r="B71" s="2" t="str">
        <f>IFERROR(TRIM(Raw_Data!B71), "Review")</f>
        <v>Heidi</v>
      </c>
      <c r="C71" s="2" t="str">
        <f>IFERROR(TRIM(Raw_Data!C71), "Review")</f>
        <v>Miller</v>
      </c>
      <c r="D71" s="2" t="str">
        <f>IF(Raw_Data!D71="", "", IFERROR(VALUE(Raw_Data!D71), ""))</f>
        <v/>
      </c>
      <c r="E71" s="2" t="str">
        <f>IFERROR(LEFT(Raw_Data!E71,SEARCH("-",Raw_Data!E71)-1),"Review")</f>
        <v>DevOps</v>
      </c>
      <c r="F71" s="2" t="str">
        <f>IFERROR(_xlfn.TEXTAFTER(Raw_Data!E71,"-"),"Review")</f>
        <v>Illinois</v>
      </c>
      <c r="G71" s="2" t="str">
        <f>IFERROR(TRIM(Raw_Data!F71), "Review")</f>
        <v>Inactive</v>
      </c>
      <c r="H71" s="3" t="str">
        <f>IFERROR(TEXT(Raw_Data!G71, "YYYY-MM-DD"),"Review")</f>
        <v>2024-08-28</v>
      </c>
      <c r="I71" s="4">
        <f>IF(Raw_Data!H71="", "", IFERROR(VALUE(Raw_Data!H71), ""))</f>
        <v>113479.83</v>
      </c>
      <c r="J71" s="2" t="str">
        <f>IF(Raw_Data!I71="", "", IF(ISNUMBER(FIND("@", Raw_Data!I71)), Raw_Data!I71, "Review"))</f>
        <v>heidi.miller@example.com</v>
      </c>
      <c r="K71" s="5" t="str">
        <f>IFERROR(TEXT(ABS(Raw_Data!J71), "0"), "Review")</f>
        <v>4892673898</v>
      </c>
      <c r="L71" s="2" t="str">
        <f>IFERROR(TRIM(Raw_Data!K71), "Review")</f>
        <v>Good</v>
      </c>
      <c r="M71" s="2" t="b">
        <f>IF(Raw_Data!L71="", "",
    IF(ISLOGICAL(Raw_Data!L71), Raw_Data!L71,
        IF(OR(UPPER(Raw_Data!L71)="TRUE", UPPER(Raw_Data!L71)="YES", UPPER(Raw_Data!L71)="1"), TRUE,
            IF(OR(UPPER(Raw_Data!L71)="FALSE", UPPER(Raw_Data!L71)="NO", UPPER(Raw_Data!L71)="0"), FALSE, "Review")
        )
    )
)</f>
        <v>0</v>
      </c>
    </row>
    <row r="72" spans="1:13" x14ac:dyDescent="0.4">
      <c r="A72" s="2" t="str">
        <f>IFERROR(TRIM(Raw_Data!A72), "Review")</f>
        <v>EMP1070</v>
      </c>
      <c r="B72" s="2" t="str">
        <f>IFERROR(TRIM(Raw_Data!B72), "Review")</f>
        <v>Charlie</v>
      </c>
      <c r="C72" s="2" t="str">
        <f>IFERROR(TRIM(Raw_Data!C72), "Review")</f>
        <v>Johnson</v>
      </c>
      <c r="D72" s="2">
        <f>IF(Raw_Data!D72="", "", IFERROR(VALUE(Raw_Data!D72), ""))</f>
        <v>40</v>
      </c>
      <c r="E72" s="2" t="str">
        <f>IFERROR(LEFT(Raw_Data!E72,SEARCH("-",Raw_Data!E72)-1),"Review")</f>
        <v>Finance</v>
      </c>
      <c r="F72" s="2" t="str">
        <f>IFERROR(_xlfn.TEXTAFTER(Raw_Data!E72,"-"),"Review")</f>
        <v>California</v>
      </c>
      <c r="G72" s="2" t="str">
        <f>IFERROR(TRIM(Raw_Data!F72), "Review")</f>
        <v>Active</v>
      </c>
      <c r="H72" s="3" t="str">
        <f>IFERROR(TEXT(Raw_Data!G72, "YYYY-MM-DD"),"Review")</f>
        <v>2024-09-16</v>
      </c>
      <c r="I72" s="4">
        <f>IF(Raw_Data!H72="", "", IFERROR(VALUE(Raw_Data!H72), ""))</f>
        <v>94636.3</v>
      </c>
      <c r="J72" s="2" t="str">
        <f>IF(Raw_Data!I72="", "", IF(ISNUMBER(FIND("@", Raw_Data!I72)), Raw_Data!I72, "Review"))</f>
        <v>charlie.johnson@example.com</v>
      </c>
      <c r="K72" s="5" t="str">
        <f>IFERROR(TEXT(ABS(Raw_Data!J72), "0"), "Review")</f>
        <v>7563410855</v>
      </c>
      <c r="L72" s="2" t="str">
        <f>IFERROR(TRIM(Raw_Data!K72), "Review")</f>
        <v>Poor</v>
      </c>
      <c r="M72" s="2" t="b">
        <f>IF(Raw_Data!L72="", "",
    IF(ISLOGICAL(Raw_Data!L72), Raw_Data!L72,
        IF(OR(UPPER(Raw_Data!L72)="TRUE", UPPER(Raw_Data!L72)="YES", UPPER(Raw_Data!L72)="1"), TRUE,
            IF(OR(UPPER(Raw_Data!L72)="FALSE", UPPER(Raw_Data!L72)="NO", UPPER(Raw_Data!L72)="0"), FALSE, "Review")
        )
    )
)</f>
        <v>0</v>
      </c>
    </row>
    <row r="73" spans="1:13" x14ac:dyDescent="0.4">
      <c r="A73" s="2" t="str">
        <f>IFERROR(TRIM(Raw_Data!A73), "Review")</f>
        <v>EMP1071</v>
      </c>
      <c r="B73" s="2" t="str">
        <f>IFERROR(TRIM(Raw_Data!B73), "Review")</f>
        <v>Heidi</v>
      </c>
      <c r="C73" s="2" t="str">
        <f>IFERROR(TRIM(Raw_Data!C73), "Review")</f>
        <v>Johnson</v>
      </c>
      <c r="D73" s="2">
        <f>IF(Raw_Data!D73="", "", IFERROR(VALUE(Raw_Data!D73), ""))</f>
        <v>30</v>
      </c>
      <c r="E73" s="2" t="str">
        <f>IFERROR(LEFT(Raw_Data!E73,SEARCH("-",Raw_Data!E73)-1),"Review")</f>
        <v>HR</v>
      </c>
      <c r="F73" s="2" t="str">
        <f>IFERROR(_xlfn.TEXTAFTER(Raw_Data!E73,"-"),"Review")</f>
        <v>Florida</v>
      </c>
      <c r="G73" s="2" t="str">
        <f>IFERROR(TRIM(Raw_Data!F73), "Review")</f>
        <v>Active</v>
      </c>
      <c r="H73" s="3" t="str">
        <f>IFERROR(TEXT(Raw_Data!G73, "YYYY-MM-DD"),"Review")</f>
        <v>2024-01-01</v>
      </c>
      <c r="I73" s="4">
        <f>IF(Raw_Data!H73="", "", IFERROR(VALUE(Raw_Data!H73), ""))</f>
        <v>70000.97</v>
      </c>
      <c r="J73" s="2" t="str">
        <f>IF(Raw_Data!I73="", "", IF(ISNUMBER(FIND("@", Raw_Data!I73)), Raw_Data!I73, "Review"))</f>
        <v>heidi.johnson@example.com</v>
      </c>
      <c r="K73" s="5" t="str">
        <f>IFERROR(TEXT(ABS(Raw_Data!J73), "0"), "Review")</f>
        <v>2884318847</v>
      </c>
      <c r="L73" s="2" t="str">
        <f>IFERROR(TRIM(Raw_Data!K73), "Review")</f>
        <v>Average</v>
      </c>
      <c r="M73" s="2" t="b">
        <f>IF(Raw_Data!L73="", "",
    IF(ISLOGICAL(Raw_Data!L73), Raw_Data!L73,
        IF(OR(UPPER(Raw_Data!L73)="TRUE", UPPER(Raw_Data!L73)="YES", UPPER(Raw_Data!L73)="1"), TRUE,
            IF(OR(UPPER(Raw_Data!L73)="FALSE", UPPER(Raw_Data!L73)="NO", UPPER(Raw_Data!L73)="0"), FALSE, "Review")
        )
    )
)</f>
        <v>1</v>
      </c>
    </row>
    <row r="74" spans="1:13" x14ac:dyDescent="0.4">
      <c r="A74" s="2" t="str">
        <f>IFERROR(TRIM(Raw_Data!A74), "Review")</f>
        <v>EMP1072</v>
      </c>
      <c r="B74" s="2" t="str">
        <f>IFERROR(TRIM(Raw_Data!B74), "Review")</f>
        <v>Frank</v>
      </c>
      <c r="C74" s="2" t="str">
        <f>IFERROR(TRIM(Raw_Data!C74), "Review")</f>
        <v>Smith</v>
      </c>
      <c r="D74" s="2" t="str">
        <f>IF(Raw_Data!D74="", "", IFERROR(VALUE(Raw_Data!D74), ""))</f>
        <v/>
      </c>
      <c r="E74" s="2" t="str">
        <f>IFERROR(LEFT(Raw_Data!E74,SEARCH("-",Raw_Data!E74)-1),"Review")</f>
        <v>Cloud Tech</v>
      </c>
      <c r="F74" s="2" t="str">
        <f>IFERROR(_xlfn.TEXTAFTER(Raw_Data!E74,"-"),"Review")</f>
        <v>New York</v>
      </c>
      <c r="G74" s="2" t="str">
        <f>IFERROR(TRIM(Raw_Data!F74), "Review")</f>
        <v>Active</v>
      </c>
      <c r="H74" s="3" t="str">
        <f>IFERROR(TEXT(Raw_Data!G74, "YYYY-MM-DD"),"Review")</f>
        <v>2021-04-18</v>
      </c>
      <c r="I74" s="4">
        <f>IF(Raw_Data!H74="", "", IFERROR(VALUE(Raw_Data!H74), ""))</f>
        <v>76812.47</v>
      </c>
      <c r="J74" s="2" t="str">
        <f>IF(Raw_Data!I74="", "", IF(ISNUMBER(FIND("@", Raw_Data!I74)), Raw_Data!I74, "Review"))</f>
        <v>frank.smith@example.com</v>
      </c>
      <c r="K74" s="5" t="str">
        <f>IFERROR(TEXT(ABS(Raw_Data!J74), "0"), "Review")</f>
        <v>5200894345</v>
      </c>
      <c r="L74" s="2" t="str">
        <f>IFERROR(TRIM(Raw_Data!K74), "Review")</f>
        <v>Poor</v>
      </c>
      <c r="M74" s="2" t="b">
        <f>IF(Raw_Data!L74="", "",
    IF(ISLOGICAL(Raw_Data!L74), Raw_Data!L74,
        IF(OR(UPPER(Raw_Data!L74)="TRUE", UPPER(Raw_Data!L74)="YES", UPPER(Raw_Data!L74)="1"), TRUE,
            IF(OR(UPPER(Raw_Data!L74)="FALSE", UPPER(Raw_Data!L74)="NO", UPPER(Raw_Data!L74)="0"), FALSE, "Review")
        )
    )
)</f>
        <v>0</v>
      </c>
    </row>
    <row r="75" spans="1:13" x14ac:dyDescent="0.4">
      <c r="A75" s="2" t="str">
        <f>IFERROR(TRIM(Raw_Data!A75), "Review")</f>
        <v>EMP1073</v>
      </c>
      <c r="B75" s="2" t="str">
        <f>IFERROR(TRIM(Raw_Data!B75), "Review")</f>
        <v>David</v>
      </c>
      <c r="C75" s="2" t="str">
        <f>IFERROR(TRIM(Raw_Data!C75), "Review")</f>
        <v>Johnson</v>
      </c>
      <c r="D75" s="2">
        <f>IF(Raw_Data!D75="", "", IFERROR(VALUE(Raw_Data!D75), ""))</f>
        <v>25</v>
      </c>
      <c r="E75" s="2" t="str">
        <f>IFERROR(LEFT(Raw_Data!E75,SEARCH("-",Raw_Data!E75)-1),"Review")</f>
        <v>Finance</v>
      </c>
      <c r="F75" s="2" t="str">
        <f>IFERROR(_xlfn.TEXTAFTER(Raw_Data!E75,"-"),"Review")</f>
        <v>Florida</v>
      </c>
      <c r="G75" s="2" t="str">
        <f>IFERROR(TRIM(Raw_Data!F75), "Review")</f>
        <v>Inactive</v>
      </c>
      <c r="H75" s="3" t="str">
        <f>IFERROR(TEXT(Raw_Data!G75, "YYYY-MM-DD"),"Review")</f>
        <v>2023-01-16</v>
      </c>
      <c r="I75" s="4">
        <f>IF(Raw_Data!H75="", "", IFERROR(VALUE(Raw_Data!H75), ""))</f>
        <v>82614.7</v>
      </c>
      <c r="J75" s="2" t="str">
        <f>IF(Raw_Data!I75="", "", IF(ISNUMBER(FIND("@", Raw_Data!I75)), Raw_Data!I75, "Review"))</f>
        <v>david.johnson@example.com</v>
      </c>
      <c r="K75" s="5" t="str">
        <f>IFERROR(TEXT(ABS(Raw_Data!J75), "0"), "Review")</f>
        <v>8105485100</v>
      </c>
      <c r="L75" s="2" t="str">
        <f>IFERROR(TRIM(Raw_Data!K75), "Review")</f>
        <v>Average</v>
      </c>
      <c r="M75" s="2" t="b">
        <f>IF(Raw_Data!L75="", "",
    IF(ISLOGICAL(Raw_Data!L75), Raw_Data!L75,
        IF(OR(UPPER(Raw_Data!L75)="TRUE", UPPER(Raw_Data!L75)="YES", UPPER(Raw_Data!L75)="1"), TRUE,
            IF(OR(UPPER(Raw_Data!L75)="FALSE", UPPER(Raw_Data!L75)="NO", UPPER(Raw_Data!L75)="0"), FALSE, "Review")
        )
    )
)</f>
        <v>1</v>
      </c>
    </row>
    <row r="76" spans="1:13" x14ac:dyDescent="0.4">
      <c r="A76" s="2" t="str">
        <f>IFERROR(TRIM(Raw_Data!A76), "Review")</f>
        <v>EMP1074</v>
      </c>
      <c r="B76" s="2" t="str">
        <f>IFERROR(TRIM(Raw_Data!B76), "Review")</f>
        <v>Grace</v>
      </c>
      <c r="C76" s="2" t="str">
        <f>IFERROR(TRIM(Raw_Data!C76), "Review")</f>
        <v>Jones</v>
      </c>
      <c r="D76" s="2">
        <f>IF(Raw_Data!D76="", "", IFERROR(VALUE(Raw_Data!D76), ""))</f>
        <v>40</v>
      </c>
      <c r="E76" s="2" t="str">
        <f>IFERROR(LEFT(Raw_Data!E76,SEARCH("-",Raw_Data!E76)-1),"Review")</f>
        <v>Sales</v>
      </c>
      <c r="F76" s="2" t="str">
        <f>IFERROR(_xlfn.TEXTAFTER(Raw_Data!E76,"-"),"Review")</f>
        <v>Nevada</v>
      </c>
      <c r="G76" s="2" t="str">
        <f>IFERROR(TRIM(Raw_Data!F76), "Review")</f>
        <v>Active</v>
      </c>
      <c r="H76" s="3" t="str">
        <f>IFERROR(TEXT(Raw_Data!G76, "YYYY-MM-DD"),"Review")</f>
        <v>2024-10-20</v>
      </c>
      <c r="I76" s="4">
        <f>IF(Raw_Data!H76="", "", IFERROR(VALUE(Raw_Data!H76), ""))</f>
        <v>111645.97</v>
      </c>
      <c r="J76" s="2" t="str">
        <f>IF(Raw_Data!I76="", "", IF(ISNUMBER(FIND("@", Raw_Data!I76)), Raw_Data!I76, "Review"))</f>
        <v>grace.jones@example.com</v>
      </c>
      <c r="K76" s="5" t="str">
        <f>IFERROR(TEXT(ABS(Raw_Data!J76), "0"), "Review")</f>
        <v>7490753997</v>
      </c>
      <c r="L76" s="2" t="str">
        <f>IFERROR(TRIM(Raw_Data!K76), "Review")</f>
        <v>Good</v>
      </c>
      <c r="M76" s="2" t="b">
        <f>IF(Raw_Data!L76="", "",
    IF(ISLOGICAL(Raw_Data!L76), Raw_Data!L76,
        IF(OR(UPPER(Raw_Data!L76)="TRUE", UPPER(Raw_Data!L76)="YES", UPPER(Raw_Data!L76)="1"), TRUE,
            IF(OR(UPPER(Raw_Data!L76)="FALSE", UPPER(Raw_Data!L76)="NO", UPPER(Raw_Data!L76)="0"), FALSE, "Review")
        )
    )
)</f>
        <v>1</v>
      </c>
    </row>
    <row r="77" spans="1:13" x14ac:dyDescent="0.4">
      <c r="A77" s="2" t="str">
        <f>IFERROR(TRIM(Raw_Data!A77), "Review")</f>
        <v>EMP1075</v>
      </c>
      <c r="B77" s="2" t="str">
        <f>IFERROR(TRIM(Raw_Data!B77), "Review")</f>
        <v>Heidi</v>
      </c>
      <c r="C77" s="2" t="str">
        <f>IFERROR(TRIM(Raw_Data!C77), "Review")</f>
        <v>Johnson</v>
      </c>
      <c r="D77" s="2">
        <f>IF(Raw_Data!D77="", "", IFERROR(VALUE(Raw_Data!D77), ""))</f>
        <v>25</v>
      </c>
      <c r="E77" s="2" t="str">
        <f>IFERROR(LEFT(Raw_Data!E77,SEARCH("-",Raw_Data!E77)-1),"Review")</f>
        <v>HR</v>
      </c>
      <c r="F77" s="2" t="str">
        <f>IFERROR(_xlfn.TEXTAFTER(Raw_Data!E77,"-"),"Review")</f>
        <v>California</v>
      </c>
      <c r="G77" s="2" t="str">
        <f>IFERROR(TRIM(Raw_Data!F77), "Review")</f>
        <v>Inactive</v>
      </c>
      <c r="H77" s="3" t="str">
        <f>IFERROR(TEXT(Raw_Data!G77, "YYYY-MM-DD"),"Review")</f>
        <v>2024-10-13</v>
      </c>
      <c r="I77" s="4">
        <f>IF(Raw_Data!H77="", "", IFERROR(VALUE(Raw_Data!H77), ""))</f>
        <v>112414.91</v>
      </c>
      <c r="J77" s="2" t="str">
        <f>IF(Raw_Data!I77="", "", IF(ISNUMBER(FIND("@", Raw_Data!I77)), Raw_Data!I77, "Review"))</f>
        <v>heidi.johnson@example.com</v>
      </c>
      <c r="K77" s="5" t="str">
        <f>IFERROR(TEXT(ABS(Raw_Data!J77), "0"), "Review")</f>
        <v>9354492682</v>
      </c>
      <c r="L77" s="2" t="str">
        <f>IFERROR(TRIM(Raw_Data!K77), "Review")</f>
        <v>Good</v>
      </c>
      <c r="M77" s="2" t="b">
        <f>IF(Raw_Data!L77="", "",
    IF(ISLOGICAL(Raw_Data!L77), Raw_Data!L77,
        IF(OR(UPPER(Raw_Data!L77)="TRUE", UPPER(Raw_Data!L77)="YES", UPPER(Raw_Data!L77)="1"), TRUE,
            IF(OR(UPPER(Raw_Data!L77)="FALSE", UPPER(Raw_Data!L77)="NO", UPPER(Raw_Data!L77)="0"), FALSE, "Review")
        )
    )
)</f>
        <v>0</v>
      </c>
    </row>
    <row r="78" spans="1:13" x14ac:dyDescent="0.4">
      <c r="A78" s="2" t="str">
        <f>IFERROR(TRIM(Raw_Data!A78), "Review")</f>
        <v>EMP1076</v>
      </c>
      <c r="B78" s="2" t="str">
        <f>IFERROR(TRIM(Raw_Data!B78), "Review")</f>
        <v>David</v>
      </c>
      <c r="C78" s="2" t="str">
        <f>IFERROR(TRIM(Raw_Data!C78), "Review")</f>
        <v>Brown</v>
      </c>
      <c r="D78" s="2">
        <f>IF(Raw_Data!D78="", "", IFERROR(VALUE(Raw_Data!D78), ""))</f>
        <v>40</v>
      </c>
      <c r="E78" s="2" t="str">
        <f>IFERROR(LEFT(Raw_Data!E78,SEARCH("-",Raw_Data!E78)-1),"Review")</f>
        <v>Admin</v>
      </c>
      <c r="F78" s="2" t="str">
        <f>IFERROR(_xlfn.TEXTAFTER(Raw_Data!E78,"-"),"Review")</f>
        <v>California</v>
      </c>
      <c r="G78" s="2" t="str">
        <f>IFERROR(TRIM(Raw_Data!F78), "Review")</f>
        <v>Inactive</v>
      </c>
      <c r="H78" s="3" t="str">
        <f>IFERROR(TEXT(Raw_Data!G78, "YYYY-MM-DD"),"Review")</f>
        <v>2022-09-21</v>
      </c>
      <c r="I78" s="4">
        <f>IF(Raw_Data!H78="", "", IFERROR(VALUE(Raw_Data!H78), ""))</f>
        <v>52031.74</v>
      </c>
      <c r="J78" s="2" t="str">
        <f>IF(Raw_Data!I78="", "", IF(ISNUMBER(FIND("@", Raw_Data!I78)), Raw_Data!I78, "Review"))</f>
        <v>david.brown@example.com</v>
      </c>
      <c r="K78" s="5" t="str">
        <f>IFERROR(TEXT(ABS(Raw_Data!J78), "0"), "Review")</f>
        <v>1589357125</v>
      </c>
      <c r="L78" s="2" t="str">
        <f>IFERROR(TRIM(Raw_Data!K78), "Review")</f>
        <v>Good</v>
      </c>
      <c r="M78" s="2" t="b">
        <f>IF(Raw_Data!L78="", "",
    IF(ISLOGICAL(Raw_Data!L78), Raw_Data!L78,
        IF(OR(UPPER(Raw_Data!L78)="TRUE", UPPER(Raw_Data!L78)="YES", UPPER(Raw_Data!L78)="1"), TRUE,
            IF(OR(UPPER(Raw_Data!L78)="FALSE", UPPER(Raw_Data!L78)="NO", UPPER(Raw_Data!L78)="0"), FALSE, "Review")
        )
    )
)</f>
        <v>1</v>
      </c>
    </row>
    <row r="79" spans="1:13" x14ac:dyDescent="0.4">
      <c r="A79" s="2" t="str">
        <f>IFERROR(TRIM(Raw_Data!A79), "Review")</f>
        <v>EMP1077</v>
      </c>
      <c r="B79" s="2" t="str">
        <f>IFERROR(TRIM(Raw_Data!B79), "Review")</f>
        <v>Grace</v>
      </c>
      <c r="C79" s="2" t="str">
        <f>IFERROR(TRIM(Raw_Data!C79), "Review")</f>
        <v>Brown</v>
      </c>
      <c r="D79" s="2">
        <f>IF(Raw_Data!D79="", "", IFERROR(VALUE(Raw_Data!D79), ""))</f>
        <v>30</v>
      </c>
      <c r="E79" s="2" t="str">
        <f>IFERROR(LEFT(Raw_Data!E79,SEARCH("-",Raw_Data!E79)-1),"Review")</f>
        <v>Finance</v>
      </c>
      <c r="F79" s="2" t="str">
        <f>IFERROR(_xlfn.TEXTAFTER(Raw_Data!E79,"-"),"Review")</f>
        <v>New York</v>
      </c>
      <c r="G79" s="2" t="str">
        <f>IFERROR(TRIM(Raw_Data!F79), "Review")</f>
        <v>Pending</v>
      </c>
      <c r="H79" s="3" t="str">
        <f>IFERROR(TEXT(Raw_Data!G79, "YYYY-MM-DD"),"Review")</f>
        <v>2022-12-29</v>
      </c>
      <c r="I79" s="4">
        <f>IF(Raw_Data!H79="", "", IFERROR(VALUE(Raw_Data!H79), ""))</f>
        <v>51887.65</v>
      </c>
      <c r="J79" s="2" t="str">
        <f>IF(Raw_Data!I79="", "", IF(ISNUMBER(FIND("@", Raw_Data!I79)), Raw_Data!I79, "Review"))</f>
        <v>grace.brown@example.com</v>
      </c>
      <c r="K79" s="5" t="str">
        <f>IFERROR(TEXT(ABS(Raw_Data!J79), "0"), "Review")</f>
        <v>6110627370</v>
      </c>
      <c r="L79" s="2" t="str">
        <f>IFERROR(TRIM(Raw_Data!K79), "Review")</f>
        <v>Good</v>
      </c>
      <c r="M79" s="2" t="b">
        <f>IF(Raw_Data!L79="", "",
    IF(ISLOGICAL(Raw_Data!L79), Raw_Data!L79,
        IF(OR(UPPER(Raw_Data!L79)="TRUE", UPPER(Raw_Data!L79)="YES", UPPER(Raw_Data!L79)="1"), TRUE,
            IF(OR(UPPER(Raw_Data!L79)="FALSE", UPPER(Raw_Data!L79)="NO", UPPER(Raw_Data!L79)="0"), FALSE, "Review")
        )
    )
)</f>
        <v>0</v>
      </c>
    </row>
    <row r="80" spans="1:13" x14ac:dyDescent="0.4">
      <c r="A80" s="2" t="str">
        <f>IFERROR(TRIM(Raw_Data!A80), "Review")</f>
        <v>EMP1078</v>
      </c>
      <c r="B80" s="2" t="str">
        <f>IFERROR(TRIM(Raw_Data!B80), "Review")</f>
        <v>Alice</v>
      </c>
      <c r="C80" s="2" t="str">
        <f>IFERROR(TRIM(Raw_Data!C80), "Review")</f>
        <v>Davis</v>
      </c>
      <c r="D80" s="2">
        <f>IF(Raw_Data!D80="", "", IFERROR(VALUE(Raw_Data!D80), ""))</f>
        <v>25</v>
      </c>
      <c r="E80" s="2" t="str">
        <f>IFERROR(LEFT(Raw_Data!E80,SEARCH("-",Raw_Data!E80)-1),"Review")</f>
        <v>DevOps</v>
      </c>
      <c r="F80" s="2" t="str">
        <f>IFERROR(_xlfn.TEXTAFTER(Raw_Data!E80,"-"),"Review")</f>
        <v>Florida</v>
      </c>
      <c r="G80" s="2" t="str">
        <f>IFERROR(TRIM(Raw_Data!F80), "Review")</f>
        <v>Active</v>
      </c>
      <c r="H80" s="3" t="str">
        <f>IFERROR(TEXT(Raw_Data!G80, "YYYY-MM-DD"),"Review")</f>
        <v>2024-11-10</v>
      </c>
      <c r="I80" s="4">
        <f>IF(Raw_Data!H80="", "", IFERROR(VALUE(Raw_Data!H80), ""))</f>
        <v>82318.89</v>
      </c>
      <c r="J80" s="2" t="str">
        <f>IF(Raw_Data!I80="", "", IF(ISNUMBER(FIND("@", Raw_Data!I80)), Raw_Data!I80, "Review"))</f>
        <v>alice.davis@example.com</v>
      </c>
      <c r="K80" s="5" t="str">
        <f>IFERROR(TEXT(ABS(Raw_Data!J80), "0"), "Review")</f>
        <v>5869886496</v>
      </c>
      <c r="L80" s="2" t="str">
        <f>IFERROR(TRIM(Raw_Data!K80), "Review")</f>
        <v>Good</v>
      </c>
      <c r="M80" s="2" t="b">
        <f>IF(Raw_Data!L80="", "",
    IF(ISLOGICAL(Raw_Data!L80), Raw_Data!L80,
        IF(OR(UPPER(Raw_Data!L80)="TRUE", UPPER(Raw_Data!L80)="YES", UPPER(Raw_Data!L80)="1"), TRUE,
            IF(OR(UPPER(Raw_Data!L80)="FALSE", UPPER(Raw_Data!L80)="NO", UPPER(Raw_Data!L80)="0"), FALSE, "Review")
        )
    )
)</f>
        <v>1</v>
      </c>
    </row>
    <row r="81" spans="1:13" x14ac:dyDescent="0.4">
      <c r="A81" s="2" t="str">
        <f>IFERROR(TRIM(Raw_Data!A81), "Review")</f>
        <v>EMP1079</v>
      </c>
      <c r="B81" s="2" t="str">
        <f>IFERROR(TRIM(Raw_Data!B81), "Review")</f>
        <v>Grace</v>
      </c>
      <c r="C81" s="2" t="str">
        <f>IFERROR(TRIM(Raw_Data!C81), "Review")</f>
        <v>Brown</v>
      </c>
      <c r="D81" s="2">
        <f>IF(Raw_Data!D81="", "", IFERROR(VALUE(Raw_Data!D81), ""))</f>
        <v>35</v>
      </c>
      <c r="E81" s="2" t="str">
        <f>IFERROR(LEFT(Raw_Data!E81,SEARCH("-",Raw_Data!E81)-1),"Review")</f>
        <v>Admin</v>
      </c>
      <c r="F81" s="2" t="str">
        <f>IFERROR(_xlfn.TEXTAFTER(Raw_Data!E81,"-"),"Review")</f>
        <v>Florida</v>
      </c>
      <c r="G81" s="2" t="str">
        <f>IFERROR(TRIM(Raw_Data!F81), "Review")</f>
        <v>Inactive</v>
      </c>
      <c r="H81" s="3" t="str">
        <f>IFERROR(TEXT(Raw_Data!G81, "YYYY-MM-DD"),"Review")</f>
        <v>2021-11-22</v>
      </c>
      <c r="I81" s="4">
        <f>IF(Raw_Data!H81="", "", IFERROR(VALUE(Raw_Data!H81), ""))</f>
        <v>103286.08</v>
      </c>
      <c r="J81" s="2" t="str">
        <f>IF(Raw_Data!I81="", "", IF(ISNUMBER(FIND("@", Raw_Data!I81)), Raw_Data!I81, "Review"))</f>
        <v>grace.brown@example.com</v>
      </c>
      <c r="K81" s="5" t="str">
        <f>IFERROR(TEXT(ABS(Raw_Data!J81), "0"), "Review")</f>
        <v>6776228276</v>
      </c>
      <c r="L81" s="2" t="str">
        <f>IFERROR(TRIM(Raw_Data!K81), "Review")</f>
        <v>Average</v>
      </c>
      <c r="M81" s="2" t="b">
        <f>IF(Raw_Data!L81="", "",
    IF(ISLOGICAL(Raw_Data!L81), Raw_Data!L81,
        IF(OR(UPPER(Raw_Data!L81)="TRUE", UPPER(Raw_Data!L81)="YES", UPPER(Raw_Data!L81)="1"), TRUE,
            IF(OR(UPPER(Raw_Data!L81)="FALSE", UPPER(Raw_Data!L81)="NO", UPPER(Raw_Data!L81)="0"), FALSE, "Review")
        )
    )
)</f>
        <v>0</v>
      </c>
    </row>
    <row r="82" spans="1:13" x14ac:dyDescent="0.4">
      <c r="A82" s="2" t="str">
        <f>IFERROR(TRIM(Raw_Data!A82), "Review")</f>
        <v>EMP1080</v>
      </c>
      <c r="B82" s="2" t="str">
        <f>IFERROR(TRIM(Raw_Data!B82), "Review")</f>
        <v>Grace</v>
      </c>
      <c r="C82" s="2" t="str">
        <f>IFERROR(TRIM(Raw_Data!C82), "Review")</f>
        <v>Davis</v>
      </c>
      <c r="D82" s="2">
        <f>IF(Raw_Data!D82="", "", IFERROR(VALUE(Raw_Data!D82), ""))</f>
        <v>35</v>
      </c>
      <c r="E82" s="2" t="str">
        <f>IFERROR(LEFT(Raw_Data!E82,SEARCH("-",Raw_Data!E82)-1),"Review")</f>
        <v>Cloud Tech</v>
      </c>
      <c r="F82" s="2" t="str">
        <f>IFERROR(_xlfn.TEXTAFTER(Raw_Data!E82,"-"),"Review")</f>
        <v>Florida</v>
      </c>
      <c r="G82" s="2" t="str">
        <f>IFERROR(TRIM(Raw_Data!F82), "Review")</f>
        <v>Active</v>
      </c>
      <c r="H82" s="3" t="str">
        <f>IFERROR(TEXT(Raw_Data!G82, "YYYY-MM-DD"),"Review")</f>
        <v>2024-03-14</v>
      </c>
      <c r="I82" s="4">
        <f>IF(Raw_Data!H82="", "", IFERROR(VALUE(Raw_Data!H82), ""))</f>
        <v>87759.33</v>
      </c>
      <c r="J82" s="2" t="str">
        <f>IF(Raw_Data!I82="", "", IF(ISNUMBER(FIND("@", Raw_Data!I82)), Raw_Data!I82, "Review"))</f>
        <v>grace.davis@example.com</v>
      </c>
      <c r="K82" s="5" t="str">
        <f>IFERROR(TEXT(ABS(Raw_Data!J82), "0"), "Review")</f>
        <v>2881377027</v>
      </c>
      <c r="L82" s="2" t="str">
        <f>IFERROR(TRIM(Raw_Data!K82), "Review")</f>
        <v>Average</v>
      </c>
      <c r="M82" s="2" t="b">
        <f>IF(Raw_Data!L82="", "",
    IF(ISLOGICAL(Raw_Data!L82), Raw_Data!L82,
        IF(OR(UPPER(Raw_Data!L82)="TRUE", UPPER(Raw_Data!L82)="YES", UPPER(Raw_Data!L82)="1"), TRUE,
            IF(OR(UPPER(Raw_Data!L82)="FALSE", UPPER(Raw_Data!L82)="NO", UPPER(Raw_Data!L82)="0"), FALSE, "Review")
        )
    )
)</f>
        <v>0</v>
      </c>
    </row>
    <row r="83" spans="1:13" x14ac:dyDescent="0.4">
      <c r="A83" s="2" t="str">
        <f>IFERROR(TRIM(Raw_Data!A83), "Review")</f>
        <v>EMP1081</v>
      </c>
      <c r="B83" s="2" t="str">
        <f>IFERROR(TRIM(Raw_Data!B83), "Review")</f>
        <v>Frank</v>
      </c>
      <c r="C83" s="2" t="str">
        <f>IFERROR(TRIM(Raw_Data!C83), "Review")</f>
        <v>Brown</v>
      </c>
      <c r="D83" s="2">
        <f>IF(Raw_Data!D83="", "", IFERROR(VALUE(Raw_Data!D83), ""))</f>
        <v>30</v>
      </c>
      <c r="E83" s="2" t="str">
        <f>IFERROR(LEFT(Raw_Data!E83,SEARCH("-",Raw_Data!E83)-1),"Review")</f>
        <v>DevOps</v>
      </c>
      <c r="F83" s="2" t="str">
        <f>IFERROR(_xlfn.TEXTAFTER(Raw_Data!E83,"-"),"Review")</f>
        <v>Texas</v>
      </c>
      <c r="G83" s="2" t="str">
        <f>IFERROR(TRIM(Raw_Data!F83), "Review")</f>
        <v>Pending</v>
      </c>
      <c r="H83" s="3" t="str">
        <f>IFERROR(TEXT(Raw_Data!G83, "YYYY-MM-DD"),"Review")</f>
        <v>2020-03-23</v>
      </c>
      <c r="I83" s="4">
        <f>IF(Raw_Data!H83="", "", IFERROR(VALUE(Raw_Data!H83), ""))</f>
        <v>102796.32</v>
      </c>
      <c r="J83" s="2" t="str">
        <f>IF(Raw_Data!I83="", "", IF(ISNUMBER(FIND("@", Raw_Data!I83)), Raw_Data!I83, "Review"))</f>
        <v>frank.brown@example.com</v>
      </c>
      <c r="K83" s="5" t="str">
        <f>IFERROR(TEXT(ABS(Raw_Data!J83), "0"), "Review")</f>
        <v>5196115939</v>
      </c>
      <c r="L83" s="2" t="str">
        <f>IFERROR(TRIM(Raw_Data!K83), "Review")</f>
        <v>Good</v>
      </c>
      <c r="M83" s="2" t="b">
        <f>IF(Raw_Data!L83="", "",
    IF(ISLOGICAL(Raw_Data!L83), Raw_Data!L83,
        IF(OR(UPPER(Raw_Data!L83)="TRUE", UPPER(Raw_Data!L83)="YES", UPPER(Raw_Data!L83)="1"), TRUE,
            IF(OR(UPPER(Raw_Data!L83)="FALSE", UPPER(Raw_Data!L83)="NO", UPPER(Raw_Data!L83)="0"), FALSE, "Review")
        )
    )
)</f>
        <v>0</v>
      </c>
    </row>
    <row r="84" spans="1:13" x14ac:dyDescent="0.4">
      <c r="A84" s="2" t="str">
        <f>IFERROR(TRIM(Raw_Data!A84), "Review")</f>
        <v>EMP1082</v>
      </c>
      <c r="B84" s="2" t="str">
        <f>IFERROR(TRIM(Raw_Data!B84), "Review")</f>
        <v>David</v>
      </c>
      <c r="C84" s="2" t="str">
        <f>IFERROR(TRIM(Raw_Data!C84), "Review")</f>
        <v>Jones</v>
      </c>
      <c r="D84" s="2">
        <f>IF(Raw_Data!D84="", "", IFERROR(VALUE(Raw_Data!D84), ""))</f>
        <v>25</v>
      </c>
      <c r="E84" s="2" t="str">
        <f>IFERROR(LEFT(Raw_Data!E84,SEARCH("-",Raw_Data!E84)-1),"Review")</f>
        <v>Sales</v>
      </c>
      <c r="F84" s="2" t="str">
        <f>IFERROR(_xlfn.TEXTAFTER(Raw_Data!E84,"-"),"Review")</f>
        <v>New York</v>
      </c>
      <c r="G84" s="2" t="str">
        <f>IFERROR(TRIM(Raw_Data!F84), "Review")</f>
        <v>Active</v>
      </c>
      <c r="H84" s="3" t="str">
        <f>IFERROR(TEXT(Raw_Data!G84, "YYYY-MM-DD"),"Review")</f>
        <v>2020-09-15</v>
      </c>
      <c r="I84" s="4">
        <f>IF(Raw_Data!H84="", "", IFERROR(VALUE(Raw_Data!H84), ""))</f>
        <v>83149.27</v>
      </c>
      <c r="J84" s="2" t="str">
        <f>IF(Raw_Data!I84="", "", IF(ISNUMBER(FIND("@", Raw_Data!I84)), Raw_Data!I84, "Review"))</f>
        <v>david.jones@example.com</v>
      </c>
      <c r="K84" s="5" t="str">
        <f>IFERROR(TEXT(ABS(Raw_Data!J84), "0"), "Review")</f>
        <v>8215454469</v>
      </c>
      <c r="L84" s="2" t="str">
        <f>IFERROR(TRIM(Raw_Data!K84), "Review")</f>
        <v>Poor</v>
      </c>
      <c r="M84" s="2" t="b">
        <f>IF(Raw_Data!L84="", "",
    IF(ISLOGICAL(Raw_Data!L84), Raw_Data!L84,
        IF(OR(UPPER(Raw_Data!L84)="TRUE", UPPER(Raw_Data!L84)="YES", UPPER(Raw_Data!L84)="1"), TRUE,
            IF(OR(UPPER(Raw_Data!L84)="FALSE", UPPER(Raw_Data!L84)="NO", UPPER(Raw_Data!L84)="0"), FALSE, "Review")
        )
    )
)</f>
        <v>1</v>
      </c>
    </row>
    <row r="85" spans="1:13" x14ac:dyDescent="0.4">
      <c r="A85" s="2" t="str">
        <f>IFERROR(TRIM(Raw_Data!A85), "Review")</f>
        <v>EMP1083</v>
      </c>
      <c r="B85" s="2" t="str">
        <f>IFERROR(TRIM(Raw_Data!B85), "Review")</f>
        <v>David</v>
      </c>
      <c r="C85" s="2" t="str">
        <f>IFERROR(TRIM(Raw_Data!C85), "Review")</f>
        <v>Garcia</v>
      </c>
      <c r="D85" s="2">
        <f>IF(Raw_Data!D85="", "", IFERROR(VALUE(Raw_Data!D85), ""))</f>
        <v>40</v>
      </c>
      <c r="E85" s="2" t="str">
        <f>IFERROR(LEFT(Raw_Data!E85,SEARCH("-",Raw_Data!E85)-1),"Review")</f>
        <v>DevOps</v>
      </c>
      <c r="F85" s="2" t="str">
        <f>IFERROR(_xlfn.TEXTAFTER(Raw_Data!E85,"-"),"Review")</f>
        <v>California</v>
      </c>
      <c r="G85" s="2" t="str">
        <f>IFERROR(TRIM(Raw_Data!F85), "Review")</f>
        <v>Inactive</v>
      </c>
      <c r="H85" s="3" t="str">
        <f>IFERROR(TEXT(Raw_Data!G85, "YYYY-MM-DD"),"Review")</f>
        <v>2020-12-09</v>
      </c>
      <c r="I85" s="4">
        <f>IF(Raw_Data!H85="", "", IFERROR(VALUE(Raw_Data!H85), ""))</f>
        <v>92412.49</v>
      </c>
      <c r="J85" s="2" t="str">
        <f>IF(Raw_Data!I85="", "", IF(ISNUMBER(FIND("@", Raw_Data!I85)), Raw_Data!I85, "Review"))</f>
        <v>david.garcia@example.com</v>
      </c>
      <c r="K85" s="5" t="str">
        <f>IFERROR(TEXT(ABS(Raw_Data!J85), "0"), "Review")</f>
        <v>2296044326</v>
      </c>
      <c r="L85" s="2" t="str">
        <f>IFERROR(TRIM(Raw_Data!K85), "Review")</f>
        <v>Excellent</v>
      </c>
      <c r="M85" s="2" t="b">
        <f>IF(Raw_Data!L85="", "",
    IF(ISLOGICAL(Raw_Data!L85), Raw_Data!L85,
        IF(OR(UPPER(Raw_Data!L85)="TRUE", UPPER(Raw_Data!L85)="YES", UPPER(Raw_Data!L85)="1"), TRUE,
            IF(OR(UPPER(Raw_Data!L85)="FALSE", UPPER(Raw_Data!L85)="NO", UPPER(Raw_Data!L85)="0"), FALSE, "Review")
        )
    )
)</f>
        <v>1</v>
      </c>
    </row>
    <row r="86" spans="1:13" x14ac:dyDescent="0.4">
      <c r="A86" s="2" t="str">
        <f>IFERROR(TRIM(Raw_Data!A86), "Review")</f>
        <v>EMP1084</v>
      </c>
      <c r="B86" s="2" t="str">
        <f>IFERROR(TRIM(Raw_Data!B86), "Review")</f>
        <v>Bob</v>
      </c>
      <c r="C86" s="2" t="str">
        <f>IFERROR(TRIM(Raw_Data!C86), "Review")</f>
        <v>Davis</v>
      </c>
      <c r="D86" s="2">
        <f>IF(Raw_Data!D86="", "", IFERROR(VALUE(Raw_Data!D86), ""))</f>
        <v>30</v>
      </c>
      <c r="E86" s="2" t="str">
        <f>IFERROR(LEFT(Raw_Data!E86,SEARCH("-",Raw_Data!E86)-1),"Review")</f>
        <v>HR</v>
      </c>
      <c r="F86" s="2" t="str">
        <f>IFERROR(_xlfn.TEXTAFTER(Raw_Data!E86,"-"),"Review")</f>
        <v>Texas</v>
      </c>
      <c r="G86" s="2" t="str">
        <f>IFERROR(TRIM(Raw_Data!F86), "Review")</f>
        <v>Pending</v>
      </c>
      <c r="H86" s="3" t="str">
        <f>IFERROR(TEXT(Raw_Data!G86, "YYYY-MM-DD"),"Review")</f>
        <v>2020-02-22</v>
      </c>
      <c r="I86" s="4">
        <f>IF(Raw_Data!H86="", "", IFERROR(VALUE(Raw_Data!H86), ""))</f>
        <v>115022.1</v>
      </c>
      <c r="J86" s="2" t="str">
        <f>IF(Raw_Data!I86="", "", IF(ISNUMBER(FIND("@", Raw_Data!I86)), Raw_Data!I86, "Review"))</f>
        <v>bob.davis@example.com</v>
      </c>
      <c r="K86" s="5" t="str">
        <f>IFERROR(TEXT(ABS(Raw_Data!J86), "0"), "Review")</f>
        <v>185106793</v>
      </c>
      <c r="L86" s="2" t="str">
        <f>IFERROR(TRIM(Raw_Data!K86), "Review")</f>
        <v>Good</v>
      </c>
      <c r="M86" s="2" t="b">
        <f>IF(Raw_Data!L86="", "",
    IF(ISLOGICAL(Raw_Data!L86), Raw_Data!L86,
        IF(OR(UPPER(Raw_Data!L86)="TRUE", UPPER(Raw_Data!L86)="YES", UPPER(Raw_Data!L86)="1"), TRUE,
            IF(OR(UPPER(Raw_Data!L86)="FALSE", UPPER(Raw_Data!L86)="NO", UPPER(Raw_Data!L86)="0"), FALSE, "Review")
        )
    )
)</f>
        <v>0</v>
      </c>
    </row>
    <row r="87" spans="1:13" x14ac:dyDescent="0.4">
      <c r="A87" s="2" t="str">
        <f>IFERROR(TRIM(Raw_Data!A87), "Review")</f>
        <v>EMP1085</v>
      </c>
      <c r="B87" s="2" t="str">
        <f>IFERROR(TRIM(Raw_Data!B87), "Review")</f>
        <v>Grace</v>
      </c>
      <c r="C87" s="2" t="str">
        <f>IFERROR(TRIM(Raw_Data!C87), "Review")</f>
        <v>Williams</v>
      </c>
      <c r="D87" s="2">
        <f>IF(Raw_Data!D87="", "", IFERROR(VALUE(Raw_Data!D87), ""))</f>
        <v>40</v>
      </c>
      <c r="E87" s="2" t="str">
        <f>IFERROR(LEFT(Raw_Data!E87,SEARCH("-",Raw_Data!E87)-1),"Review")</f>
        <v>DevOps</v>
      </c>
      <c r="F87" s="2" t="str">
        <f>IFERROR(_xlfn.TEXTAFTER(Raw_Data!E87,"-"),"Review")</f>
        <v>New York</v>
      </c>
      <c r="G87" s="2" t="str">
        <f>IFERROR(TRIM(Raw_Data!F87), "Review")</f>
        <v>Active</v>
      </c>
      <c r="H87" s="3" t="str">
        <f>IFERROR(TEXT(Raw_Data!G87, "YYYY-MM-DD"),"Review")</f>
        <v>2023-04-27</v>
      </c>
      <c r="I87" s="4">
        <f>IF(Raw_Data!H87="", "", IFERROR(VALUE(Raw_Data!H87), ""))</f>
        <v>98343.01</v>
      </c>
      <c r="J87" s="2" t="str">
        <f>IF(Raw_Data!I87="", "", IF(ISNUMBER(FIND("@", Raw_Data!I87)), Raw_Data!I87, "Review"))</f>
        <v>grace.williams@example.com</v>
      </c>
      <c r="K87" s="5" t="str">
        <f>IFERROR(TEXT(ABS(Raw_Data!J87), "0"), "Review")</f>
        <v>9756792286</v>
      </c>
      <c r="L87" s="2" t="str">
        <f>IFERROR(TRIM(Raw_Data!K87), "Review")</f>
        <v>Poor</v>
      </c>
      <c r="M87" s="2" t="b">
        <f>IF(Raw_Data!L87="", "",
    IF(ISLOGICAL(Raw_Data!L87), Raw_Data!L87,
        IF(OR(UPPER(Raw_Data!L87)="TRUE", UPPER(Raw_Data!L87)="YES", UPPER(Raw_Data!L87)="1"), TRUE,
            IF(OR(UPPER(Raw_Data!L87)="FALSE", UPPER(Raw_Data!L87)="NO", UPPER(Raw_Data!L87)="0"), FALSE, "Review")
        )
    )
)</f>
        <v>0</v>
      </c>
    </row>
    <row r="88" spans="1:13" x14ac:dyDescent="0.4">
      <c r="A88" s="2" t="str">
        <f>IFERROR(TRIM(Raw_Data!A88), "Review")</f>
        <v>EMP1086</v>
      </c>
      <c r="B88" s="2" t="str">
        <f>IFERROR(TRIM(Raw_Data!B88), "Review")</f>
        <v>Bob</v>
      </c>
      <c r="C88" s="2" t="str">
        <f>IFERROR(TRIM(Raw_Data!C88), "Review")</f>
        <v>Miller</v>
      </c>
      <c r="D88" s="2">
        <f>IF(Raw_Data!D88="", "", IFERROR(VALUE(Raw_Data!D88), ""))</f>
        <v>35</v>
      </c>
      <c r="E88" s="2" t="str">
        <f>IFERROR(LEFT(Raw_Data!E88,SEARCH("-",Raw_Data!E88)-1),"Review")</f>
        <v>DevOps</v>
      </c>
      <c r="F88" s="2" t="str">
        <f>IFERROR(_xlfn.TEXTAFTER(Raw_Data!E88,"-"),"Review")</f>
        <v>Illinois</v>
      </c>
      <c r="G88" s="2" t="str">
        <f>IFERROR(TRIM(Raw_Data!F88), "Review")</f>
        <v>Active</v>
      </c>
      <c r="H88" s="3" t="str">
        <f>IFERROR(TEXT(Raw_Data!G88, "YYYY-MM-DD"),"Review")</f>
        <v>2024-06-18</v>
      </c>
      <c r="I88" s="4">
        <f>IF(Raw_Data!H88="", "", IFERROR(VALUE(Raw_Data!H88), ""))</f>
        <v>118869.1</v>
      </c>
      <c r="J88" s="2" t="str">
        <f>IF(Raw_Data!I88="", "", IF(ISNUMBER(FIND("@", Raw_Data!I88)), Raw_Data!I88, "Review"))</f>
        <v>bob.miller@example.com</v>
      </c>
      <c r="K88" s="5" t="str">
        <f>IFERROR(TEXT(ABS(Raw_Data!J88), "0"), "Review")</f>
        <v>7725199662</v>
      </c>
      <c r="L88" s="2" t="str">
        <f>IFERROR(TRIM(Raw_Data!K88), "Review")</f>
        <v>Excellent</v>
      </c>
      <c r="M88" s="2" t="b">
        <f>IF(Raw_Data!L88="", "",
    IF(ISLOGICAL(Raw_Data!L88), Raw_Data!L88,
        IF(OR(UPPER(Raw_Data!L88)="TRUE", UPPER(Raw_Data!L88)="YES", UPPER(Raw_Data!L88)="1"), TRUE,
            IF(OR(UPPER(Raw_Data!L88)="FALSE", UPPER(Raw_Data!L88)="NO", UPPER(Raw_Data!L88)="0"), FALSE, "Review")
        )
    )
)</f>
        <v>1</v>
      </c>
    </row>
    <row r="89" spans="1:13" x14ac:dyDescent="0.4">
      <c r="A89" s="2" t="str">
        <f>IFERROR(TRIM(Raw_Data!A89), "Review")</f>
        <v>EMP1087</v>
      </c>
      <c r="B89" s="2" t="str">
        <f>IFERROR(TRIM(Raw_Data!B89), "Review")</f>
        <v>Frank</v>
      </c>
      <c r="C89" s="2" t="str">
        <f>IFERROR(TRIM(Raw_Data!C89), "Review")</f>
        <v>Smith</v>
      </c>
      <c r="D89" s="2" t="str">
        <f>IF(Raw_Data!D89="", "", IFERROR(VALUE(Raw_Data!D89), ""))</f>
        <v/>
      </c>
      <c r="E89" s="2" t="str">
        <f>IFERROR(LEFT(Raw_Data!E89,SEARCH("-",Raw_Data!E89)-1),"Review")</f>
        <v>Finance</v>
      </c>
      <c r="F89" s="2" t="str">
        <f>IFERROR(_xlfn.TEXTAFTER(Raw_Data!E89,"-"),"Review")</f>
        <v>Nevada</v>
      </c>
      <c r="G89" s="2" t="str">
        <f>IFERROR(TRIM(Raw_Data!F89), "Review")</f>
        <v>Inactive</v>
      </c>
      <c r="H89" s="3" t="str">
        <f>IFERROR(TEXT(Raw_Data!G89, "YYYY-MM-DD"),"Review")</f>
        <v>2020-05-21</v>
      </c>
      <c r="I89" s="4">
        <f>IF(Raw_Data!H89="", "", IFERROR(VALUE(Raw_Data!H89), ""))</f>
        <v>85417.26</v>
      </c>
      <c r="J89" s="2" t="str">
        <f>IF(Raw_Data!I89="", "", IF(ISNUMBER(FIND("@", Raw_Data!I89)), Raw_Data!I89, "Review"))</f>
        <v>frank.smith@example.com</v>
      </c>
      <c r="K89" s="5" t="str">
        <f>IFERROR(TEXT(ABS(Raw_Data!J89), "0"), "Review")</f>
        <v>6580741208</v>
      </c>
      <c r="L89" s="2" t="str">
        <f>IFERROR(TRIM(Raw_Data!K89), "Review")</f>
        <v>Good</v>
      </c>
      <c r="M89" s="2" t="b">
        <f>IF(Raw_Data!L89="", "",
    IF(ISLOGICAL(Raw_Data!L89), Raw_Data!L89,
        IF(OR(UPPER(Raw_Data!L89)="TRUE", UPPER(Raw_Data!L89)="YES", UPPER(Raw_Data!L89)="1"), TRUE,
            IF(OR(UPPER(Raw_Data!L89)="FALSE", UPPER(Raw_Data!L89)="NO", UPPER(Raw_Data!L89)="0"), FALSE, "Review")
        )
    )
)</f>
        <v>1</v>
      </c>
    </row>
    <row r="90" spans="1:13" x14ac:dyDescent="0.4">
      <c r="A90" s="2" t="str">
        <f>IFERROR(TRIM(Raw_Data!A90), "Review")</f>
        <v>EMP1088</v>
      </c>
      <c r="B90" s="2" t="str">
        <f>IFERROR(TRIM(Raw_Data!B90), "Review")</f>
        <v>Grace</v>
      </c>
      <c r="C90" s="2" t="str">
        <f>IFERROR(TRIM(Raw_Data!C90), "Review")</f>
        <v>Brown</v>
      </c>
      <c r="D90" s="2">
        <f>IF(Raw_Data!D90="", "", IFERROR(VALUE(Raw_Data!D90), ""))</f>
        <v>40</v>
      </c>
      <c r="E90" s="2" t="str">
        <f>IFERROR(LEFT(Raw_Data!E90,SEARCH("-",Raw_Data!E90)-1),"Review")</f>
        <v>Cloud Tech</v>
      </c>
      <c r="F90" s="2" t="str">
        <f>IFERROR(_xlfn.TEXTAFTER(Raw_Data!E90,"-"),"Review")</f>
        <v>Florida</v>
      </c>
      <c r="G90" s="2" t="str">
        <f>IFERROR(TRIM(Raw_Data!F90), "Review")</f>
        <v>Inactive</v>
      </c>
      <c r="H90" s="3" t="str">
        <f>IFERROR(TEXT(Raw_Data!G90, "YYYY-MM-DD"),"Review")</f>
        <v>2023-07-25</v>
      </c>
      <c r="I90" s="4">
        <f>IF(Raw_Data!H90="", "", IFERROR(VALUE(Raw_Data!H90), ""))</f>
        <v>112410.25</v>
      </c>
      <c r="J90" s="2" t="str">
        <f>IF(Raw_Data!I90="", "", IF(ISNUMBER(FIND("@", Raw_Data!I90)), Raw_Data!I90, "Review"))</f>
        <v>grace.brown@example.com</v>
      </c>
      <c r="K90" s="5" t="str">
        <f>IFERROR(TEXT(ABS(Raw_Data!J90), "0"), "Review")</f>
        <v>4818139889</v>
      </c>
      <c r="L90" s="2" t="str">
        <f>IFERROR(TRIM(Raw_Data!K90), "Review")</f>
        <v>Good</v>
      </c>
      <c r="M90" s="2" t="b">
        <f>IF(Raw_Data!L90="", "",
    IF(ISLOGICAL(Raw_Data!L90), Raw_Data!L90,
        IF(OR(UPPER(Raw_Data!L90)="TRUE", UPPER(Raw_Data!L90)="YES", UPPER(Raw_Data!L90)="1"), TRUE,
            IF(OR(UPPER(Raw_Data!L90)="FALSE", UPPER(Raw_Data!L90)="NO", UPPER(Raw_Data!L90)="0"), FALSE, "Review")
        )
    )
)</f>
        <v>1</v>
      </c>
    </row>
    <row r="91" spans="1:13" x14ac:dyDescent="0.4">
      <c r="A91" s="2" t="str">
        <f>IFERROR(TRIM(Raw_Data!A91), "Review")</f>
        <v>EMP1089</v>
      </c>
      <c r="B91" s="2" t="str">
        <f>IFERROR(TRIM(Raw_Data!B91), "Review")</f>
        <v>Charlie</v>
      </c>
      <c r="C91" s="2" t="str">
        <f>IFERROR(TRIM(Raw_Data!C91), "Review")</f>
        <v>Johnson</v>
      </c>
      <c r="D91" s="2">
        <f>IF(Raw_Data!D91="", "", IFERROR(VALUE(Raw_Data!D91), ""))</f>
        <v>40</v>
      </c>
      <c r="E91" s="2" t="str">
        <f>IFERROR(LEFT(Raw_Data!E91,SEARCH("-",Raw_Data!E91)-1),"Review")</f>
        <v>Admin</v>
      </c>
      <c r="F91" s="2" t="str">
        <f>IFERROR(_xlfn.TEXTAFTER(Raw_Data!E91,"-"),"Review")</f>
        <v>Nevada</v>
      </c>
      <c r="G91" s="2" t="str">
        <f>IFERROR(TRIM(Raw_Data!F91), "Review")</f>
        <v>Pending</v>
      </c>
      <c r="H91" s="3" t="str">
        <f>IFERROR(TEXT(Raw_Data!G91, "YYYY-MM-DD"),"Review")</f>
        <v>2023-08-25</v>
      </c>
      <c r="I91" s="4">
        <f>IF(Raw_Data!H91="", "", IFERROR(VALUE(Raw_Data!H91), ""))</f>
        <v>68905.77</v>
      </c>
      <c r="J91" s="2" t="str">
        <f>IF(Raw_Data!I91="", "", IF(ISNUMBER(FIND("@", Raw_Data!I91)), Raw_Data!I91, "Review"))</f>
        <v>charlie.johnson@example.com</v>
      </c>
      <c r="K91" s="5" t="str">
        <f>IFERROR(TEXT(ABS(Raw_Data!J91), "0"), "Review")</f>
        <v>9837801819</v>
      </c>
      <c r="L91" s="2" t="str">
        <f>IFERROR(TRIM(Raw_Data!K91), "Review")</f>
        <v>Average</v>
      </c>
      <c r="M91" s="2" t="b">
        <f>IF(Raw_Data!L91="", "",
    IF(ISLOGICAL(Raw_Data!L91), Raw_Data!L91,
        IF(OR(UPPER(Raw_Data!L91)="TRUE", UPPER(Raw_Data!L91)="YES", UPPER(Raw_Data!L91)="1"), TRUE,
            IF(OR(UPPER(Raw_Data!L91)="FALSE", UPPER(Raw_Data!L91)="NO", UPPER(Raw_Data!L91)="0"), FALSE, "Review")
        )
    )
)</f>
        <v>0</v>
      </c>
    </row>
    <row r="92" spans="1:13" x14ac:dyDescent="0.4">
      <c r="A92" s="2" t="str">
        <f>IFERROR(TRIM(Raw_Data!A92), "Review")</f>
        <v>EMP1090</v>
      </c>
      <c r="B92" s="2" t="str">
        <f>IFERROR(TRIM(Raw_Data!B92), "Review")</f>
        <v>Heidi</v>
      </c>
      <c r="C92" s="2" t="str">
        <f>IFERROR(TRIM(Raw_Data!C92), "Review")</f>
        <v>Garcia</v>
      </c>
      <c r="D92" s="2">
        <f>IF(Raw_Data!D92="", "", IFERROR(VALUE(Raw_Data!D92), ""))</f>
        <v>40</v>
      </c>
      <c r="E92" s="2" t="str">
        <f>IFERROR(LEFT(Raw_Data!E92,SEARCH("-",Raw_Data!E92)-1),"Review")</f>
        <v>Finance</v>
      </c>
      <c r="F92" s="2" t="str">
        <f>IFERROR(_xlfn.TEXTAFTER(Raw_Data!E92,"-"),"Review")</f>
        <v>Nevada</v>
      </c>
      <c r="G92" s="2" t="str">
        <f>IFERROR(TRIM(Raw_Data!F92), "Review")</f>
        <v>Pending</v>
      </c>
      <c r="H92" s="3" t="str">
        <f>IFERROR(TEXT(Raw_Data!G92, "YYYY-MM-DD"),"Review")</f>
        <v>2021-07-03</v>
      </c>
      <c r="I92" s="4">
        <f>IF(Raw_Data!H92="", "", IFERROR(VALUE(Raw_Data!H92), ""))</f>
        <v>72561.320000000007</v>
      </c>
      <c r="J92" s="2" t="str">
        <f>IF(Raw_Data!I92="", "", IF(ISNUMBER(FIND("@", Raw_Data!I92)), Raw_Data!I92, "Review"))</f>
        <v>heidi.garcia@example.com</v>
      </c>
      <c r="K92" s="5" t="str">
        <f>IFERROR(TEXT(ABS(Raw_Data!J92), "0"), "Review")</f>
        <v>4339718955</v>
      </c>
      <c r="L92" s="2" t="str">
        <f>IFERROR(TRIM(Raw_Data!K92), "Review")</f>
        <v>Excellent</v>
      </c>
      <c r="M92" s="2" t="b">
        <f>IF(Raw_Data!L92="", "",
    IF(ISLOGICAL(Raw_Data!L92), Raw_Data!L92,
        IF(OR(UPPER(Raw_Data!L92)="TRUE", UPPER(Raw_Data!L92)="YES", UPPER(Raw_Data!L92)="1"), TRUE,
            IF(OR(UPPER(Raw_Data!L92)="FALSE", UPPER(Raw_Data!L92)="NO", UPPER(Raw_Data!L92)="0"), FALSE, "Review")
        )
    )
)</f>
        <v>1</v>
      </c>
    </row>
    <row r="93" spans="1:13" x14ac:dyDescent="0.4">
      <c r="A93" s="2" t="str">
        <f>IFERROR(TRIM(Raw_Data!A93), "Review")</f>
        <v>EMP1091</v>
      </c>
      <c r="B93" s="2" t="str">
        <f>IFERROR(TRIM(Raw_Data!B93), "Review")</f>
        <v>Bob</v>
      </c>
      <c r="C93" s="2" t="str">
        <f>IFERROR(TRIM(Raw_Data!C93), "Review")</f>
        <v>Brown</v>
      </c>
      <c r="D93" s="2">
        <f>IF(Raw_Data!D93="", "", IFERROR(VALUE(Raw_Data!D93), ""))</f>
        <v>35</v>
      </c>
      <c r="E93" s="2" t="str">
        <f>IFERROR(LEFT(Raw_Data!E93,SEARCH("-",Raw_Data!E93)-1),"Review")</f>
        <v>Finance</v>
      </c>
      <c r="F93" s="2" t="str">
        <f>IFERROR(_xlfn.TEXTAFTER(Raw_Data!E93,"-"),"Review")</f>
        <v>New York</v>
      </c>
      <c r="G93" s="2" t="str">
        <f>IFERROR(TRIM(Raw_Data!F93), "Review")</f>
        <v>Inactive</v>
      </c>
      <c r="H93" s="3" t="str">
        <f>IFERROR(TEXT(Raw_Data!G93, "YYYY-MM-DD"),"Review")</f>
        <v>2023-03-13</v>
      </c>
      <c r="I93" s="4">
        <f>IF(Raw_Data!H93="", "", IFERROR(VALUE(Raw_Data!H93), ""))</f>
        <v>92723.22</v>
      </c>
      <c r="J93" s="2" t="str">
        <f>IF(Raw_Data!I93="", "", IF(ISNUMBER(FIND("@", Raw_Data!I93)), Raw_Data!I93, "Review"))</f>
        <v>bob.brown@example.com</v>
      </c>
      <c r="K93" s="5" t="str">
        <f>IFERROR(TEXT(ABS(Raw_Data!J93), "0"), "Review")</f>
        <v>9070562607</v>
      </c>
      <c r="L93" s="2" t="str">
        <f>IFERROR(TRIM(Raw_Data!K93), "Review")</f>
        <v>Excellent</v>
      </c>
      <c r="M93" s="2" t="b">
        <f>IF(Raw_Data!L93="", "",
    IF(ISLOGICAL(Raw_Data!L93), Raw_Data!L93,
        IF(OR(UPPER(Raw_Data!L93)="TRUE", UPPER(Raw_Data!L93)="YES", UPPER(Raw_Data!L93)="1"), TRUE,
            IF(OR(UPPER(Raw_Data!L93)="FALSE", UPPER(Raw_Data!L93)="NO", UPPER(Raw_Data!L93)="0"), FALSE, "Review")
        )
    )
)</f>
        <v>1</v>
      </c>
    </row>
    <row r="94" spans="1:13" x14ac:dyDescent="0.4">
      <c r="A94" s="2" t="str">
        <f>IFERROR(TRIM(Raw_Data!A94), "Review")</f>
        <v>EMP1092</v>
      </c>
      <c r="B94" s="2" t="str">
        <f>IFERROR(TRIM(Raw_Data!B94), "Review")</f>
        <v>Alice</v>
      </c>
      <c r="C94" s="2" t="str">
        <f>IFERROR(TRIM(Raw_Data!C94), "Review")</f>
        <v>Johnson</v>
      </c>
      <c r="D94" s="2">
        <f>IF(Raw_Data!D94="", "", IFERROR(VALUE(Raw_Data!D94), ""))</f>
        <v>40</v>
      </c>
      <c r="E94" s="2" t="str">
        <f>IFERROR(LEFT(Raw_Data!E94,SEARCH("-",Raw_Data!E94)-1),"Review")</f>
        <v>HR</v>
      </c>
      <c r="F94" s="2" t="str">
        <f>IFERROR(_xlfn.TEXTAFTER(Raw_Data!E94,"-"),"Review")</f>
        <v>New York</v>
      </c>
      <c r="G94" s="2" t="str">
        <f>IFERROR(TRIM(Raw_Data!F94), "Review")</f>
        <v>Inactive</v>
      </c>
      <c r="H94" s="3" t="str">
        <f>IFERROR(TEXT(Raw_Data!G94, "YYYY-MM-DD"),"Review")</f>
        <v>2021-03-10</v>
      </c>
      <c r="I94" s="4">
        <f>IF(Raw_Data!H94="", "", IFERROR(VALUE(Raw_Data!H94), ""))</f>
        <v>74837.75</v>
      </c>
      <c r="J94" s="2" t="str">
        <f>IF(Raw_Data!I94="", "", IF(ISNUMBER(FIND("@", Raw_Data!I94)), Raw_Data!I94, "Review"))</f>
        <v>alice.johnson@example.com</v>
      </c>
      <c r="K94" s="5" t="str">
        <f>IFERROR(TEXT(ABS(Raw_Data!J94), "0"), "Review")</f>
        <v>5641118241</v>
      </c>
      <c r="L94" s="2" t="str">
        <f>IFERROR(TRIM(Raw_Data!K94), "Review")</f>
        <v>Poor</v>
      </c>
      <c r="M94" s="2" t="b">
        <f>IF(Raw_Data!L94="", "",
    IF(ISLOGICAL(Raw_Data!L94), Raw_Data!L94,
        IF(OR(UPPER(Raw_Data!L94)="TRUE", UPPER(Raw_Data!L94)="YES", UPPER(Raw_Data!L94)="1"), TRUE,
            IF(OR(UPPER(Raw_Data!L94)="FALSE", UPPER(Raw_Data!L94)="NO", UPPER(Raw_Data!L94)="0"), FALSE, "Review")
        )
    )
)</f>
        <v>0</v>
      </c>
    </row>
    <row r="95" spans="1:13" x14ac:dyDescent="0.4">
      <c r="A95" s="2" t="str">
        <f>IFERROR(TRIM(Raw_Data!A95), "Review")</f>
        <v>EMP1093</v>
      </c>
      <c r="B95" s="2" t="str">
        <f>IFERROR(TRIM(Raw_Data!B95), "Review")</f>
        <v>Eva</v>
      </c>
      <c r="C95" s="2" t="str">
        <f>IFERROR(TRIM(Raw_Data!C95), "Review")</f>
        <v>Miller</v>
      </c>
      <c r="D95" s="2" t="str">
        <f>IF(Raw_Data!D95="", "", IFERROR(VALUE(Raw_Data!D95), ""))</f>
        <v/>
      </c>
      <c r="E95" s="2" t="str">
        <f>IFERROR(LEFT(Raw_Data!E95,SEARCH("-",Raw_Data!E95)-1),"Review")</f>
        <v>DevOps</v>
      </c>
      <c r="F95" s="2" t="str">
        <f>IFERROR(_xlfn.TEXTAFTER(Raw_Data!E95,"-"),"Review")</f>
        <v>California</v>
      </c>
      <c r="G95" s="2" t="str">
        <f>IFERROR(TRIM(Raw_Data!F95), "Review")</f>
        <v>Pending</v>
      </c>
      <c r="H95" s="3" t="str">
        <f>IFERROR(TEXT(Raw_Data!G95, "YYYY-MM-DD"),"Review")</f>
        <v>2020-01-21</v>
      </c>
      <c r="I95" s="4">
        <f>IF(Raw_Data!H95="", "", IFERROR(VALUE(Raw_Data!H95), ""))</f>
        <v>86163.91</v>
      </c>
      <c r="J95" s="2" t="str">
        <f>IF(Raw_Data!I95="", "", IF(ISNUMBER(FIND("@", Raw_Data!I95)), Raw_Data!I95, "Review"))</f>
        <v>eva.miller@example.com</v>
      </c>
      <c r="K95" s="5" t="str">
        <f>IFERROR(TEXT(ABS(Raw_Data!J95), "0"), "Review")</f>
        <v>2412462094</v>
      </c>
      <c r="L95" s="2" t="str">
        <f>IFERROR(TRIM(Raw_Data!K95), "Review")</f>
        <v>Average</v>
      </c>
      <c r="M95" s="2" t="b">
        <f>IF(Raw_Data!L95="", "",
    IF(ISLOGICAL(Raw_Data!L95), Raw_Data!L95,
        IF(OR(UPPER(Raw_Data!L95)="TRUE", UPPER(Raw_Data!L95)="YES", UPPER(Raw_Data!L95)="1"), TRUE,
            IF(OR(UPPER(Raw_Data!L95)="FALSE", UPPER(Raw_Data!L95)="NO", UPPER(Raw_Data!L95)="0"), FALSE, "Review")
        )
    )
)</f>
        <v>1</v>
      </c>
    </row>
    <row r="96" spans="1:13" x14ac:dyDescent="0.4">
      <c r="A96" s="2" t="str">
        <f>IFERROR(TRIM(Raw_Data!A96), "Review")</f>
        <v>EMP1094</v>
      </c>
      <c r="B96" s="2" t="str">
        <f>IFERROR(TRIM(Raw_Data!B96), "Review")</f>
        <v>David</v>
      </c>
      <c r="C96" s="2" t="str">
        <f>IFERROR(TRIM(Raw_Data!C96), "Review")</f>
        <v>Miller</v>
      </c>
      <c r="D96" s="2">
        <f>IF(Raw_Data!D96="", "", IFERROR(VALUE(Raw_Data!D96), ""))</f>
        <v>40</v>
      </c>
      <c r="E96" s="2" t="str">
        <f>IFERROR(LEFT(Raw_Data!E96,SEARCH("-",Raw_Data!E96)-1),"Review")</f>
        <v>Finance</v>
      </c>
      <c r="F96" s="2" t="str">
        <f>IFERROR(_xlfn.TEXTAFTER(Raw_Data!E96,"-"),"Review")</f>
        <v>Illinois</v>
      </c>
      <c r="G96" s="2" t="str">
        <f>IFERROR(TRIM(Raw_Data!F96), "Review")</f>
        <v>Active</v>
      </c>
      <c r="H96" s="3" t="str">
        <f>IFERROR(TEXT(Raw_Data!G96, "YYYY-MM-DD"),"Review")</f>
        <v>2023-11-15</v>
      </c>
      <c r="I96" s="4">
        <f>IF(Raw_Data!H96="", "", IFERROR(VALUE(Raw_Data!H96), ""))</f>
        <v>83326.52</v>
      </c>
      <c r="J96" s="2" t="str">
        <f>IF(Raw_Data!I96="", "", IF(ISNUMBER(FIND("@", Raw_Data!I96)), Raw_Data!I96, "Review"))</f>
        <v>david.miller@example.com</v>
      </c>
      <c r="K96" s="5" t="str">
        <f>IFERROR(TEXT(ABS(Raw_Data!J96), "0"), "Review")</f>
        <v>2004615264</v>
      </c>
      <c r="L96" s="2" t="str">
        <f>IFERROR(TRIM(Raw_Data!K96), "Review")</f>
        <v>Average</v>
      </c>
      <c r="M96" s="2" t="b">
        <f>IF(Raw_Data!L96="", "",
    IF(ISLOGICAL(Raw_Data!L96), Raw_Data!L96,
        IF(OR(UPPER(Raw_Data!L96)="TRUE", UPPER(Raw_Data!L96)="YES", UPPER(Raw_Data!L96)="1"), TRUE,
            IF(OR(UPPER(Raw_Data!L96)="FALSE", UPPER(Raw_Data!L96)="NO", UPPER(Raw_Data!L96)="0"), FALSE, "Review")
        )
    )
)</f>
        <v>1</v>
      </c>
    </row>
    <row r="97" spans="1:13" x14ac:dyDescent="0.4">
      <c r="A97" s="2" t="str">
        <f>IFERROR(TRIM(Raw_Data!A97), "Review")</f>
        <v>EMP1095</v>
      </c>
      <c r="B97" s="2" t="str">
        <f>IFERROR(TRIM(Raw_Data!B97), "Review")</f>
        <v>Heidi</v>
      </c>
      <c r="C97" s="2" t="str">
        <f>IFERROR(TRIM(Raw_Data!C97), "Review")</f>
        <v>Miller</v>
      </c>
      <c r="D97" s="2">
        <f>IF(Raw_Data!D97="", "", IFERROR(VALUE(Raw_Data!D97), ""))</f>
        <v>25</v>
      </c>
      <c r="E97" s="2" t="str">
        <f>IFERROR(LEFT(Raw_Data!E97,SEARCH("-",Raw_Data!E97)-1),"Review")</f>
        <v>Cloud Tech</v>
      </c>
      <c r="F97" s="2" t="str">
        <f>IFERROR(_xlfn.TEXTAFTER(Raw_Data!E97,"-"),"Review")</f>
        <v>California</v>
      </c>
      <c r="G97" s="2" t="str">
        <f>IFERROR(TRIM(Raw_Data!F97), "Review")</f>
        <v>Active</v>
      </c>
      <c r="H97" s="3" t="str">
        <f>IFERROR(TEXT(Raw_Data!G97, "YYYY-MM-DD"),"Review")</f>
        <v>2022-04-08</v>
      </c>
      <c r="I97" s="4">
        <f>IF(Raw_Data!H97="", "", IFERROR(VALUE(Raw_Data!H97), ""))</f>
        <v>98425.1</v>
      </c>
      <c r="J97" s="2" t="str">
        <f>IF(Raw_Data!I97="", "", IF(ISNUMBER(FIND("@", Raw_Data!I97)), Raw_Data!I97, "Review"))</f>
        <v>heidi.miller@example.com</v>
      </c>
      <c r="K97" s="5" t="str">
        <f>IFERROR(TEXT(ABS(Raw_Data!J97), "0"), "Review")</f>
        <v>4610339936</v>
      </c>
      <c r="L97" s="2" t="str">
        <f>IFERROR(TRIM(Raw_Data!K97), "Review")</f>
        <v>Average</v>
      </c>
      <c r="M97" s="2" t="b">
        <f>IF(Raw_Data!L97="", "",
    IF(ISLOGICAL(Raw_Data!L97), Raw_Data!L97,
        IF(OR(UPPER(Raw_Data!L97)="TRUE", UPPER(Raw_Data!L97)="YES", UPPER(Raw_Data!L97)="1"), TRUE,
            IF(OR(UPPER(Raw_Data!L97)="FALSE", UPPER(Raw_Data!L97)="NO", UPPER(Raw_Data!L97)="0"), FALSE, "Review")
        )
    )
)</f>
        <v>1</v>
      </c>
    </row>
    <row r="98" spans="1:13" x14ac:dyDescent="0.4">
      <c r="A98" s="2" t="str">
        <f>IFERROR(TRIM(Raw_Data!A98), "Review")</f>
        <v>EMP1096</v>
      </c>
      <c r="B98" s="2" t="str">
        <f>IFERROR(TRIM(Raw_Data!B98), "Review")</f>
        <v>Frank</v>
      </c>
      <c r="C98" s="2" t="str">
        <f>IFERROR(TRIM(Raw_Data!C98), "Review")</f>
        <v>Johnson</v>
      </c>
      <c r="D98" s="2">
        <f>IF(Raw_Data!D98="", "", IFERROR(VALUE(Raw_Data!D98), ""))</f>
        <v>40</v>
      </c>
      <c r="E98" s="2" t="str">
        <f>IFERROR(LEFT(Raw_Data!E98,SEARCH("-",Raw_Data!E98)-1),"Review")</f>
        <v>Sales</v>
      </c>
      <c r="F98" s="2" t="str">
        <f>IFERROR(_xlfn.TEXTAFTER(Raw_Data!E98,"-"),"Review")</f>
        <v>Illinois</v>
      </c>
      <c r="G98" s="2" t="str">
        <f>IFERROR(TRIM(Raw_Data!F98), "Review")</f>
        <v>Inactive</v>
      </c>
      <c r="H98" s="3" t="str">
        <f>IFERROR(TEXT(Raw_Data!G98, "YYYY-MM-DD"),"Review")</f>
        <v>2022-05-21</v>
      </c>
      <c r="I98" s="4">
        <f>IF(Raw_Data!H98="", "", IFERROR(VALUE(Raw_Data!H98), ""))</f>
        <v>119764.2</v>
      </c>
      <c r="J98" s="2" t="str">
        <f>IF(Raw_Data!I98="", "", IF(ISNUMBER(FIND("@", Raw_Data!I98)), Raw_Data!I98, "Review"))</f>
        <v>frank.johnson@example.com</v>
      </c>
      <c r="K98" s="5" t="str">
        <f>IFERROR(TEXT(ABS(Raw_Data!J98), "0"), "Review")</f>
        <v>8861405785</v>
      </c>
      <c r="L98" s="2" t="str">
        <f>IFERROR(TRIM(Raw_Data!K98), "Review")</f>
        <v>Average</v>
      </c>
      <c r="M98" s="2" t="b">
        <f>IF(Raw_Data!L98="", "",
    IF(ISLOGICAL(Raw_Data!L98), Raw_Data!L98,
        IF(OR(UPPER(Raw_Data!L98)="TRUE", UPPER(Raw_Data!L98)="YES", UPPER(Raw_Data!L98)="1"), TRUE,
            IF(OR(UPPER(Raw_Data!L98)="FALSE", UPPER(Raw_Data!L98)="NO", UPPER(Raw_Data!L98)="0"), FALSE, "Review")
        )
    )
)</f>
        <v>0</v>
      </c>
    </row>
    <row r="99" spans="1:13" x14ac:dyDescent="0.4">
      <c r="A99" s="2" t="str">
        <f>IFERROR(TRIM(Raw_Data!A99), "Review")</f>
        <v>EMP1097</v>
      </c>
      <c r="B99" s="2" t="str">
        <f>IFERROR(TRIM(Raw_Data!B99), "Review")</f>
        <v>Frank</v>
      </c>
      <c r="C99" s="2" t="str">
        <f>IFERROR(TRIM(Raw_Data!C99), "Review")</f>
        <v>Brown</v>
      </c>
      <c r="D99" s="2">
        <f>IF(Raw_Data!D99="", "", IFERROR(VALUE(Raw_Data!D99), ""))</f>
        <v>40</v>
      </c>
      <c r="E99" s="2" t="str">
        <f>IFERROR(LEFT(Raw_Data!E99,SEARCH("-",Raw_Data!E99)-1),"Review")</f>
        <v>HR</v>
      </c>
      <c r="F99" s="2" t="str">
        <f>IFERROR(_xlfn.TEXTAFTER(Raw_Data!E99,"-"),"Review")</f>
        <v>California</v>
      </c>
      <c r="G99" s="2" t="str">
        <f>IFERROR(TRIM(Raw_Data!F99), "Review")</f>
        <v>Inactive</v>
      </c>
      <c r="H99" s="3" t="str">
        <f>IFERROR(TEXT(Raw_Data!G99, "YYYY-MM-DD"),"Review")</f>
        <v>2021-04-17</v>
      </c>
      <c r="I99" s="4">
        <f>IF(Raw_Data!H99="", "", IFERROR(VALUE(Raw_Data!H99), ""))</f>
        <v>58445.91</v>
      </c>
      <c r="J99" s="2" t="str">
        <f>IF(Raw_Data!I99="", "", IF(ISNUMBER(FIND("@", Raw_Data!I99)), Raw_Data!I99, "Review"))</f>
        <v>frank.brown@example.com</v>
      </c>
      <c r="K99" s="5" t="str">
        <f>IFERROR(TEXT(ABS(Raw_Data!J99), "0"), "Review")</f>
        <v>1706304890</v>
      </c>
      <c r="L99" s="2" t="str">
        <f>IFERROR(TRIM(Raw_Data!K99), "Review")</f>
        <v>Excellent</v>
      </c>
      <c r="M99" s="2" t="b">
        <f>IF(Raw_Data!L99="", "",
    IF(ISLOGICAL(Raw_Data!L99), Raw_Data!L99,
        IF(OR(UPPER(Raw_Data!L99)="TRUE", UPPER(Raw_Data!L99)="YES", UPPER(Raw_Data!L99)="1"), TRUE,
            IF(OR(UPPER(Raw_Data!L99)="FALSE", UPPER(Raw_Data!L99)="NO", UPPER(Raw_Data!L99)="0"), FALSE, "Review")
        )
    )
)</f>
        <v>0</v>
      </c>
    </row>
    <row r="100" spans="1:13" x14ac:dyDescent="0.4">
      <c r="A100" s="2" t="str">
        <f>IFERROR(TRIM(Raw_Data!A100), "Review")</f>
        <v>EMP1098</v>
      </c>
      <c r="B100" s="2" t="str">
        <f>IFERROR(TRIM(Raw_Data!B100), "Review")</f>
        <v>Bob</v>
      </c>
      <c r="C100" s="2" t="str">
        <f>IFERROR(TRIM(Raw_Data!C100), "Review")</f>
        <v>Miller</v>
      </c>
      <c r="D100" s="2" t="str">
        <f>IF(Raw_Data!D100="", "", IFERROR(VALUE(Raw_Data!D100), ""))</f>
        <v/>
      </c>
      <c r="E100" s="2" t="str">
        <f>IFERROR(LEFT(Raw_Data!E100,SEARCH("-",Raw_Data!E100)-1),"Review")</f>
        <v>DevOps</v>
      </c>
      <c r="F100" s="2" t="str">
        <f>IFERROR(_xlfn.TEXTAFTER(Raw_Data!E100,"-"),"Review")</f>
        <v>New York</v>
      </c>
      <c r="G100" s="2" t="str">
        <f>IFERROR(TRIM(Raw_Data!F100), "Review")</f>
        <v>Active</v>
      </c>
      <c r="H100" s="3" t="str">
        <f>IFERROR(TEXT(Raw_Data!G100, "YYYY-MM-DD"),"Review")</f>
        <v>2021-03-19</v>
      </c>
      <c r="I100" s="4">
        <f>IF(Raw_Data!H100="", "", IFERROR(VALUE(Raw_Data!H100), ""))</f>
        <v>101702.33</v>
      </c>
      <c r="J100" s="2" t="str">
        <f>IF(Raw_Data!I100="", "", IF(ISNUMBER(FIND("@", Raw_Data!I100)), Raw_Data!I100, "Review"))</f>
        <v>bob.miller@example.com</v>
      </c>
      <c r="K100" s="5" t="str">
        <f>IFERROR(TEXT(ABS(Raw_Data!J100), "0"), "Review")</f>
        <v>3824967182</v>
      </c>
      <c r="L100" s="2" t="str">
        <f>IFERROR(TRIM(Raw_Data!K100), "Review")</f>
        <v>Excellent</v>
      </c>
      <c r="M100" s="2" t="b">
        <f>IF(Raw_Data!L100="", "",
    IF(ISLOGICAL(Raw_Data!L100), Raw_Data!L100,
        IF(OR(UPPER(Raw_Data!L100)="TRUE", UPPER(Raw_Data!L100)="YES", UPPER(Raw_Data!L100)="1"), TRUE,
            IF(OR(UPPER(Raw_Data!L100)="FALSE", UPPER(Raw_Data!L100)="NO", UPPER(Raw_Data!L100)="0"), FALSE, "Review")
        )
    )
)</f>
        <v>0</v>
      </c>
    </row>
    <row r="101" spans="1:13" x14ac:dyDescent="0.4">
      <c r="A101" s="2" t="str">
        <f>IFERROR(TRIM(Raw_Data!A101), "Review")</f>
        <v>EMP1099</v>
      </c>
      <c r="B101" s="2" t="str">
        <f>IFERROR(TRIM(Raw_Data!B101), "Review")</f>
        <v>Eva</v>
      </c>
      <c r="C101" s="2" t="str">
        <f>IFERROR(TRIM(Raw_Data!C101), "Review")</f>
        <v>Jones</v>
      </c>
      <c r="D101" s="2">
        <f>IF(Raw_Data!D101="", "", IFERROR(VALUE(Raw_Data!D101), ""))</f>
        <v>25</v>
      </c>
      <c r="E101" s="2" t="str">
        <f>IFERROR(LEFT(Raw_Data!E101,SEARCH("-",Raw_Data!E101)-1),"Review")</f>
        <v>Admin</v>
      </c>
      <c r="F101" s="2" t="str">
        <f>IFERROR(_xlfn.TEXTAFTER(Raw_Data!E101,"-"),"Review")</f>
        <v>California</v>
      </c>
      <c r="G101" s="2" t="str">
        <f>IFERROR(TRIM(Raw_Data!F101), "Review")</f>
        <v>Active</v>
      </c>
      <c r="H101" s="3" t="str">
        <f>IFERROR(TEXT(Raw_Data!G101, "YYYY-MM-DD"),"Review")</f>
        <v>2022-01-09</v>
      </c>
      <c r="I101" s="4" t="str">
        <f>IF(Raw_Data!H101="", "", IFERROR(VALUE(Raw_Data!H101), ""))</f>
        <v/>
      </c>
      <c r="J101" s="2" t="str">
        <f>IF(Raw_Data!I101="", "", IF(ISNUMBER(FIND("@", Raw_Data!I101)), Raw_Data!I101, "Review"))</f>
        <v>eva.jones@example.com</v>
      </c>
      <c r="K101" s="5" t="str">
        <f>IFERROR(TEXT(ABS(Raw_Data!J101), "0"), "Review")</f>
        <v>2582386869</v>
      </c>
      <c r="L101" s="2" t="str">
        <f>IFERROR(TRIM(Raw_Data!K101), "Review")</f>
        <v>Good</v>
      </c>
      <c r="M101" s="2" t="b">
        <f>IF(Raw_Data!L101="", "",
    IF(ISLOGICAL(Raw_Data!L101), Raw_Data!L101,
        IF(OR(UPPER(Raw_Data!L101)="TRUE", UPPER(Raw_Data!L101)="YES", UPPER(Raw_Data!L101)="1"), TRUE,
            IF(OR(UPPER(Raw_Data!L101)="FALSE", UPPER(Raw_Data!L101)="NO", UPPER(Raw_Data!L101)="0"), FALSE, "Review")
        )
    )
)</f>
        <v>0</v>
      </c>
    </row>
    <row r="102" spans="1:13" x14ac:dyDescent="0.4">
      <c r="A102" s="2" t="str">
        <f>IFERROR(TRIM(Raw_Data!A102), "Review")</f>
        <v>EMP1100</v>
      </c>
      <c r="B102" s="2" t="str">
        <f>IFERROR(TRIM(Raw_Data!B102), "Review")</f>
        <v>Charlie</v>
      </c>
      <c r="C102" s="2" t="str">
        <f>IFERROR(TRIM(Raw_Data!C102), "Review")</f>
        <v>Davis</v>
      </c>
      <c r="D102" s="2">
        <f>IF(Raw_Data!D102="", "", IFERROR(VALUE(Raw_Data!D102), ""))</f>
        <v>35</v>
      </c>
      <c r="E102" s="2" t="str">
        <f>IFERROR(LEFT(Raw_Data!E102,SEARCH("-",Raw_Data!E102)-1),"Review")</f>
        <v>Cloud Tech</v>
      </c>
      <c r="F102" s="2" t="str">
        <f>IFERROR(_xlfn.TEXTAFTER(Raw_Data!E102,"-"),"Review")</f>
        <v>Texas</v>
      </c>
      <c r="G102" s="2" t="str">
        <f>IFERROR(TRIM(Raw_Data!F102), "Review")</f>
        <v>Pending</v>
      </c>
      <c r="H102" s="3" t="str">
        <f>IFERROR(TEXT(Raw_Data!G102, "YYYY-MM-DD"),"Review")</f>
        <v>2021-08-21</v>
      </c>
      <c r="I102" s="4">
        <f>IF(Raw_Data!H102="", "", IFERROR(VALUE(Raw_Data!H102), ""))</f>
        <v>98819.22</v>
      </c>
      <c r="J102" s="2" t="str">
        <f>IF(Raw_Data!I102="", "", IF(ISNUMBER(FIND("@", Raw_Data!I102)), Raw_Data!I102, "Review"))</f>
        <v>charlie.davis@example.com</v>
      </c>
      <c r="K102" s="5" t="str">
        <f>IFERROR(TEXT(ABS(Raw_Data!J102), "0"), "Review")</f>
        <v>794200748</v>
      </c>
      <c r="L102" s="2" t="str">
        <f>IFERROR(TRIM(Raw_Data!K102), "Review")</f>
        <v>Good</v>
      </c>
      <c r="M102" s="2" t="b">
        <f>IF(Raw_Data!L102="", "",
    IF(ISLOGICAL(Raw_Data!L102), Raw_Data!L102,
        IF(OR(UPPER(Raw_Data!L102)="TRUE", UPPER(Raw_Data!L102)="YES", UPPER(Raw_Data!L102)="1"), TRUE,
            IF(OR(UPPER(Raw_Data!L102)="FALSE", UPPER(Raw_Data!L102)="NO", UPPER(Raw_Data!L102)="0"), FALSE, "Review")
        )
    )
)</f>
        <v>0</v>
      </c>
    </row>
    <row r="103" spans="1:13" x14ac:dyDescent="0.4">
      <c r="A103" s="2" t="str">
        <f>IFERROR(TRIM(Raw_Data!A103), "Review")</f>
        <v>EMP1101</v>
      </c>
      <c r="B103" s="2" t="str">
        <f>IFERROR(TRIM(Raw_Data!B103), "Review")</f>
        <v>Heidi</v>
      </c>
      <c r="C103" s="2" t="str">
        <f>IFERROR(TRIM(Raw_Data!C103), "Review")</f>
        <v>Johnson</v>
      </c>
      <c r="D103" s="2">
        <f>IF(Raw_Data!D103="", "", IFERROR(VALUE(Raw_Data!D103), ""))</f>
        <v>25</v>
      </c>
      <c r="E103" s="2" t="str">
        <f>IFERROR(LEFT(Raw_Data!E103,SEARCH("-",Raw_Data!E103)-1),"Review")</f>
        <v>Cloud Tech</v>
      </c>
      <c r="F103" s="2" t="str">
        <f>IFERROR(_xlfn.TEXTAFTER(Raw_Data!E103,"-"),"Review")</f>
        <v>Illinois</v>
      </c>
      <c r="G103" s="2" t="str">
        <f>IFERROR(TRIM(Raw_Data!F103), "Review")</f>
        <v>Inactive</v>
      </c>
      <c r="H103" s="3" t="str">
        <f>IFERROR(TEXT(Raw_Data!G103, "YYYY-MM-DD"),"Review")</f>
        <v>2022-08-19</v>
      </c>
      <c r="I103" s="4">
        <f>IF(Raw_Data!H103="", "", IFERROR(VALUE(Raw_Data!H103), ""))</f>
        <v>83509.990000000005</v>
      </c>
      <c r="J103" s="2" t="str">
        <f>IF(Raw_Data!I103="", "", IF(ISNUMBER(FIND("@", Raw_Data!I103)), Raw_Data!I103, "Review"))</f>
        <v>heidi.johnson@example.com</v>
      </c>
      <c r="K103" s="5" t="str">
        <f>IFERROR(TEXT(ABS(Raw_Data!J103), "0"), "Review")</f>
        <v>4653984027</v>
      </c>
      <c r="L103" s="2" t="str">
        <f>IFERROR(TRIM(Raw_Data!K103), "Review")</f>
        <v>Average</v>
      </c>
      <c r="M103" s="2" t="b">
        <f>IF(Raw_Data!L103="", "",
    IF(ISLOGICAL(Raw_Data!L103), Raw_Data!L103,
        IF(OR(UPPER(Raw_Data!L103)="TRUE", UPPER(Raw_Data!L103)="YES", UPPER(Raw_Data!L103)="1"), TRUE,
            IF(OR(UPPER(Raw_Data!L103)="FALSE", UPPER(Raw_Data!L103)="NO", UPPER(Raw_Data!L103)="0"), FALSE, "Review")
        )
    )
)</f>
        <v>0</v>
      </c>
    </row>
    <row r="104" spans="1:13" x14ac:dyDescent="0.4">
      <c r="A104" s="2" t="str">
        <f>IFERROR(TRIM(Raw_Data!A104), "Review")</f>
        <v>EMP1102</v>
      </c>
      <c r="B104" s="2" t="str">
        <f>IFERROR(TRIM(Raw_Data!B104), "Review")</f>
        <v>Alice</v>
      </c>
      <c r="C104" s="2" t="str">
        <f>IFERROR(TRIM(Raw_Data!C104), "Review")</f>
        <v>Johnson</v>
      </c>
      <c r="D104" s="2">
        <f>IF(Raw_Data!D104="", "", IFERROR(VALUE(Raw_Data!D104), ""))</f>
        <v>35</v>
      </c>
      <c r="E104" s="2" t="str">
        <f>IFERROR(LEFT(Raw_Data!E104,SEARCH("-",Raw_Data!E104)-1),"Review")</f>
        <v>Finance</v>
      </c>
      <c r="F104" s="2" t="str">
        <f>IFERROR(_xlfn.TEXTAFTER(Raw_Data!E104,"-"),"Review")</f>
        <v>Texas</v>
      </c>
      <c r="G104" s="2" t="str">
        <f>IFERROR(TRIM(Raw_Data!F104), "Review")</f>
        <v>Active</v>
      </c>
      <c r="H104" s="3" t="str">
        <f>IFERROR(TEXT(Raw_Data!G104, "YYYY-MM-DD"),"Review")</f>
        <v>2022-03-31</v>
      </c>
      <c r="I104" s="4">
        <f>IF(Raw_Data!H104="", "", IFERROR(VALUE(Raw_Data!H104), ""))</f>
        <v>84422.26</v>
      </c>
      <c r="J104" s="2" t="str">
        <f>IF(Raw_Data!I104="", "", IF(ISNUMBER(FIND("@", Raw_Data!I104)), Raw_Data!I104, "Review"))</f>
        <v>alice.johnson@example.com</v>
      </c>
      <c r="K104" s="5" t="str">
        <f>IFERROR(TEXT(ABS(Raw_Data!J104), "0"), "Review")</f>
        <v>9141612845</v>
      </c>
      <c r="L104" s="2" t="str">
        <f>IFERROR(TRIM(Raw_Data!K104), "Review")</f>
        <v>Average</v>
      </c>
      <c r="M104" s="2" t="b">
        <f>IF(Raw_Data!L104="", "",
    IF(ISLOGICAL(Raw_Data!L104), Raw_Data!L104,
        IF(OR(UPPER(Raw_Data!L104)="TRUE", UPPER(Raw_Data!L104)="YES", UPPER(Raw_Data!L104)="1"), TRUE,
            IF(OR(UPPER(Raw_Data!L104)="FALSE", UPPER(Raw_Data!L104)="NO", UPPER(Raw_Data!L104)="0"), FALSE, "Review")
        )
    )
)</f>
        <v>0</v>
      </c>
    </row>
    <row r="105" spans="1:13" x14ac:dyDescent="0.4">
      <c r="A105" s="2" t="str">
        <f>IFERROR(TRIM(Raw_Data!A105), "Review")</f>
        <v>EMP1103</v>
      </c>
      <c r="B105" s="2" t="str">
        <f>IFERROR(TRIM(Raw_Data!B105), "Review")</f>
        <v>Alice</v>
      </c>
      <c r="C105" s="2" t="str">
        <f>IFERROR(TRIM(Raw_Data!C105), "Review")</f>
        <v>Brown</v>
      </c>
      <c r="D105" s="2">
        <f>IF(Raw_Data!D105="", "", IFERROR(VALUE(Raw_Data!D105), ""))</f>
        <v>30</v>
      </c>
      <c r="E105" s="2" t="str">
        <f>IFERROR(LEFT(Raw_Data!E105,SEARCH("-",Raw_Data!E105)-1),"Review")</f>
        <v>Admin</v>
      </c>
      <c r="F105" s="2" t="str">
        <f>IFERROR(_xlfn.TEXTAFTER(Raw_Data!E105,"-"),"Review")</f>
        <v>Illinois</v>
      </c>
      <c r="G105" s="2" t="str">
        <f>IFERROR(TRIM(Raw_Data!F105), "Review")</f>
        <v>Inactive</v>
      </c>
      <c r="H105" s="3" t="str">
        <f>IFERROR(TEXT(Raw_Data!G105, "YYYY-MM-DD"),"Review")</f>
        <v>2020-06-23</v>
      </c>
      <c r="I105" s="4">
        <f>IF(Raw_Data!H105="", "", IFERROR(VALUE(Raw_Data!H105), ""))</f>
        <v>119574.27</v>
      </c>
      <c r="J105" s="2" t="str">
        <f>IF(Raw_Data!I105="", "", IF(ISNUMBER(FIND("@", Raw_Data!I105)), Raw_Data!I105, "Review"))</f>
        <v>alice.brown@example.com</v>
      </c>
      <c r="K105" s="5" t="str">
        <f>IFERROR(TEXT(ABS(Raw_Data!J105), "0"), "Review")</f>
        <v>3985547434</v>
      </c>
      <c r="L105" s="2" t="str">
        <f>IFERROR(TRIM(Raw_Data!K105), "Review")</f>
        <v>Average</v>
      </c>
      <c r="M105" s="2" t="b">
        <f>IF(Raw_Data!L105="", "",
    IF(ISLOGICAL(Raw_Data!L105), Raw_Data!L105,
        IF(OR(UPPER(Raw_Data!L105)="TRUE", UPPER(Raw_Data!L105)="YES", UPPER(Raw_Data!L105)="1"), TRUE,
            IF(OR(UPPER(Raw_Data!L105)="FALSE", UPPER(Raw_Data!L105)="NO", UPPER(Raw_Data!L105)="0"), FALSE, "Review")
        )
    )
)</f>
        <v>1</v>
      </c>
    </row>
    <row r="106" spans="1:13" x14ac:dyDescent="0.4">
      <c r="A106" s="2" t="str">
        <f>IFERROR(TRIM(Raw_Data!A106), "Review")</f>
        <v>EMP1104</v>
      </c>
      <c r="B106" s="2" t="str">
        <f>IFERROR(TRIM(Raw_Data!B106), "Review")</f>
        <v>Grace</v>
      </c>
      <c r="C106" s="2" t="str">
        <f>IFERROR(TRIM(Raw_Data!C106), "Review")</f>
        <v>Johnson</v>
      </c>
      <c r="D106" s="2" t="str">
        <f>IF(Raw_Data!D106="", "", IFERROR(VALUE(Raw_Data!D106), ""))</f>
        <v/>
      </c>
      <c r="E106" s="2" t="str">
        <f>IFERROR(LEFT(Raw_Data!E106,SEARCH("-",Raw_Data!E106)-1),"Review")</f>
        <v>Sales</v>
      </c>
      <c r="F106" s="2" t="str">
        <f>IFERROR(_xlfn.TEXTAFTER(Raw_Data!E106,"-"),"Review")</f>
        <v>Illinois</v>
      </c>
      <c r="G106" s="2" t="str">
        <f>IFERROR(TRIM(Raw_Data!F106), "Review")</f>
        <v>Active</v>
      </c>
      <c r="H106" s="3" t="str">
        <f>IFERROR(TEXT(Raw_Data!G106, "YYYY-MM-DD"),"Review")</f>
        <v>2024-05-07</v>
      </c>
      <c r="I106" s="4">
        <f>IF(Raw_Data!H106="", "", IFERROR(VALUE(Raw_Data!H106), ""))</f>
        <v>86580.08</v>
      </c>
      <c r="J106" s="2" t="str">
        <f>IF(Raw_Data!I106="", "", IF(ISNUMBER(FIND("@", Raw_Data!I106)), Raw_Data!I106, "Review"))</f>
        <v>grace.johnson@example.com</v>
      </c>
      <c r="K106" s="5" t="str">
        <f>IFERROR(TEXT(ABS(Raw_Data!J106), "0"), "Review")</f>
        <v>5379502096</v>
      </c>
      <c r="L106" s="2" t="str">
        <f>IFERROR(TRIM(Raw_Data!K106), "Review")</f>
        <v>Good</v>
      </c>
      <c r="M106" s="2" t="b">
        <f>IF(Raw_Data!L106="", "",
    IF(ISLOGICAL(Raw_Data!L106), Raw_Data!L106,
        IF(OR(UPPER(Raw_Data!L106)="TRUE", UPPER(Raw_Data!L106)="YES", UPPER(Raw_Data!L106)="1"), TRUE,
            IF(OR(UPPER(Raw_Data!L106)="FALSE", UPPER(Raw_Data!L106)="NO", UPPER(Raw_Data!L106)="0"), FALSE, "Review")
        )
    )
)</f>
        <v>1</v>
      </c>
    </row>
    <row r="107" spans="1:13" x14ac:dyDescent="0.4">
      <c r="A107" s="2" t="str">
        <f>IFERROR(TRIM(Raw_Data!A107), "Review")</f>
        <v>EMP1105</v>
      </c>
      <c r="B107" s="2" t="str">
        <f>IFERROR(TRIM(Raw_Data!B107), "Review")</f>
        <v>Heidi</v>
      </c>
      <c r="C107" s="2" t="str">
        <f>IFERROR(TRIM(Raw_Data!C107), "Review")</f>
        <v>Johnson</v>
      </c>
      <c r="D107" s="2">
        <f>IF(Raw_Data!D107="", "", IFERROR(VALUE(Raw_Data!D107), ""))</f>
        <v>35</v>
      </c>
      <c r="E107" s="2" t="str">
        <f>IFERROR(LEFT(Raw_Data!E107,SEARCH("-",Raw_Data!E107)-1),"Review")</f>
        <v>Sales</v>
      </c>
      <c r="F107" s="2" t="str">
        <f>IFERROR(_xlfn.TEXTAFTER(Raw_Data!E107,"-"),"Review")</f>
        <v>Florida</v>
      </c>
      <c r="G107" s="2" t="str">
        <f>IFERROR(TRIM(Raw_Data!F107), "Review")</f>
        <v>Inactive</v>
      </c>
      <c r="H107" s="3" t="str">
        <f>IFERROR(TEXT(Raw_Data!G107, "YYYY-MM-DD"),"Review")</f>
        <v>2023-03-10</v>
      </c>
      <c r="I107" s="4">
        <f>IF(Raw_Data!H107="", "", IFERROR(VALUE(Raw_Data!H107), ""))</f>
        <v>93471.91</v>
      </c>
      <c r="J107" s="2" t="str">
        <f>IF(Raw_Data!I107="", "", IF(ISNUMBER(FIND("@", Raw_Data!I107)), Raw_Data!I107, "Review"))</f>
        <v>heidi.johnson@example.com</v>
      </c>
      <c r="K107" s="5" t="str">
        <f>IFERROR(TEXT(ABS(Raw_Data!J107), "0"), "Review")</f>
        <v>26876810</v>
      </c>
      <c r="L107" s="2" t="str">
        <f>IFERROR(TRIM(Raw_Data!K107), "Review")</f>
        <v>Poor</v>
      </c>
      <c r="M107" s="2" t="b">
        <f>IF(Raw_Data!L107="", "",
    IF(ISLOGICAL(Raw_Data!L107), Raw_Data!L107,
        IF(OR(UPPER(Raw_Data!L107)="TRUE", UPPER(Raw_Data!L107)="YES", UPPER(Raw_Data!L107)="1"), TRUE,
            IF(OR(UPPER(Raw_Data!L107)="FALSE", UPPER(Raw_Data!L107)="NO", UPPER(Raw_Data!L107)="0"), FALSE, "Review")
        )
    )
)</f>
        <v>0</v>
      </c>
    </row>
    <row r="108" spans="1:13" x14ac:dyDescent="0.4">
      <c r="A108" s="2" t="str">
        <f>IFERROR(TRIM(Raw_Data!A108), "Review")</f>
        <v>EMP1106</v>
      </c>
      <c r="B108" s="2" t="str">
        <f>IFERROR(TRIM(Raw_Data!B108), "Review")</f>
        <v>Bob</v>
      </c>
      <c r="C108" s="2" t="str">
        <f>IFERROR(TRIM(Raw_Data!C108), "Review")</f>
        <v>Miller</v>
      </c>
      <c r="D108" s="2">
        <f>IF(Raw_Data!D108="", "", IFERROR(VALUE(Raw_Data!D108), ""))</f>
        <v>30</v>
      </c>
      <c r="E108" s="2" t="str">
        <f>IFERROR(LEFT(Raw_Data!E108,SEARCH("-",Raw_Data!E108)-1),"Review")</f>
        <v>DevOps</v>
      </c>
      <c r="F108" s="2" t="str">
        <f>IFERROR(_xlfn.TEXTAFTER(Raw_Data!E108,"-"),"Review")</f>
        <v>New York</v>
      </c>
      <c r="G108" s="2" t="str">
        <f>IFERROR(TRIM(Raw_Data!F108), "Review")</f>
        <v>Inactive</v>
      </c>
      <c r="H108" s="3" t="str">
        <f>IFERROR(TEXT(Raw_Data!G108, "YYYY-MM-DD"),"Review")</f>
        <v>2023-09-14</v>
      </c>
      <c r="I108" s="4">
        <f>IF(Raw_Data!H108="", "", IFERROR(VALUE(Raw_Data!H108), ""))</f>
        <v>55683.12</v>
      </c>
      <c r="J108" s="2" t="str">
        <f>IF(Raw_Data!I108="", "", IF(ISNUMBER(FIND("@", Raw_Data!I108)), Raw_Data!I108, "Review"))</f>
        <v>bob.miller@example.com</v>
      </c>
      <c r="K108" s="5" t="str">
        <f>IFERROR(TEXT(ABS(Raw_Data!J108), "0"), "Review")</f>
        <v>8071569561</v>
      </c>
      <c r="L108" s="2" t="str">
        <f>IFERROR(TRIM(Raw_Data!K108), "Review")</f>
        <v>Poor</v>
      </c>
      <c r="M108" s="2" t="b">
        <f>IF(Raw_Data!L108="", "",
    IF(ISLOGICAL(Raw_Data!L108), Raw_Data!L108,
        IF(OR(UPPER(Raw_Data!L108)="TRUE", UPPER(Raw_Data!L108)="YES", UPPER(Raw_Data!L108)="1"), TRUE,
            IF(OR(UPPER(Raw_Data!L108)="FALSE", UPPER(Raw_Data!L108)="NO", UPPER(Raw_Data!L108)="0"), FALSE, "Review")
        )
    )
)</f>
        <v>1</v>
      </c>
    </row>
    <row r="109" spans="1:13" x14ac:dyDescent="0.4">
      <c r="A109" s="2" t="str">
        <f>IFERROR(TRIM(Raw_Data!A109), "Review")</f>
        <v>EMP1107</v>
      </c>
      <c r="B109" s="2" t="str">
        <f>IFERROR(TRIM(Raw_Data!B109), "Review")</f>
        <v>Bob</v>
      </c>
      <c r="C109" s="2" t="str">
        <f>IFERROR(TRIM(Raw_Data!C109), "Review")</f>
        <v>Brown</v>
      </c>
      <c r="D109" s="2">
        <f>IF(Raw_Data!D109="", "", IFERROR(VALUE(Raw_Data!D109), ""))</f>
        <v>30</v>
      </c>
      <c r="E109" s="2" t="str">
        <f>IFERROR(LEFT(Raw_Data!E109,SEARCH("-",Raw_Data!E109)-1),"Review")</f>
        <v>Cloud Tech</v>
      </c>
      <c r="F109" s="2" t="str">
        <f>IFERROR(_xlfn.TEXTAFTER(Raw_Data!E109,"-"),"Review")</f>
        <v>Florida</v>
      </c>
      <c r="G109" s="2" t="str">
        <f>IFERROR(TRIM(Raw_Data!F109), "Review")</f>
        <v>Inactive</v>
      </c>
      <c r="H109" s="3" t="str">
        <f>IFERROR(TEXT(Raw_Data!G109, "YYYY-MM-DD"),"Review")</f>
        <v>2023-11-12</v>
      </c>
      <c r="I109" s="4">
        <f>IF(Raw_Data!H109="", "", IFERROR(VALUE(Raw_Data!H109), ""))</f>
        <v>91566.78</v>
      </c>
      <c r="J109" s="2" t="str">
        <f>IF(Raw_Data!I109="", "", IF(ISNUMBER(FIND("@", Raw_Data!I109)), Raw_Data!I109, "Review"))</f>
        <v>bob.brown@example.com</v>
      </c>
      <c r="K109" s="5" t="str">
        <f>IFERROR(TEXT(ABS(Raw_Data!J109), "0"), "Review")</f>
        <v>175370303</v>
      </c>
      <c r="L109" s="2" t="str">
        <f>IFERROR(TRIM(Raw_Data!K109), "Review")</f>
        <v>Good</v>
      </c>
      <c r="M109" s="2" t="b">
        <f>IF(Raw_Data!L109="", "",
    IF(ISLOGICAL(Raw_Data!L109), Raw_Data!L109,
        IF(OR(UPPER(Raw_Data!L109)="TRUE", UPPER(Raw_Data!L109)="YES", UPPER(Raw_Data!L109)="1"), TRUE,
            IF(OR(UPPER(Raw_Data!L109)="FALSE", UPPER(Raw_Data!L109)="NO", UPPER(Raw_Data!L109)="0"), FALSE, "Review")
        )
    )
)</f>
        <v>1</v>
      </c>
    </row>
    <row r="110" spans="1:13" x14ac:dyDescent="0.4">
      <c r="A110" s="2" t="str">
        <f>IFERROR(TRIM(Raw_Data!A110), "Review")</f>
        <v>EMP1108</v>
      </c>
      <c r="B110" s="2" t="str">
        <f>IFERROR(TRIM(Raw_Data!B110), "Review")</f>
        <v>David</v>
      </c>
      <c r="C110" s="2" t="str">
        <f>IFERROR(TRIM(Raw_Data!C110), "Review")</f>
        <v>Miller</v>
      </c>
      <c r="D110" s="2">
        <f>IF(Raw_Data!D110="", "", IFERROR(VALUE(Raw_Data!D110), ""))</f>
        <v>35</v>
      </c>
      <c r="E110" s="2" t="str">
        <f>IFERROR(LEFT(Raw_Data!E110,SEARCH("-",Raw_Data!E110)-1),"Review")</f>
        <v>DevOps</v>
      </c>
      <c r="F110" s="2" t="str">
        <f>IFERROR(_xlfn.TEXTAFTER(Raw_Data!E110,"-"),"Review")</f>
        <v>California</v>
      </c>
      <c r="G110" s="2" t="str">
        <f>IFERROR(TRIM(Raw_Data!F110), "Review")</f>
        <v>Pending</v>
      </c>
      <c r="H110" s="3" t="str">
        <f>IFERROR(TEXT(Raw_Data!G110, "YYYY-MM-DD"),"Review")</f>
        <v>2024-10-26</v>
      </c>
      <c r="I110" s="4">
        <f>IF(Raw_Data!H110="", "", IFERROR(VALUE(Raw_Data!H110), ""))</f>
        <v>81782.19</v>
      </c>
      <c r="J110" s="2" t="str">
        <f>IF(Raw_Data!I110="", "", IF(ISNUMBER(FIND("@", Raw_Data!I110)), Raw_Data!I110, "Review"))</f>
        <v>david.miller@example.com</v>
      </c>
      <c r="K110" s="5" t="str">
        <f>IFERROR(TEXT(ABS(Raw_Data!J110), "0"), "Review")</f>
        <v>5319433749</v>
      </c>
      <c r="L110" s="2" t="str">
        <f>IFERROR(TRIM(Raw_Data!K110), "Review")</f>
        <v>Good</v>
      </c>
      <c r="M110" s="2" t="b">
        <f>IF(Raw_Data!L110="", "",
    IF(ISLOGICAL(Raw_Data!L110), Raw_Data!L110,
        IF(OR(UPPER(Raw_Data!L110)="TRUE", UPPER(Raw_Data!L110)="YES", UPPER(Raw_Data!L110)="1"), TRUE,
            IF(OR(UPPER(Raw_Data!L110)="FALSE", UPPER(Raw_Data!L110)="NO", UPPER(Raw_Data!L110)="0"), FALSE, "Review")
        )
    )
)</f>
        <v>0</v>
      </c>
    </row>
    <row r="111" spans="1:13" x14ac:dyDescent="0.4">
      <c r="A111" s="2" t="str">
        <f>IFERROR(TRIM(Raw_Data!A111), "Review")</f>
        <v>EMP1109</v>
      </c>
      <c r="B111" s="2" t="str">
        <f>IFERROR(TRIM(Raw_Data!B111), "Review")</f>
        <v>Eva</v>
      </c>
      <c r="C111" s="2" t="str">
        <f>IFERROR(TRIM(Raw_Data!C111), "Review")</f>
        <v>Davis</v>
      </c>
      <c r="D111" s="2" t="str">
        <f>IF(Raw_Data!D111="", "", IFERROR(VALUE(Raw_Data!D111), ""))</f>
        <v/>
      </c>
      <c r="E111" s="2" t="str">
        <f>IFERROR(LEFT(Raw_Data!E111,SEARCH("-",Raw_Data!E111)-1),"Review")</f>
        <v>DevOps</v>
      </c>
      <c r="F111" s="2" t="str">
        <f>IFERROR(_xlfn.TEXTAFTER(Raw_Data!E111,"-"),"Review")</f>
        <v>New York</v>
      </c>
      <c r="G111" s="2" t="str">
        <f>IFERROR(TRIM(Raw_Data!F111), "Review")</f>
        <v>Inactive</v>
      </c>
      <c r="H111" s="3" t="str">
        <f>IFERROR(TEXT(Raw_Data!G111, "YYYY-MM-DD"),"Review")</f>
        <v>2020-08-23</v>
      </c>
      <c r="I111" s="4">
        <f>IF(Raw_Data!H111="", "", IFERROR(VALUE(Raw_Data!H111), ""))</f>
        <v>88119.37</v>
      </c>
      <c r="J111" s="2" t="str">
        <f>IF(Raw_Data!I111="", "", IF(ISNUMBER(FIND("@", Raw_Data!I111)), Raw_Data!I111, "Review"))</f>
        <v>eva.davis@example.com</v>
      </c>
      <c r="K111" s="5" t="str">
        <f>IFERROR(TEXT(ABS(Raw_Data!J111), "0"), "Review")</f>
        <v>4793036148</v>
      </c>
      <c r="L111" s="2" t="str">
        <f>IFERROR(TRIM(Raw_Data!K111), "Review")</f>
        <v>Good</v>
      </c>
      <c r="M111" s="2" t="b">
        <f>IF(Raw_Data!L111="", "",
    IF(ISLOGICAL(Raw_Data!L111), Raw_Data!L111,
        IF(OR(UPPER(Raw_Data!L111)="TRUE", UPPER(Raw_Data!L111)="YES", UPPER(Raw_Data!L111)="1"), TRUE,
            IF(OR(UPPER(Raw_Data!L111)="FALSE", UPPER(Raw_Data!L111)="NO", UPPER(Raw_Data!L111)="0"), FALSE, "Review")
        )
    )
)</f>
        <v>1</v>
      </c>
    </row>
    <row r="112" spans="1:13" x14ac:dyDescent="0.4">
      <c r="A112" s="2" t="str">
        <f>IFERROR(TRIM(Raw_Data!A112), "Review")</f>
        <v>EMP1110</v>
      </c>
      <c r="B112" s="2" t="str">
        <f>IFERROR(TRIM(Raw_Data!B112), "Review")</f>
        <v>Eva</v>
      </c>
      <c r="C112" s="2" t="str">
        <f>IFERROR(TRIM(Raw_Data!C112), "Review")</f>
        <v>Garcia</v>
      </c>
      <c r="D112" s="2">
        <f>IF(Raw_Data!D112="", "", IFERROR(VALUE(Raw_Data!D112), ""))</f>
        <v>30</v>
      </c>
      <c r="E112" s="2" t="str">
        <f>IFERROR(LEFT(Raw_Data!E112,SEARCH("-",Raw_Data!E112)-1),"Review")</f>
        <v>Cloud Tech</v>
      </c>
      <c r="F112" s="2" t="str">
        <f>IFERROR(_xlfn.TEXTAFTER(Raw_Data!E112,"-"),"Review")</f>
        <v>Texas</v>
      </c>
      <c r="G112" s="2" t="str">
        <f>IFERROR(TRIM(Raw_Data!F112), "Review")</f>
        <v>Active</v>
      </c>
      <c r="H112" s="3" t="str">
        <f>IFERROR(TEXT(Raw_Data!G112, "YYYY-MM-DD"),"Review")</f>
        <v>2024-06-11</v>
      </c>
      <c r="I112" s="4">
        <f>IF(Raw_Data!H112="", "", IFERROR(VALUE(Raw_Data!H112), ""))</f>
        <v>71532.83</v>
      </c>
      <c r="J112" s="2" t="str">
        <f>IF(Raw_Data!I112="", "", IF(ISNUMBER(FIND("@", Raw_Data!I112)), Raw_Data!I112, "Review"))</f>
        <v>eva.garcia@example.com</v>
      </c>
      <c r="K112" s="5" t="str">
        <f>IFERROR(TEXT(ABS(Raw_Data!J112), "0"), "Review")</f>
        <v>8728399920</v>
      </c>
      <c r="L112" s="2" t="str">
        <f>IFERROR(TRIM(Raw_Data!K112), "Review")</f>
        <v>Good</v>
      </c>
      <c r="M112" s="2" t="b">
        <f>IF(Raw_Data!L112="", "",
    IF(ISLOGICAL(Raw_Data!L112), Raw_Data!L112,
        IF(OR(UPPER(Raw_Data!L112)="TRUE", UPPER(Raw_Data!L112)="YES", UPPER(Raw_Data!L112)="1"), TRUE,
            IF(OR(UPPER(Raw_Data!L112)="FALSE", UPPER(Raw_Data!L112)="NO", UPPER(Raw_Data!L112)="0"), FALSE, "Review")
        )
    )
)</f>
        <v>1</v>
      </c>
    </row>
    <row r="113" spans="1:13" x14ac:dyDescent="0.4">
      <c r="A113" s="2" t="str">
        <f>IFERROR(TRIM(Raw_Data!A113), "Review")</f>
        <v>EMP1111</v>
      </c>
      <c r="B113" s="2" t="str">
        <f>IFERROR(TRIM(Raw_Data!B113), "Review")</f>
        <v>Eva</v>
      </c>
      <c r="C113" s="2" t="str">
        <f>IFERROR(TRIM(Raw_Data!C113), "Review")</f>
        <v>Davis</v>
      </c>
      <c r="D113" s="2">
        <f>IF(Raw_Data!D113="", "", IFERROR(VALUE(Raw_Data!D113), ""))</f>
        <v>40</v>
      </c>
      <c r="E113" s="2" t="str">
        <f>IFERROR(LEFT(Raw_Data!E113,SEARCH("-",Raw_Data!E113)-1),"Review")</f>
        <v>Cloud Tech</v>
      </c>
      <c r="F113" s="2" t="str">
        <f>IFERROR(_xlfn.TEXTAFTER(Raw_Data!E113,"-"),"Review")</f>
        <v>Florida</v>
      </c>
      <c r="G113" s="2" t="str">
        <f>IFERROR(TRIM(Raw_Data!F113), "Review")</f>
        <v>Pending</v>
      </c>
      <c r="H113" s="3" t="str">
        <f>IFERROR(TEXT(Raw_Data!G113, "YYYY-MM-DD"),"Review")</f>
        <v>2021-09-14</v>
      </c>
      <c r="I113" s="4">
        <f>IF(Raw_Data!H113="", "", IFERROR(VALUE(Raw_Data!H113), ""))</f>
        <v>98981.36</v>
      </c>
      <c r="J113" s="2" t="str">
        <f>IF(Raw_Data!I113="", "", IF(ISNUMBER(FIND("@", Raw_Data!I113)), Raw_Data!I113, "Review"))</f>
        <v>eva.davis@example.com</v>
      </c>
      <c r="K113" s="5" t="str">
        <f>IFERROR(TEXT(ABS(Raw_Data!J113), "0"), "Review")</f>
        <v>9212493842</v>
      </c>
      <c r="L113" s="2" t="str">
        <f>IFERROR(TRIM(Raw_Data!K113), "Review")</f>
        <v>Good</v>
      </c>
      <c r="M113" s="2" t="b">
        <f>IF(Raw_Data!L113="", "",
    IF(ISLOGICAL(Raw_Data!L113), Raw_Data!L113,
        IF(OR(UPPER(Raw_Data!L113)="TRUE", UPPER(Raw_Data!L113)="YES", UPPER(Raw_Data!L113)="1"), TRUE,
            IF(OR(UPPER(Raw_Data!L113)="FALSE", UPPER(Raw_Data!L113)="NO", UPPER(Raw_Data!L113)="0"), FALSE, "Review")
        )
    )
)</f>
        <v>1</v>
      </c>
    </row>
    <row r="114" spans="1:13" x14ac:dyDescent="0.4">
      <c r="A114" s="2" t="str">
        <f>IFERROR(TRIM(Raw_Data!A114), "Review")</f>
        <v>EMP1112</v>
      </c>
      <c r="B114" s="2" t="str">
        <f>IFERROR(TRIM(Raw_Data!B114), "Review")</f>
        <v>Heidi</v>
      </c>
      <c r="C114" s="2" t="str">
        <f>IFERROR(TRIM(Raw_Data!C114), "Review")</f>
        <v>Garcia</v>
      </c>
      <c r="D114" s="2">
        <f>IF(Raw_Data!D114="", "", IFERROR(VALUE(Raw_Data!D114), ""))</f>
        <v>40</v>
      </c>
      <c r="E114" s="2" t="str">
        <f>IFERROR(LEFT(Raw_Data!E114,SEARCH("-",Raw_Data!E114)-1),"Review")</f>
        <v>Cloud Tech</v>
      </c>
      <c r="F114" s="2" t="str">
        <f>IFERROR(_xlfn.TEXTAFTER(Raw_Data!E114,"-"),"Review")</f>
        <v>Illinois</v>
      </c>
      <c r="G114" s="2" t="str">
        <f>IFERROR(TRIM(Raw_Data!F114), "Review")</f>
        <v>Active</v>
      </c>
      <c r="H114" s="3" t="str">
        <f>IFERROR(TEXT(Raw_Data!G114, "YYYY-MM-DD"),"Review")</f>
        <v>2024-12-26</v>
      </c>
      <c r="I114" s="4">
        <f>IF(Raw_Data!H114="", "", IFERROR(VALUE(Raw_Data!H114), ""))</f>
        <v>80242.009999999995</v>
      </c>
      <c r="J114" s="2" t="str">
        <f>IF(Raw_Data!I114="", "", IF(ISNUMBER(FIND("@", Raw_Data!I114)), Raw_Data!I114, "Review"))</f>
        <v>heidi.garcia@example.com</v>
      </c>
      <c r="K114" s="5" t="str">
        <f>IFERROR(TEXT(ABS(Raw_Data!J114), "0"), "Review")</f>
        <v>894870604</v>
      </c>
      <c r="L114" s="2" t="str">
        <f>IFERROR(TRIM(Raw_Data!K114), "Review")</f>
        <v>Good</v>
      </c>
      <c r="M114" s="2" t="b">
        <f>IF(Raw_Data!L114="", "",
    IF(ISLOGICAL(Raw_Data!L114), Raw_Data!L114,
        IF(OR(UPPER(Raw_Data!L114)="TRUE", UPPER(Raw_Data!L114)="YES", UPPER(Raw_Data!L114)="1"), TRUE,
            IF(OR(UPPER(Raw_Data!L114)="FALSE", UPPER(Raw_Data!L114)="NO", UPPER(Raw_Data!L114)="0"), FALSE, "Review")
        )
    )
)</f>
        <v>1</v>
      </c>
    </row>
    <row r="115" spans="1:13" x14ac:dyDescent="0.4">
      <c r="A115" s="2" t="str">
        <f>IFERROR(TRIM(Raw_Data!A115), "Review")</f>
        <v>EMP1113</v>
      </c>
      <c r="B115" s="2" t="str">
        <f>IFERROR(TRIM(Raw_Data!B115), "Review")</f>
        <v>Eva</v>
      </c>
      <c r="C115" s="2" t="str">
        <f>IFERROR(TRIM(Raw_Data!C115), "Review")</f>
        <v>Miller</v>
      </c>
      <c r="D115" s="2">
        <f>IF(Raw_Data!D115="", "", IFERROR(VALUE(Raw_Data!D115), ""))</f>
        <v>25</v>
      </c>
      <c r="E115" s="2" t="str">
        <f>IFERROR(LEFT(Raw_Data!E115,SEARCH("-",Raw_Data!E115)-1),"Review")</f>
        <v>Cloud Tech</v>
      </c>
      <c r="F115" s="2" t="str">
        <f>IFERROR(_xlfn.TEXTAFTER(Raw_Data!E115,"-"),"Review")</f>
        <v>New York</v>
      </c>
      <c r="G115" s="2" t="str">
        <f>IFERROR(TRIM(Raw_Data!F115), "Review")</f>
        <v>Pending</v>
      </c>
      <c r="H115" s="3" t="str">
        <f>IFERROR(TEXT(Raw_Data!G115, "YYYY-MM-DD"),"Review")</f>
        <v>2024-09-08</v>
      </c>
      <c r="I115" s="4">
        <f>IF(Raw_Data!H115="", "", IFERROR(VALUE(Raw_Data!H115), ""))</f>
        <v>110236.18</v>
      </c>
      <c r="J115" s="2" t="str">
        <f>IF(Raw_Data!I115="", "", IF(ISNUMBER(FIND("@", Raw_Data!I115)), Raw_Data!I115, "Review"))</f>
        <v>eva.miller@example.com</v>
      </c>
      <c r="K115" s="5" t="str">
        <f>IFERROR(TEXT(ABS(Raw_Data!J115), "0"), "Review")</f>
        <v>6641877579</v>
      </c>
      <c r="L115" s="2" t="str">
        <f>IFERROR(TRIM(Raw_Data!K115), "Review")</f>
        <v>Average</v>
      </c>
      <c r="M115" s="2" t="b">
        <f>IF(Raw_Data!L115="", "",
    IF(ISLOGICAL(Raw_Data!L115), Raw_Data!L115,
        IF(OR(UPPER(Raw_Data!L115)="TRUE", UPPER(Raw_Data!L115)="YES", UPPER(Raw_Data!L115)="1"), TRUE,
            IF(OR(UPPER(Raw_Data!L115)="FALSE", UPPER(Raw_Data!L115)="NO", UPPER(Raw_Data!L115)="0"), FALSE, "Review")
        )
    )
)</f>
        <v>1</v>
      </c>
    </row>
    <row r="116" spans="1:13" x14ac:dyDescent="0.4">
      <c r="A116" s="2" t="str">
        <f>IFERROR(TRIM(Raw_Data!A116), "Review")</f>
        <v>EMP1114</v>
      </c>
      <c r="B116" s="2" t="str">
        <f>IFERROR(TRIM(Raw_Data!B116), "Review")</f>
        <v>Alice</v>
      </c>
      <c r="C116" s="2" t="str">
        <f>IFERROR(TRIM(Raw_Data!C116), "Review")</f>
        <v>Davis</v>
      </c>
      <c r="D116" s="2">
        <f>IF(Raw_Data!D116="", "", IFERROR(VALUE(Raw_Data!D116), ""))</f>
        <v>35</v>
      </c>
      <c r="E116" s="2" t="str">
        <f>IFERROR(LEFT(Raw_Data!E116,SEARCH("-",Raw_Data!E116)-1),"Review")</f>
        <v>Sales</v>
      </c>
      <c r="F116" s="2" t="str">
        <f>IFERROR(_xlfn.TEXTAFTER(Raw_Data!E116,"-"),"Review")</f>
        <v>Texas</v>
      </c>
      <c r="G116" s="2" t="str">
        <f>IFERROR(TRIM(Raw_Data!F116), "Review")</f>
        <v>Active</v>
      </c>
      <c r="H116" s="3" t="str">
        <f>IFERROR(TEXT(Raw_Data!G116, "YYYY-MM-DD"),"Review")</f>
        <v>2022-08-21</v>
      </c>
      <c r="I116" s="4">
        <f>IF(Raw_Data!H116="", "", IFERROR(VALUE(Raw_Data!H116), ""))</f>
        <v>86327.47</v>
      </c>
      <c r="J116" s="2" t="str">
        <f>IF(Raw_Data!I116="", "", IF(ISNUMBER(FIND("@", Raw_Data!I116)), Raw_Data!I116, "Review"))</f>
        <v>alice.davis@example.com</v>
      </c>
      <c r="K116" s="5" t="str">
        <f>IFERROR(TEXT(ABS(Raw_Data!J116), "0"), "Review")</f>
        <v>3046875062</v>
      </c>
      <c r="L116" s="2" t="str">
        <f>IFERROR(TRIM(Raw_Data!K116), "Review")</f>
        <v>Average</v>
      </c>
      <c r="M116" s="2" t="b">
        <f>IF(Raw_Data!L116="", "",
    IF(ISLOGICAL(Raw_Data!L116), Raw_Data!L116,
        IF(OR(UPPER(Raw_Data!L116)="TRUE", UPPER(Raw_Data!L116)="YES", UPPER(Raw_Data!L116)="1"), TRUE,
            IF(OR(UPPER(Raw_Data!L116)="FALSE", UPPER(Raw_Data!L116)="NO", UPPER(Raw_Data!L116)="0"), FALSE, "Review")
        )
    )
)</f>
        <v>0</v>
      </c>
    </row>
    <row r="117" spans="1:13" x14ac:dyDescent="0.4">
      <c r="A117" s="2" t="str">
        <f>IFERROR(TRIM(Raw_Data!A117), "Review")</f>
        <v>EMP1115</v>
      </c>
      <c r="B117" s="2" t="str">
        <f>IFERROR(TRIM(Raw_Data!B117), "Review")</f>
        <v>Eva</v>
      </c>
      <c r="C117" s="2" t="str">
        <f>IFERROR(TRIM(Raw_Data!C117), "Review")</f>
        <v>Brown</v>
      </c>
      <c r="D117" s="2">
        <f>IF(Raw_Data!D117="", "", IFERROR(VALUE(Raw_Data!D117), ""))</f>
        <v>30</v>
      </c>
      <c r="E117" s="2" t="str">
        <f>IFERROR(LEFT(Raw_Data!E117,SEARCH("-",Raw_Data!E117)-1),"Review")</f>
        <v>Sales</v>
      </c>
      <c r="F117" s="2" t="str">
        <f>IFERROR(_xlfn.TEXTAFTER(Raw_Data!E117,"-"),"Review")</f>
        <v>Florida</v>
      </c>
      <c r="G117" s="2" t="str">
        <f>IFERROR(TRIM(Raw_Data!F117), "Review")</f>
        <v>Pending</v>
      </c>
      <c r="H117" s="3" t="str">
        <f>IFERROR(TEXT(Raw_Data!G117, "YYYY-MM-DD"),"Review")</f>
        <v>2024-07-25</v>
      </c>
      <c r="I117" s="4">
        <f>IF(Raw_Data!H117="", "", IFERROR(VALUE(Raw_Data!H117), ""))</f>
        <v>84420.81</v>
      </c>
      <c r="J117" s="2" t="str">
        <f>IF(Raw_Data!I117="", "", IF(ISNUMBER(FIND("@", Raw_Data!I117)), Raw_Data!I117, "Review"))</f>
        <v>eva.brown@example.com</v>
      </c>
      <c r="K117" s="5" t="str">
        <f>IFERROR(TEXT(ABS(Raw_Data!J117), "0"), "Review")</f>
        <v>5190361331</v>
      </c>
      <c r="L117" s="2" t="str">
        <f>IFERROR(TRIM(Raw_Data!K117), "Review")</f>
        <v>Average</v>
      </c>
      <c r="M117" s="2" t="b">
        <f>IF(Raw_Data!L117="", "",
    IF(ISLOGICAL(Raw_Data!L117), Raw_Data!L117,
        IF(OR(UPPER(Raw_Data!L117)="TRUE", UPPER(Raw_Data!L117)="YES", UPPER(Raw_Data!L117)="1"), TRUE,
            IF(OR(UPPER(Raw_Data!L117)="FALSE", UPPER(Raw_Data!L117)="NO", UPPER(Raw_Data!L117)="0"), FALSE, "Review")
        )
    )
)</f>
        <v>0</v>
      </c>
    </row>
    <row r="118" spans="1:13" x14ac:dyDescent="0.4">
      <c r="A118" s="2" t="str">
        <f>IFERROR(TRIM(Raw_Data!A118), "Review")</f>
        <v>EMP1116</v>
      </c>
      <c r="B118" s="2" t="str">
        <f>IFERROR(TRIM(Raw_Data!B118), "Review")</f>
        <v>Frank</v>
      </c>
      <c r="C118" s="2" t="str">
        <f>IFERROR(TRIM(Raw_Data!C118), "Review")</f>
        <v>Smith</v>
      </c>
      <c r="D118" s="2">
        <f>IF(Raw_Data!D118="", "", IFERROR(VALUE(Raw_Data!D118), ""))</f>
        <v>40</v>
      </c>
      <c r="E118" s="2" t="str">
        <f>IFERROR(LEFT(Raw_Data!E118,SEARCH("-",Raw_Data!E118)-1),"Review")</f>
        <v>HR</v>
      </c>
      <c r="F118" s="2" t="str">
        <f>IFERROR(_xlfn.TEXTAFTER(Raw_Data!E118,"-"),"Review")</f>
        <v>California</v>
      </c>
      <c r="G118" s="2" t="str">
        <f>IFERROR(TRIM(Raw_Data!F118), "Review")</f>
        <v>Pending</v>
      </c>
      <c r="H118" s="3" t="str">
        <f>IFERROR(TEXT(Raw_Data!G118, "YYYY-MM-DD"),"Review")</f>
        <v>2020-08-02</v>
      </c>
      <c r="I118" s="4">
        <f>IF(Raw_Data!H118="", "", IFERROR(VALUE(Raw_Data!H118), ""))</f>
        <v>110041.32</v>
      </c>
      <c r="J118" s="2" t="str">
        <f>IF(Raw_Data!I118="", "", IF(ISNUMBER(FIND("@", Raw_Data!I118)), Raw_Data!I118, "Review"))</f>
        <v>frank.smith@example.com</v>
      </c>
      <c r="K118" s="5" t="str">
        <f>IFERROR(TEXT(ABS(Raw_Data!J118), "0"), "Review")</f>
        <v>5411076094</v>
      </c>
      <c r="L118" s="2" t="str">
        <f>IFERROR(TRIM(Raw_Data!K118), "Review")</f>
        <v>Average</v>
      </c>
      <c r="M118" s="2" t="b">
        <f>IF(Raw_Data!L118="", "",
    IF(ISLOGICAL(Raw_Data!L118), Raw_Data!L118,
        IF(OR(UPPER(Raw_Data!L118)="TRUE", UPPER(Raw_Data!L118)="YES", UPPER(Raw_Data!L118)="1"), TRUE,
            IF(OR(UPPER(Raw_Data!L118)="FALSE", UPPER(Raw_Data!L118)="NO", UPPER(Raw_Data!L118)="0"), FALSE, "Review")
        )
    )
)</f>
        <v>0</v>
      </c>
    </row>
    <row r="119" spans="1:13" x14ac:dyDescent="0.4">
      <c r="A119" s="2" t="str">
        <f>IFERROR(TRIM(Raw_Data!A119), "Review")</f>
        <v>EMP1117</v>
      </c>
      <c r="B119" s="2" t="str">
        <f>IFERROR(TRIM(Raw_Data!B119), "Review")</f>
        <v>Heidi</v>
      </c>
      <c r="C119" s="2" t="str">
        <f>IFERROR(TRIM(Raw_Data!C119), "Review")</f>
        <v>Miller</v>
      </c>
      <c r="D119" s="2">
        <f>IF(Raw_Data!D119="", "", IFERROR(VALUE(Raw_Data!D119), ""))</f>
        <v>35</v>
      </c>
      <c r="E119" s="2" t="str">
        <f>IFERROR(LEFT(Raw_Data!E119,SEARCH("-",Raw_Data!E119)-1),"Review")</f>
        <v>DevOps</v>
      </c>
      <c r="F119" s="2" t="str">
        <f>IFERROR(_xlfn.TEXTAFTER(Raw_Data!E119,"-"),"Review")</f>
        <v>Florida</v>
      </c>
      <c r="G119" s="2" t="str">
        <f>IFERROR(TRIM(Raw_Data!F119), "Review")</f>
        <v>Pending</v>
      </c>
      <c r="H119" s="3" t="str">
        <f>IFERROR(TEXT(Raw_Data!G119, "YYYY-MM-DD"),"Review")</f>
        <v>2020-03-16</v>
      </c>
      <c r="I119" s="4">
        <f>IF(Raw_Data!H119="", "", IFERROR(VALUE(Raw_Data!H119), ""))</f>
        <v>81837.81</v>
      </c>
      <c r="J119" s="2" t="str">
        <f>IF(Raw_Data!I119="", "", IF(ISNUMBER(FIND("@", Raw_Data!I119)), Raw_Data!I119, "Review"))</f>
        <v>heidi.miller@example.com</v>
      </c>
      <c r="K119" s="5" t="str">
        <f>IFERROR(TEXT(ABS(Raw_Data!J119), "0"), "Review")</f>
        <v>4317350582</v>
      </c>
      <c r="L119" s="2" t="str">
        <f>IFERROR(TRIM(Raw_Data!K119), "Review")</f>
        <v>Good</v>
      </c>
      <c r="M119" s="2" t="b">
        <f>IF(Raw_Data!L119="", "",
    IF(ISLOGICAL(Raw_Data!L119), Raw_Data!L119,
        IF(OR(UPPER(Raw_Data!L119)="TRUE", UPPER(Raw_Data!L119)="YES", UPPER(Raw_Data!L119)="1"), TRUE,
            IF(OR(UPPER(Raw_Data!L119)="FALSE", UPPER(Raw_Data!L119)="NO", UPPER(Raw_Data!L119)="0"), FALSE, "Review")
        )
    )
)</f>
        <v>1</v>
      </c>
    </row>
    <row r="120" spans="1:13" x14ac:dyDescent="0.4">
      <c r="A120" s="2" t="str">
        <f>IFERROR(TRIM(Raw_Data!A120), "Review")</f>
        <v>EMP1118</v>
      </c>
      <c r="B120" s="2" t="str">
        <f>IFERROR(TRIM(Raw_Data!B120), "Review")</f>
        <v>Frank</v>
      </c>
      <c r="C120" s="2" t="str">
        <f>IFERROR(TRIM(Raw_Data!C120), "Review")</f>
        <v>Garcia</v>
      </c>
      <c r="D120" s="2">
        <f>IF(Raw_Data!D120="", "", IFERROR(VALUE(Raw_Data!D120), ""))</f>
        <v>25</v>
      </c>
      <c r="E120" s="2" t="str">
        <f>IFERROR(LEFT(Raw_Data!E120,SEARCH("-",Raw_Data!E120)-1),"Review")</f>
        <v>Finance</v>
      </c>
      <c r="F120" s="2" t="str">
        <f>IFERROR(_xlfn.TEXTAFTER(Raw_Data!E120,"-"),"Review")</f>
        <v>Illinois</v>
      </c>
      <c r="G120" s="2" t="str">
        <f>IFERROR(TRIM(Raw_Data!F120), "Review")</f>
        <v>Active</v>
      </c>
      <c r="H120" s="3" t="str">
        <f>IFERROR(TEXT(Raw_Data!G120, "YYYY-MM-DD"),"Review")</f>
        <v>2023-09-08</v>
      </c>
      <c r="I120" s="4">
        <f>IF(Raw_Data!H120="", "", IFERROR(VALUE(Raw_Data!H120), ""))</f>
        <v>110855.72</v>
      </c>
      <c r="J120" s="2" t="str">
        <f>IF(Raw_Data!I120="", "", IF(ISNUMBER(FIND("@", Raw_Data!I120)), Raw_Data!I120, "Review"))</f>
        <v>frank.garcia@example.com</v>
      </c>
      <c r="K120" s="5" t="str">
        <f>IFERROR(TEXT(ABS(Raw_Data!J120), "0"), "Review")</f>
        <v>1997179109</v>
      </c>
      <c r="L120" s="2" t="str">
        <f>IFERROR(TRIM(Raw_Data!K120), "Review")</f>
        <v>Poor</v>
      </c>
      <c r="M120" s="2" t="b">
        <f>IF(Raw_Data!L120="", "",
    IF(ISLOGICAL(Raw_Data!L120), Raw_Data!L120,
        IF(OR(UPPER(Raw_Data!L120)="TRUE", UPPER(Raw_Data!L120)="YES", UPPER(Raw_Data!L120)="1"), TRUE,
            IF(OR(UPPER(Raw_Data!L120)="FALSE", UPPER(Raw_Data!L120)="NO", UPPER(Raw_Data!L120)="0"), FALSE, "Review")
        )
    )
)</f>
        <v>0</v>
      </c>
    </row>
    <row r="121" spans="1:13" x14ac:dyDescent="0.4">
      <c r="A121" s="2" t="str">
        <f>IFERROR(TRIM(Raw_Data!A121), "Review")</f>
        <v>EMP1119</v>
      </c>
      <c r="B121" s="2" t="str">
        <f>IFERROR(TRIM(Raw_Data!B121), "Review")</f>
        <v>Alice</v>
      </c>
      <c r="C121" s="2" t="str">
        <f>IFERROR(TRIM(Raw_Data!C121), "Review")</f>
        <v>Jones</v>
      </c>
      <c r="D121" s="2">
        <f>IF(Raw_Data!D121="", "", IFERROR(VALUE(Raw_Data!D121), ""))</f>
        <v>30</v>
      </c>
      <c r="E121" s="2" t="str">
        <f>IFERROR(LEFT(Raw_Data!E121,SEARCH("-",Raw_Data!E121)-1),"Review")</f>
        <v>Sales</v>
      </c>
      <c r="F121" s="2" t="str">
        <f>IFERROR(_xlfn.TEXTAFTER(Raw_Data!E121,"-"),"Review")</f>
        <v>California</v>
      </c>
      <c r="G121" s="2" t="str">
        <f>IFERROR(TRIM(Raw_Data!F121), "Review")</f>
        <v>Pending</v>
      </c>
      <c r="H121" s="3" t="str">
        <f>IFERROR(TEXT(Raw_Data!G121, "YYYY-MM-DD"),"Review")</f>
        <v>2024-03-29</v>
      </c>
      <c r="I121" s="4">
        <f>IF(Raw_Data!H121="", "", IFERROR(VALUE(Raw_Data!H121), ""))</f>
        <v>84894.52</v>
      </c>
      <c r="J121" s="2" t="str">
        <f>IF(Raw_Data!I121="", "", IF(ISNUMBER(FIND("@", Raw_Data!I121)), Raw_Data!I121, "Review"))</f>
        <v>alice.jones@example.com</v>
      </c>
      <c r="K121" s="5" t="str">
        <f>IFERROR(TEXT(ABS(Raw_Data!J121), "0"), "Review")</f>
        <v>651207048</v>
      </c>
      <c r="L121" s="2" t="str">
        <f>IFERROR(TRIM(Raw_Data!K121), "Review")</f>
        <v>Excellent</v>
      </c>
      <c r="M121" s="2" t="b">
        <f>IF(Raw_Data!L121="", "",
    IF(ISLOGICAL(Raw_Data!L121), Raw_Data!L121,
        IF(OR(UPPER(Raw_Data!L121)="TRUE", UPPER(Raw_Data!L121)="YES", UPPER(Raw_Data!L121)="1"), TRUE,
            IF(OR(UPPER(Raw_Data!L121)="FALSE", UPPER(Raw_Data!L121)="NO", UPPER(Raw_Data!L121)="0"), FALSE, "Review")
        )
    )
)</f>
        <v>1</v>
      </c>
    </row>
    <row r="122" spans="1:13" x14ac:dyDescent="0.4">
      <c r="A122" s="2" t="str">
        <f>IFERROR(TRIM(Raw_Data!A122), "Review")</f>
        <v>EMP1120</v>
      </c>
      <c r="B122" s="2" t="str">
        <f>IFERROR(TRIM(Raw_Data!B122), "Review")</f>
        <v>Alice</v>
      </c>
      <c r="C122" s="2" t="str">
        <f>IFERROR(TRIM(Raw_Data!C122), "Review")</f>
        <v>Garcia</v>
      </c>
      <c r="D122" s="2">
        <f>IF(Raw_Data!D122="", "", IFERROR(VALUE(Raw_Data!D122), ""))</f>
        <v>30</v>
      </c>
      <c r="E122" s="2" t="str">
        <f>IFERROR(LEFT(Raw_Data!E122,SEARCH("-",Raw_Data!E122)-1),"Review")</f>
        <v>HR</v>
      </c>
      <c r="F122" s="2" t="str">
        <f>IFERROR(_xlfn.TEXTAFTER(Raw_Data!E122,"-"),"Review")</f>
        <v>Illinois</v>
      </c>
      <c r="G122" s="2" t="str">
        <f>IFERROR(TRIM(Raw_Data!F122), "Review")</f>
        <v>Active</v>
      </c>
      <c r="H122" s="3" t="str">
        <f>IFERROR(TEXT(Raw_Data!G122, "YYYY-MM-DD"),"Review")</f>
        <v>2021-08-12</v>
      </c>
      <c r="I122" s="4">
        <f>IF(Raw_Data!H122="", "", IFERROR(VALUE(Raw_Data!H122), ""))</f>
        <v>80668.13</v>
      </c>
      <c r="J122" s="2" t="str">
        <f>IF(Raw_Data!I122="", "", IF(ISNUMBER(FIND("@", Raw_Data!I122)), Raw_Data!I122, "Review"))</f>
        <v>alice.garcia@example.com</v>
      </c>
      <c r="K122" s="5" t="str">
        <f>IFERROR(TEXT(ABS(Raw_Data!J122), "0"), "Review")</f>
        <v>6110804660</v>
      </c>
      <c r="L122" s="2" t="str">
        <f>IFERROR(TRIM(Raw_Data!K122), "Review")</f>
        <v>Good</v>
      </c>
      <c r="M122" s="2" t="b">
        <f>IF(Raw_Data!L122="", "",
    IF(ISLOGICAL(Raw_Data!L122), Raw_Data!L122,
        IF(OR(UPPER(Raw_Data!L122)="TRUE", UPPER(Raw_Data!L122)="YES", UPPER(Raw_Data!L122)="1"), TRUE,
            IF(OR(UPPER(Raw_Data!L122)="FALSE", UPPER(Raw_Data!L122)="NO", UPPER(Raw_Data!L122)="0"), FALSE, "Review")
        )
    )
)</f>
        <v>1</v>
      </c>
    </row>
    <row r="123" spans="1:13" x14ac:dyDescent="0.4">
      <c r="A123" s="2" t="str">
        <f>IFERROR(TRIM(Raw_Data!A123), "Review")</f>
        <v>EMP1121</v>
      </c>
      <c r="B123" s="2" t="str">
        <f>IFERROR(TRIM(Raw_Data!B123), "Review")</f>
        <v>Bob</v>
      </c>
      <c r="C123" s="2" t="str">
        <f>IFERROR(TRIM(Raw_Data!C123), "Review")</f>
        <v>Jones</v>
      </c>
      <c r="D123" s="2">
        <f>IF(Raw_Data!D123="", "", IFERROR(VALUE(Raw_Data!D123), ""))</f>
        <v>25</v>
      </c>
      <c r="E123" s="2" t="str">
        <f>IFERROR(LEFT(Raw_Data!E123,SEARCH("-",Raw_Data!E123)-1),"Review")</f>
        <v>DevOps</v>
      </c>
      <c r="F123" s="2" t="str">
        <f>IFERROR(_xlfn.TEXTAFTER(Raw_Data!E123,"-"),"Review")</f>
        <v>Illinois</v>
      </c>
      <c r="G123" s="2" t="str">
        <f>IFERROR(TRIM(Raw_Data!F123), "Review")</f>
        <v>Active</v>
      </c>
      <c r="H123" s="3" t="str">
        <f>IFERROR(TEXT(Raw_Data!G123, "YYYY-MM-DD"),"Review")</f>
        <v>2023-12-24</v>
      </c>
      <c r="I123" s="4">
        <f>IF(Raw_Data!H123="", "", IFERROR(VALUE(Raw_Data!H123), ""))</f>
        <v>61086.47</v>
      </c>
      <c r="J123" s="2" t="str">
        <f>IF(Raw_Data!I123="", "", IF(ISNUMBER(FIND("@", Raw_Data!I123)), Raw_Data!I123, "Review"))</f>
        <v>bob.jones@example.com</v>
      </c>
      <c r="K123" s="5" t="str">
        <f>IFERROR(TEXT(ABS(Raw_Data!J123), "0"), "Review")</f>
        <v>9639907675</v>
      </c>
      <c r="L123" s="2" t="str">
        <f>IFERROR(TRIM(Raw_Data!K123), "Review")</f>
        <v>Excellent</v>
      </c>
      <c r="M123" s="2" t="b">
        <f>IF(Raw_Data!L123="", "",
    IF(ISLOGICAL(Raw_Data!L123), Raw_Data!L123,
        IF(OR(UPPER(Raw_Data!L123)="TRUE", UPPER(Raw_Data!L123)="YES", UPPER(Raw_Data!L123)="1"), TRUE,
            IF(OR(UPPER(Raw_Data!L123)="FALSE", UPPER(Raw_Data!L123)="NO", UPPER(Raw_Data!L123)="0"), FALSE, "Review")
        )
    )
)</f>
        <v>1</v>
      </c>
    </row>
    <row r="124" spans="1:13" x14ac:dyDescent="0.4">
      <c r="A124" s="2" t="str">
        <f>IFERROR(TRIM(Raw_Data!A124), "Review")</f>
        <v>EMP1122</v>
      </c>
      <c r="B124" s="2" t="str">
        <f>IFERROR(TRIM(Raw_Data!B124), "Review")</f>
        <v>Grace</v>
      </c>
      <c r="C124" s="2" t="str">
        <f>IFERROR(TRIM(Raw_Data!C124), "Review")</f>
        <v>Johnson</v>
      </c>
      <c r="D124" s="2">
        <f>IF(Raw_Data!D124="", "", IFERROR(VALUE(Raw_Data!D124), ""))</f>
        <v>25</v>
      </c>
      <c r="E124" s="2" t="str">
        <f>IFERROR(LEFT(Raw_Data!E124,SEARCH("-",Raw_Data!E124)-1),"Review")</f>
        <v>Admin</v>
      </c>
      <c r="F124" s="2" t="str">
        <f>IFERROR(_xlfn.TEXTAFTER(Raw_Data!E124,"-"),"Review")</f>
        <v>Texas</v>
      </c>
      <c r="G124" s="2" t="str">
        <f>IFERROR(TRIM(Raw_Data!F124), "Review")</f>
        <v>Inactive</v>
      </c>
      <c r="H124" s="3" t="str">
        <f>IFERROR(TEXT(Raw_Data!G124, "YYYY-MM-DD"),"Review")</f>
        <v>2020-08-28</v>
      </c>
      <c r="I124" s="4">
        <f>IF(Raw_Data!H124="", "", IFERROR(VALUE(Raw_Data!H124), ""))</f>
        <v>95339.68</v>
      </c>
      <c r="J124" s="2" t="str">
        <f>IF(Raw_Data!I124="", "", IF(ISNUMBER(FIND("@", Raw_Data!I124)), Raw_Data!I124, "Review"))</f>
        <v>grace.johnson@example.com</v>
      </c>
      <c r="K124" s="5" t="str">
        <f>IFERROR(TEXT(ABS(Raw_Data!J124), "0"), "Review")</f>
        <v>9915078592</v>
      </c>
      <c r="L124" s="2" t="str">
        <f>IFERROR(TRIM(Raw_Data!K124), "Review")</f>
        <v>Poor</v>
      </c>
      <c r="M124" s="2" t="b">
        <f>IF(Raw_Data!L124="", "",
    IF(ISLOGICAL(Raw_Data!L124), Raw_Data!L124,
        IF(OR(UPPER(Raw_Data!L124)="TRUE", UPPER(Raw_Data!L124)="YES", UPPER(Raw_Data!L124)="1"), TRUE,
            IF(OR(UPPER(Raw_Data!L124)="FALSE", UPPER(Raw_Data!L124)="NO", UPPER(Raw_Data!L124)="0"), FALSE, "Review")
        )
    )
)</f>
        <v>1</v>
      </c>
    </row>
    <row r="125" spans="1:13" x14ac:dyDescent="0.4">
      <c r="A125" s="2" t="str">
        <f>IFERROR(TRIM(Raw_Data!A125), "Review")</f>
        <v>EMP1123</v>
      </c>
      <c r="B125" s="2" t="str">
        <f>IFERROR(TRIM(Raw_Data!B125), "Review")</f>
        <v>Eva</v>
      </c>
      <c r="C125" s="2" t="str">
        <f>IFERROR(TRIM(Raw_Data!C125), "Review")</f>
        <v>Davis</v>
      </c>
      <c r="D125" s="2" t="str">
        <f>IF(Raw_Data!D125="", "", IFERROR(VALUE(Raw_Data!D125), ""))</f>
        <v/>
      </c>
      <c r="E125" s="2" t="str">
        <f>IFERROR(LEFT(Raw_Data!E125,SEARCH("-",Raw_Data!E125)-1),"Review")</f>
        <v>DevOps</v>
      </c>
      <c r="F125" s="2" t="str">
        <f>IFERROR(_xlfn.TEXTAFTER(Raw_Data!E125,"-"),"Review")</f>
        <v>California</v>
      </c>
      <c r="G125" s="2" t="str">
        <f>IFERROR(TRIM(Raw_Data!F125), "Review")</f>
        <v>Inactive</v>
      </c>
      <c r="H125" s="3" t="str">
        <f>IFERROR(TEXT(Raw_Data!G125, "YYYY-MM-DD"),"Review")</f>
        <v>2024-09-05</v>
      </c>
      <c r="I125" s="4">
        <f>IF(Raw_Data!H125="", "", IFERROR(VALUE(Raw_Data!H125), ""))</f>
        <v>83774.97</v>
      </c>
      <c r="J125" s="2" t="str">
        <f>IF(Raw_Data!I125="", "", IF(ISNUMBER(FIND("@", Raw_Data!I125)), Raw_Data!I125, "Review"))</f>
        <v>eva.davis@example.com</v>
      </c>
      <c r="K125" s="5" t="str">
        <f>IFERROR(TEXT(ABS(Raw_Data!J125), "0"), "Review")</f>
        <v>1109193927</v>
      </c>
      <c r="L125" s="2" t="str">
        <f>IFERROR(TRIM(Raw_Data!K125), "Review")</f>
        <v>Average</v>
      </c>
      <c r="M125" s="2" t="b">
        <f>IF(Raw_Data!L125="", "",
    IF(ISLOGICAL(Raw_Data!L125), Raw_Data!L125,
        IF(OR(UPPER(Raw_Data!L125)="TRUE", UPPER(Raw_Data!L125)="YES", UPPER(Raw_Data!L125)="1"), TRUE,
            IF(OR(UPPER(Raw_Data!L125)="FALSE", UPPER(Raw_Data!L125)="NO", UPPER(Raw_Data!L125)="0"), FALSE, "Review")
        )
    )
)</f>
        <v>0</v>
      </c>
    </row>
    <row r="126" spans="1:13" x14ac:dyDescent="0.4">
      <c r="A126" s="2" t="str">
        <f>IFERROR(TRIM(Raw_Data!A126), "Review")</f>
        <v>EMP1124</v>
      </c>
      <c r="B126" s="2" t="str">
        <f>IFERROR(TRIM(Raw_Data!B126), "Review")</f>
        <v>Heidi</v>
      </c>
      <c r="C126" s="2" t="str">
        <f>IFERROR(TRIM(Raw_Data!C126), "Review")</f>
        <v>Jones</v>
      </c>
      <c r="D126" s="2" t="str">
        <f>IF(Raw_Data!D126="", "", IFERROR(VALUE(Raw_Data!D126), ""))</f>
        <v/>
      </c>
      <c r="E126" s="2" t="str">
        <f>IFERROR(LEFT(Raw_Data!E126,SEARCH("-",Raw_Data!E126)-1),"Review")</f>
        <v>Admin</v>
      </c>
      <c r="F126" s="2" t="str">
        <f>IFERROR(_xlfn.TEXTAFTER(Raw_Data!E126,"-"),"Review")</f>
        <v>Florida</v>
      </c>
      <c r="G126" s="2" t="str">
        <f>IFERROR(TRIM(Raw_Data!F126), "Review")</f>
        <v>Active</v>
      </c>
      <c r="H126" s="3" t="str">
        <f>IFERROR(TEXT(Raw_Data!G126, "YYYY-MM-DD"),"Review")</f>
        <v>2023-05-12</v>
      </c>
      <c r="I126" s="4">
        <f>IF(Raw_Data!H126="", "", IFERROR(VALUE(Raw_Data!H126), ""))</f>
        <v>85576.86</v>
      </c>
      <c r="J126" s="2" t="str">
        <f>IF(Raw_Data!I126="", "", IF(ISNUMBER(FIND("@", Raw_Data!I126)), Raw_Data!I126, "Review"))</f>
        <v>heidi.jones@example.com</v>
      </c>
      <c r="K126" s="5" t="str">
        <f>IFERROR(TEXT(ABS(Raw_Data!J126), "0"), "Review")</f>
        <v>4567972319</v>
      </c>
      <c r="L126" s="2" t="str">
        <f>IFERROR(TRIM(Raw_Data!K126), "Review")</f>
        <v>Poor</v>
      </c>
      <c r="M126" s="2" t="b">
        <f>IF(Raw_Data!L126="", "",
    IF(ISLOGICAL(Raw_Data!L126), Raw_Data!L126,
        IF(OR(UPPER(Raw_Data!L126)="TRUE", UPPER(Raw_Data!L126)="YES", UPPER(Raw_Data!L126)="1"), TRUE,
            IF(OR(UPPER(Raw_Data!L126)="FALSE", UPPER(Raw_Data!L126)="NO", UPPER(Raw_Data!L126)="0"), FALSE, "Review")
        )
    )
)</f>
        <v>0</v>
      </c>
    </row>
    <row r="127" spans="1:13" x14ac:dyDescent="0.4">
      <c r="A127" s="2" t="str">
        <f>IFERROR(TRIM(Raw_Data!A127), "Review")</f>
        <v>EMP1125</v>
      </c>
      <c r="B127" s="2" t="str">
        <f>IFERROR(TRIM(Raw_Data!B127), "Review")</f>
        <v>Bob</v>
      </c>
      <c r="C127" s="2" t="str">
        <f>IFERROR(TRIM(Raw_Data!C127), "Review")</f>
        <v>Garcia</v>
      </c>
      <c r="D127" s="2">
        <f>IF(Raw_Data!D127="", "", IFERROR(VALUE(Raw_Data!D127), ""))</f>
        <v>35</v>
      </c>
      <c r="E127" s="2" t="str">
        <f>IFERROR(LEFT(Raw_Data!E127,SEARCH("-",Raw_Data!E127)-1),"Review")</f>
        <v>Finance</v>
      </c>
      <c r="F127" s="2" t="str">
        <f>IFERROR(_xlfn.TEXTAFTER(Raw_Data!E127,"-"),"Review")</f>
        <v>California</v>
      </c>
      <c r="G127" s="2" t="str">
        <f>IFERROR(TRIM(Raw_Data!F127), "Review")</f>
        <v>Pending</v>
      </c>
      <c r="H127" s="3" t="str">
        <f>IFERROR(TEXT(Raw_Data!G127, "YYYY-MM-DD"),"Review")</f>
        <v>2021-07-01</v>
      </c>
      <c r="I127" s="4">
        <f>IF(Raw_Data!H127="", "", IFERROR(VALUE(Raw_Data!H127), ""))</f>
        <v>107438.46</v>
      </c>
      <c r="J127" s="2" t="str">
        <f>IF(Raw_Data!I127="", "", IF(ISNUMBER(FIND("@", Raw_Data!I127)), Raw_Data!I127, "Review"))</f>
        <v>bob.garcia@example.com</v>
      </c>
      <c r="K127" s="5" t="str">
        <f>IFERROR(TEXT(ABS(Raw_Data!J127), "0"), "Review")</f>
        <v>249685497</v>
      </c>
      <c r="L127" s="2" t="str">
        <f>IFERROR(TRIM(Raw_Data!K127), "Review")</f>
        <v>Good</v>
      </c>
      <c r="M127" s="2" t="b">
        <f>IF(Raw_Data!L127="", "",
    IF(ISLOGICAL(Raw_Data!L127), Raw_Data!L127,
        IF(OR(UPPER(Raw_Data!L127)="TRUE", UPPER(Raw_Data!L127)="YES", UPPER(Raw_Data!L127)="1"), TRUE,
            IF(OR(UPPER(Raw_Data!L127)="FALSE", UPPER(Raw_Data!L127)="NO", UPPER(Raw_Data!L127)="0"), FALSE, "Review")
        )
    )
)</f>
        <v>1</v>
      </c>
    </row>
    <row r="128" spans="1:13" x14ac:dyDescent="0.4">
      <c r="A128" s="2" t="str">
        <f>IFERROR(TRIM(Raw_Data!A128), "Review")</f>
        <v>EMP1126</v>
      </c>
      <c r="B128" s="2" t="str">
        <f>IFERROR(TRIM(Raw_Data!B128), "Review")</f>
        <v>Eva</v>
      </c>
      <c r="C128" s="2" t="str">
        <f>IFERROR(TRIM(Raw_Data!C128), "Review")</f>
        <v>Johnson</v>
      </c>
      <c r="D128" s="2" t="str">
        <f>IF(Raw_Data!D128="", "", IFERROR(VALUE(Raw_Data!D128), ""))</f>
        <v/>
      </c>
      <c r="E128" s="2" t="str">
        <f>IFERROR(LEFT(Raw_Data!E128,SEARCH("-",Raw_Data!E128)-1),"Review")</f>
        <v>Sales</v>
      </c>
      <c r="F128" s="2" t="str">
        <f>IFERROR(_xlfn.TEXTAFTER(Raw_Data!E128,"-"),"Review")</f>
        <v>Nevada</v>
      </c>
      <c r="G128" s="2" t="str">
        <f>IFERROR(TRIM(Raw_Data!F128), "Review")</f>
        <v>Inactive</v>
      </c>
      <c r="H128" s="3" t="str">
        <f>IFERROR(TEXT(Raw_Data!G128, "YYYY-MM-DD"),"Review")</f>
        <v>2024-11-07</v>
      </c>
      <c r="I128" s="4">
        <f>IF(Raw_Data!H128="", "", IFERROR(VALUE(Raw_Data!H128), ""))</f>
        <v>60401.68</v>
      </c>
      <c r="J128" s="2" t="str">
        <f>IF(Raw_Data!I128="", "", IF(ISNUMBER(FIND("@", Raw_Data!I128)), Raw_Data!I128, "Review"))</f>
        <v>eva.johnson@example.com</v>
      </c>
      <c r="K128" s="5" t="str">
        <f>IFERROR(TEXT(ABS(Raw_Data!J128), "0"), "Review")</f>
        <v>2274954507</v>
      </c>
      <c r="L128" s="2" t="str">
        <f>IFERROR(TRIM(Raw_Data!K128), "Review")</f>
        <v>Average</v>
      </c>
      <c r="M128" s="2" t="b">
        <f>IF(Raw_Data!L128="", "",
    IF(ISLOGICAL(Raw_Data!L128), Raw_Data!L128,
        IF(OR(UPPER(Raw_Data!L128)="TRUE", UPPER(Raw_Data!L128)="YES", UPPER(Raw_Data!L128)="1"), TRUE,
            IF(OR(UPPER(Raw_Data!L128)="FALSE", UPPER(Raw_Data!L128)="NO", UPPER(Raw_Data!L128)="0"), FALSE, "Review")
        )
    )
)</f>
        <v>0</v>
      </c>
    </row>
    <row r="129" spans="1:13" x14ac:dyDescent="0.4">
      <c r="A129" s="2" t="str">
        <f>IFERROR(TRIM(Raw_Data!A129), "Review")</f>
        <v>EMP1127</v>
      </c>
      <c r="B129" s="2" t="str">
        <f>IFERROR(TRIM(Raw_Data!B129), "Review")</f>
        <v>Frank</v>
      </c>
      <c r="C129" s="2" t="str">
        <f>IFERROR(TRIM(Raw_Data!C129), "Review")</f>
        <v>Smith</v>
      </c>
      <c r="D129" s="2">
        <f>IF(Raw_Data!D129="", "", IFERROR(VALUE(Raw_Data!D129), ""))</f>
        <v>35</v>
      </c>
      <c r="E129" s="2" t="str">
        <f>IFERROR(LEFT(Raw_Data!E129,SEARCH("-",Raw_Data!E129)-1),"Review")</f>
        <v>Sales</v>
      </c>
      <c r="F129" s="2" t="str">
        <f>IFERROR(_xlfn.TEXTAFTER(Raw_Data!E129,"-"),"Review")</f>
        <v>Illinois</v>
      </c>
      <c r="G129" s="2" t="str">
        <f>IFERROR(TRIM(Raw_Data!F129), "Review")</f>
        <v>Inactive</v>
      </c>
      <c r="H129" s="3" t="str">
        <f>IFERROR(TEXT(Raw_Data!G129, "YYYY-MM-DD"),"Review")</f>
        <v>2022-07-21</v>
      </c>
      <c r="I129" s="4">
        <f>IF(Raw_Data!H129="", "", IFERROR(VALUE(Raw_Data!H129), ""))</f>
        <v>115299.66</v>
      </c>
      <c r="J129" s="2" t="str">
        <f>IF(Raw_Data!I129="", "", IF(ISNUMBER(FIND("@", Raw_Data!I129)), Raw_Data!I129, "Review"))</f>
        <v>frank.smith@example.com</v>
      </c>
      <c r="K129" s="5" t="str">
        <f>IFERROR(TEXT(ABS(Raw_Data!J129), "0"), "Review")</f>
        <v>9203880652</v>
      </c>
      <c r="L129" s="2" t="str">
        <f>IFERROR(TRIM(Raw_Data!K129), "Review")</f>
        <v>Good</v>
      </c>
      <c r="M129" s="2" t="b">
        <f>IF(Raw_Data!L129="", "",
    IF(ISLOGICAL(Raw_Data!L129), Raw_Data!L129,
        IF(OR(UPPER(Raw_Data!L129)="TRUE", UPPER(Raw_Data!L129)="YES", UPPER(Raw_Data!L129)="1"), TRUE,
            IF(OR(UPPER(Raw_Data!L129)="FALSE", UPPER(Raw_Data!L129)="NO", UPPER(Raw_Data!L129)="0"), FALSE, "Review")
        )
    )
)</f>
        <v>1</v>
      </c>
    </row>
    <row r="130" spans="1:13" x14ac:dyDescent="0.4">
      <c r="A130" s="2" t="str">
        <f>IFERROR(TRIM(Raw_Data!A130), "Review")</f>
        <v>EMP1128</v>
      </c>
      <c r="B130" s="2" t="str">
        <f>IFERROR(TRIM(Raw_Data!B130), "Review")</f>
        <v>David</v>
      </c>
      <c r="C130" s="2" t="str">
        <f>IFERROR(TRIM(Raw_Data!C130), "Review")</f>
        <v>Brown</v>
      </c>
      <c r="D130" s="2" t="str">
        <f>IF(Raw_Data!D130="", "", IFERROR(VALUE(Raw_Data!D130), ""))</f>
        <v/>
      </c>
      <c r="E130" s="2" t="str">
        <f>IFERROR(LEFT(Raw_Data!E130,SEARCH("-",Raw_Data!E130)-1),"Review")</f>
        <v>Finance</v>
      </c>
      <c r="F130" s="2" t="str">
        <f>IFERROR(_xlfn.TEXTAFTER(Raw_Data!E130,"-"),"Review")</f>
        <v>New York</v>
      </c>
      <c r="G130" s="2" t="str">
        <f>IFERROR(TRIM(Raw_Data!F130), "Review")</f>
        <v>Inactive</v>
      </c>
      <c r="H130" s="3" t="str">
        <f>IFERROR(TEXT(Raw_Data!G130, "YYYY-MM-DD"),"Review")</f>
        <v>2020-03-30</v>
      </c>
      <c r="I130" s="4">
        <f>IF(Raw_Data!H130="", "", IFERROR(VALUE(Raw_Data!H130), ""))</f>
        <v>72272.34</v>
      </c>
      <c r="J130" s="2" t="str">
        <f>IF(Raw_Data!I130="", "", IF(ISNUMBER(FIND("@", Raw_Data!I130)), Raw_Data!I130, "Review"))</f>
        <v>david.brown@example.com</v>
      </c>
      <c r="K130" s="5" t="str">
        <f>IFERROR(TEXT(ABS(Raw_Data!J130), "0"), "Review")</f>
        <v>3315377958</v>
      </c>
      <c r="L130" s="2" t="str">
        <f>IFERROR(TRIM(Raw_Data!K130), "Review")</f>
        <v>Average</v>
      </c>
      <c r="M130" s="2" t="b">
        <f>IF(Raw_Data!L130="", "",
    IF(ISLOGICAL(Raw_Data!L130), Raw_Data!L130,
        IF(OR(UPPER(Raw_Data!L130)="TRUE", UPPER(Raw_Data!L130)="YES", UPPER(Raw_Data!L130)="1"), TRUE,
            IF(OR(UPPER(Raw_Data!L130)="FALSE", UPPER(Raw_Data!L130)="NO", UPPER(Raw_Data!L130)="0"), FALSE, "Review")
        )
    )
)</f>
        <v>0</v>
      </c>
    </row>
    <row r="131" spans="1:13" x14ac:dyDescent="0.4">
      <c r="A131" s="2" t="str">
        <f>IFERROR(TRIM(Raw_Data!A131), "Review")</f>
        <v>EMP1129</v>
      </c>
      <c r="B131" s="2" t="str">
        <f>IFERROR(TRIM(Raw_Data!B131), "Review")</f>
        <v>Grace</v>
      </c>
      <c r="C131" s="2" t="str">
        <f>IFERROR(TRIM(Raw_Data!C131), "Review")</f>
        <v>Brown</v>
      </c>
      <c r="D131" s="2">
        <f>IF(Raw_Data!D131="", "", IFERROR(VALUE(Raw_Data!D131), ""))</f>
        <v>40</v>
      </c>
      <c r="E131" s="2" t="str">
        <f>IFERROR(LEFT(Raw_Data!E131,SEARCH("-",Raw_Data!E131)-1),"Review")</f>
        <v>DevOps</v>
      </c>
      <c r="F131" s="2" t="str">
        <f>IFERROR(_xlfn.TEXTAFTER(Raw_Data!E131,"-"),"Review")</f>
        <v>Nevada</v>
      </c>
      <c r="G131" s="2" t="str">
        <f>IFERROR(TRIM(Raw_Data!F131), "Review")</f>
        <v>Active</v>
      </c>
      <c r="H131" s="3" t="str">
        <f>IFERROR(TEXT(Raw_Data!G131, "YYYY-MM-DD"),"Review")</f>
        <v>2022-10-11</v>
      </c>
      <c r="I131" s="4">
        <f>IF(Raw_Data!H131="", "", IFERROR(VALUE(Raw_Data!H131), ""))</f>
        <v>117537.71</v>
      </c>
      <c r="J131" s="2" t="str">
        <f>IF(Raw_Data!I131="", "", IF(ISNUMBER(FIND("@", Raw_Data!I131)), Raw_Data!I131, "Review"))</f>
        <v>grace.brown@example.com</v>
      </c>
      <c r="K131" s="5" t="str">
        <f>IFERROR(TEXT(ABS(Raw_Data!J131), "0"), "Review")</f>
        <v>9594652169</v>
      </c>
      <c r="L131" s="2" t="str">
        <f>IFERROR(TRIM(Raw_Data!K131), "Review")</f>
        <v>Excellent</v>
      </c>
      <c r="M131" s="2" t="b">
        <f>IF(Raw_Data!L131="", "",
    IF(ISLOGICAL(Raw_Data!L131), Raw_Data!L131,
        IF(OR(UPPER(Raw_Data!L131)="TRUE", UPPER(Raw_Data!L131)="YES", UPPER(Raw_Data!L131)="1"), TRUE,
            IF(OR(UPPER(Raw_Data!L131)="FALSE", UPPER(Raw_Data!L131)="NO", UPPER(Raw_Data!L131)="0"), FALSE, "Review")
        )
    )
)</f>
        <v>0</v>
      </c>
    </row>
    <row r="132" spans="1:13" x14ac:dyDescent="0.4">
      <c r="A132" s="2" t="str">
        <f>IFERROR(TRIM(Raw_Data!A132), "Review")</f>
        <v>EMP1130</v>
      </c>
      <c r="B132" s="2" t="str">
        <f>IFERROR(TRIM(Raw_Data!B132), "Review")</f>
        <v>Frank</v>
      </c>
      <c r="C132" s="2" t="str">
        <f>IFERROR(TRIM(Raw_Data!C132), "Review")</f>
        <v>Brown</v>
      </c>
      <c r="D132" s="2">
        <f>IF(Raw_Data!D132="", "", IFERROR(VALUE(Raw_Data!D132), ""))</f>
        <v>25</v>
      </c>
      <c r="E132" s="2" t="str">
        <f>IFERROR(LEFT(Raw_Data!E132,SEARCH("-",Raw_Data!E132)-1),"Review")</f>
        <v>Finance</v>
      </c>
      <c r="F132" s="2" t="str">
        <f>IFERROR(_xlfn.TEXTAFTER(Raw_Data!E132,"-"),"Review")</f>
        <v>Texas</v>
      </c>
      <c r="G132" s="2" t="str">
        <f>IFERROR(TRIM(Raw_Data!F132), "Review")</f>
        <v>Pending</v>
      </c>
      <c r="H132" s="3" t="str">
        <f>IFERROR(TEXT(Raw_Data!G132, "YYYY-MM-DD"),"Review")</f>
        <v>2022-07-24</v>
      </c>
      <c r="I132" s="4">
        <f>IF(Raw_Data!H132="", "", IFERROR(VALUE(Raw_Data!H132), ""))</f>
        <v>51074.33</v>
      </c>
      <c r="J132" s="2" t="str">
        <f>IF(Raw_Data!I132="", "", IF(ISNUMBER(FIND("@", Raw_Data!I132)), Raw_Data!I132, "Review"))</f>
        <v>frank.brown@example.com</v>
      </c>
      <c r="K132" s="5" t="str">
        <f>IFERROR(TEXT(ABS(Raw_Data!J132), "0"), "Review")</f>
        <v>7303379336</v>
      </c>
      <c r="L132" s="2" t="str">
        <f>IFERROR(TRIM(Raw_Data!K132), "Review")</f>
        <v>Excellent</v>
      </c>
      <c r="M132" s="2" t="b">
        <f>IF(Raw_Data!L132="", "",
    IF(ISLOGICAL(Raw_Data!L132), Raw_Data!L132,
        IF(OR(UPPER(Raw_Data!L132)="TRUE", UPPER(Raw_Data!L132)="YES", UPPER(Raw_Data!L132)="1"), TRUE,
            IF(OR(UPPER(Raw_Data!L132)="FALSE", UPPER(Raw_Data!L132)="NO", UPPER(Raw_Data!L132)="0"), FALSE, "Review")
        )
    )
)</f>
        <v>1</v>
      </c>
    </row>
    <row r="133" spans="1:13" x14ac:dyDescent="0.4">
      <c r="A133" s="2" t="str">
        <f>IFERROR(TRIM(Raw_Data!A133), "Review")</f>
        <v>EMP1131</v>
      </c>
      <c r="B133" s="2" t="str">
        <f>IFERROR(TRIM(Raw_Data!B133), "Review")</f>
        <v>Charlie</v>
      </c>
      <c r="C133" s="2" t="str">
        <f>IFERROR(TRIM(Raw_Data!C133), "Review")</f>
        <v>Jones</v>
      </c>
      <c r="D133" s="2">
        <f>IF(Raw_Data!D133="", "", IFERROR(VALUE(Raw_Data!D133), ""))</f>
        <v>25</v>
      </c>
      <c r="E133" s="2" t="str">
        <f>IFERROR(LEFT(Raw_Data!E133,SEARCH("-",Raw_Data!E133)-1),"Review")</f>
        <v>Finance</v>
      </c>
      <c r="F133" s="2" t="str">
        <f>IFERROR(_xlfn.TEXTAFTER(Raw_Data!E133,"-"),"Review")</f>
        <v>California</v>
      </c>
      <c r="G133" s="2" t="str">
        <f>IFERROR(TRIM(Raw_Data!F133), "Review")</f>
        <v>Inactive</v>
      </c>
      <c r="H133" s="3" t="str">
        <f>IFERROR(TEXT(Raw_Data!G133, "YYYY-MM-DD"),"Review")</f>
        <v>2023-06-30</v>
      </c>
      <c r="I133" s="4">
        <f>IF(Raw_Data!H133="", "", IFERROR(VALUE(Raw_Data!H133), ""))</f>
        <v>98489.32</v>
      </c>
      <c r="J133" s="2" t="str">
        <f>IF(Raw_Data!I133="", "", IF(ISNUMBER(FIND("@", Raw_Data!I133)), Raw_Data!I133, "Review"))</f>
        <v>charlie.jones@example.com</v>
      </c>
      <c r="K133" s="5" t="str">
        <f>IFERROR(TEXT(ABS(Raw_Data!J133), "0"), "Review")</f>
        <v>5636205014</v>
      </c>
      <c r="L133" s="2" t="str">
        <f>IFERROR(TRIM(Raw_Data!K133), "Review")</f>
        <v>Excellent</v>
      </c>
      <c r="M133" s="2" t="b">
        <f>IF(Raw_Data!L133="", "",
    IF(ISLOGICAL(Raw_Data!L133), Raw_Data!L133,
        IF(OR(UPPER(Raw_Data!L133)="TRUE", UPPER(Raw_Data!L133)="YES", UPPER(Raw_Data!L133)="1"), TRUE,
            IF(OR(UPPER(Raw_Data!L133)="FALSE", UPPER(Raw_Data!L133)="NO", UPPER(Raw_Data!L133)="0"), FALSE, "Review")
        )
    )
)</f>
        <v>0</v>
      </c>
    </row>
    <row r="134" spans="1:13" x14ac:dyDescent="0.4">
      <c r="A134" s="2" t="str">
        <f>IFERROR(TRIM(Raw_Data!A134), "Review")</f>
        <v>EMP1132</v>
      </c>
      <c r="B134" s="2" t="str">
        <f>IFERROR(TRIM(Raw_Data!B134), "Review")</f>
        <v>Frank</v>
      </c>
      <c r="C134" s="2" t="str">
        <f>IFERROR(TRIM(Raw_Data!C134), "Review")</f>
        <v>Smith</v>
      </c>
      <c r="D134" s="2" t="str">
        <f>IF(Raw_Data!D134="", "", IFERROR(VALUE(Raw_Data!D134), ""))</f>
        <v/>
      </c>
      <c r="E134" s="2" t="str">
        <f>IFERROR(LEFT(Raw_Data!E134,SEARCH("-",Raw_Data!E134)-1),"Review")</f>
        <v>Finance</v>
      </c>
      <c r="F134" s="2" t="str">
        <f>IFERROR(_xlfn.TEXTAFTER(Raw_Data!E134,"-"),"Review")</f>
        <v>California</v>
      </c>
      <c r="G134" s="2" t="str">
        <f>IFERROR(TRIM(Raw_Data!F134), "Review")</f>
        <v>Pending</v>
      </c>
      <c r="H134" s="3" t="str">
        <f>IFERROR(TEXT(Raw_Data!G134, "YYYY-MM-DD"),"Review")</f>
        <v>2024-01-11</v>
      </c>
      <c r="I134" s="4">
        <f>IF(Raw_Data!H134="", "", IFERROR(VALUE(Raw_Data!H134), ""))</f>
        <v>112120.71</v>
      </c>
      <c r="J134" s="2" t="str">
        <f>IF(Raw_Data!I134="", "", IF(ISNUMBER(FIND("@", Raw_Data!I134)), Raw_Data!I134, "Review"))</f>
        <v>frank.smith@example.com</v>
      </c>
      <c r="K134" s="5" t="str">
        <f>IFERROR(TEXT(ABS(Raw_Data!J134), "0"), "Review")</f>
        <v>812473949</v>
      </c>
      <c r="L134" s="2" t="str">
        <f>IFERROR(TRIM(Raw_Data!K134), "Review")</f>
        <v>Poor</v>
      </c>
      <c r="M134" s="2" t="b">
        <f>IF(Raw_Data!L134="", "",
    IF(ISLOGICAL(Raw_Data!L134), Raw_Data!L134,
        IF(OR(UPPER(Raw_Data!L134)="TRUE", UPPER(Raw_Data!L134)="YES", UPPER(Raw_Data!L134)="1"), TRUE,
            IF(OR(UPPER(Raw_Data!L134)="FALSE", UPPER(Raw_Data!L134)="NO", UPPER(Raw_Data!L134)="0"), FALSE, "Review")
        )
    )
)</f>
        <v>1</v>
      </c>
    </row>
    <row r="135" spans="1:13" x14ac:dyDescent="0.4">
      <c r="A135" s="2" t="str">
        <f>IFERROR(TRIM(Raw_Data!A135), "Review")</f>
        <v>EMP1133</v>
      </c>
      <c r="B135" s="2" t="str">
        <f>IFERROR(TRIM(Raw_Data!B135), "Review")</f>
        <v>Alice</v>
      </c>
      <c r="C135" s="2" t="str">
        <f>IFERROR(TRIM(Raw_Data!C135), "Review")</f>
        <v>Jones</v>
      </c>
      <c r="D135" s="2" t="str">
        <f>IF(Raw_Data!D135="", "", IFERROR(VALUE(Raw_Data!D135), ""))</f>
        <v/>
      </c>
      <c r="E135" s="2" t="str">
        <f>IFERROR(LEFT(Raw_Data!E135,SEARCH("-",Raw_Data!E135)-1),"Review")</f>
        <v>Cloud Tech</v>
      </c>
      <c r="F135" s="2" t="str">
        <f>IFERROR(_xlfn.TEXTAFTER(Raw_Data!E135,"-"),"Review")</f>
        <v>New York</v>
      </c>
      <c r="G135" s="2" t="str">
        <f>IFERROR(TRIM(Raw_Data!F135), "Review")</f>
        <v>Pending</v>
      </c>
      <c r="H135" s="3" t="str">
        <f>IFERROR(TEXT(Raw_Data!G135, "YYYY-MM-DD"),"Review")</f>
        <v>2023-11-02</v>
      </c>
      <c r="I135" s="4">
        <f>IF(Raw_Data!H135="", "", IFERROR(VALUE(Raw_Data!H135), ""))</f>
        <v>114465.04</v>
      </c>
      <c r="J135" s="2" t="str">
        <f>IF(Raw_Data!I135="", "", IF(ISNUMBER(FIND("@", Raw_Data!I135)), Raw_Data!I135, "Review"))</f>
        <v>alice.jones@example.com</v>
      </c>
      <c r="K135" s="5" t="str">
        <f>IFERROR(TEXT(ABS(Raw_Data!J135), "0"), "Review")</f>
        <v>334234257</v>
      </c>
      <c r="L135" s="2" t="str">
        <f>IFERROR(TRIM(Raw_Data!K135), "Review")</f>
        <v>Good</v>
      </c>
      <c r="M135" s="2" t="b">
        <f>IF(Raw_Data!L135="", "",
    IF(ISLOGICAL(Raw_Data!L135), Raw_Data!L135,
        IF(OR(UPPER(Raw_Data!L135)="TRUE", UPPER(Raw_Data!L135)="YES", UPPER(Raw_Data!L135)="1"), TRUE,
            IF(OR(UPPER(Raw_Data!L135)="FALSE", UPPER(Raw_Data!L135)="NO", UPPER(Raw_Data!L135)="0"), FALSE, "Review")
        )
    )
)</f>
        <v>0</v>
      </c>
    </row>
    <row r="136" spans="1:13" x14ac:dyDescent="0.4">
      <c r="A136" s="2" t="str">
        <f>IFERROR(TRIM(Raw_Data!A136), "Review")</f>
        <v>EMP1134</v>
      </c>
      <c r="B136" s="2" t="str">
        <f>IFERROR(TRIM(Raw_Data!B136), "Review")</f>
        <v>Bob</v>
      </c>
      <c r="C136" s="2" t="str">
        <f>IFERROR(TRIM(Raw_Data!C136), "Review")</f>
        <v>Davis</v>
      </c>
      <c r="D136" s="2">
        <f>IF(Raw_Data!D136="", "", IFERROR(VALUE(Raw_Data!D136), ""))</f>
        <v>40</v>
      </c>
      <c r="E136" s="2" t="str">
        <f>IFERROR(LEFT(Raw_Data!E136,SEARCH("-",Raw_Data!E136)-1),"Review")</f>
        <v>Cloud Tech</v>
      </c>
      <c r="F136" s="2" t="str">
        <f>IFERROR(_xlfn.TEXTAFTER(Raw_Data!E136,"-"),"Review")</f>
        <v>Nevada</v>
      </c>
      <c r="G136" s="2" t="str">
        <f>IFERROR(TRIM(Raw_Data!F136), "Review")</f>
        <v>Pending</v>
      </c>
      <c r="H136" s="3" t="str">
        <f>IFERROR(TEXT(Raw_Data!G136, "YYYY-MM-DD"),"Review")</f>
        <v>2024-11-22</v>
      </c>
      <c r="I136" s="4">
        <f>IF(Raw_Data!H136="", "", IFERROR(VALUE(Raw_Data!H136), ""))</f>
        <v>57035.51</v>
      </c>
      <c r="J136" s="2" t="str">
        <f>IF(Raw_Data!I136="", "", IF(ISNUMBER(FIND("@", Raw_Data!I136)), Raw_Data!I136, "Review"))</f>
        <v>bob.davis@example.com</v>
      </c>
      <c r="K136" s="5" t="str">
        <f>IFERROR(TEXT(ABS(Raw_Data!J136), "0"), "Review")</f>
        <v>3230241025</v>
      </c>
      <c r="L136" s="2" t="str">
        <f>IFERROR(TRIM(Raw_Data!K136), "Review")</f>
        <v>Poor</v>
      </c>
      <c r="M136" s="2" t="b">
        <f>IF(Raw_Data!L136="", "",
    IF(ISLOGICAL(Raw_Data!L136), Raw_Data!L136,
        IF(OR(UPPER(Raw_Data!L136)="TRUE", UPPER(Raw_Data!L136)="YES", UPPER(Raw_Data!L136)="1"), TRUE,
            IF(OR(UPPER(Raw_Data!L136)="FALSE", UPPER(Raw_Data!L136)="NO", UPPER(Raw_Data!L136)="0"), FALSE, "Review")
        )
    )
)</f>
        <v>1</v>
      </c>
    </row>
    <row r="137" spans="1:13" x14ac:dyDescent="0.4">
      <c r="A137" s="2" t="str">
        <f>IFERROR(TRIM(Raw_Data!A137), "Review")</f>
        <v>EMP1135</v>
      </c>
      <c r="B137" s="2" t="str">
        <f>IFERROR(TRIM(Raw_Data!B137), "Review")</f>
        <v>Eva</v>
      </c>
      <c r="C137" s="2" t="str">
        <f>IFERROR(TRIM(Raw_Data!C137), "Review")</f>
        <v>Jones</v>
      </c>
      <c r="D137" s="2">
        <f>IF(Raw_Data!D137="", "", IFERROR(VALUE(Raw_Data!D137), ""))</f>
        <v>25</v>
      </c>
      <c r="E137" s="2" t="str">
        <f>IFERROR(LEFT(Raw_Data!E137,SEARCH("-",Raw_Data!E137)-1),"Review")</f>
        <v>Cloud Tech</v>
      </c>
      <c r="F137" s="2" t="str">
        <f>IFERROR(_xlfn.TEXTAFTER(Raw_Data!E137,"-"),"Review")</f>
        <v>California</v>
      </c>
      <c r="G137" s="2" t="str">
        <f>IFERROR(TRIM(Raw_Data!F137), "Review")</f>
        <v>Active</v>
      </c>
      <c r="H137" s="3" t="str">
        <f>IFERROR(TEXT(Raw_Data!G137, "YYYY-MM-DD"),"Review")</f>
        <v>2021-08-23</v>
      </c>
      <c r="I137" s="4">
        <f>IF(Raw_Data!H137="", "", IFERROR(VALUE(Raw_Data!H137), ""))</f>
        <v>75092.429999999993</v>
      </c>
      <c r="J137" s="2" t="str">
        <f>IF(Raw_Data!I137="", "", IF(ISNUMBER(FIND("@", Raw_Data!I137)), Raw_Data!I137, "Review"))</f>
        <v>eva.jones@example.com</v>
      </c>
      <c r="K137" s="5" t="str">
        <f>IFERROR(TEXT(ABS(Raw_Data!J137), "0"), "Review")</f>
        <v>1534735527</v>
      </c>
      <c r="L137" s="2" t="str">
        <f>IFERROR(TRIM(Raw_Data!K137), "Review")</f>
        <v>Excellent</v>
      </c>
      <c r="M137" s="2" t="b">
        <f>IF(Raw_Data!L137="", "",
    IF(ISLOGICAL(Raw_Data!L137), Raw_Data!L137,
        IF(OR(UPPER(Raw_Data!L137)="TRUE", UPPER(Raw_Data!L137)="YES", UPPER(Raw_Data!L137)="1"), TRUE,
            IF(OR(UPPER(Raw_Data!L137)="FALSE", UPPER(Raw_Data!L137)="NO", UPPER(Raw_Data!L137)="0"), FALSE, "Review")
        )
    )
)</f>
        <v>1</v>
      </c>
    </row>
    <row r="138" spans="1:13" x14ac:dyDescent="0.4">
      <c r="A138" s="2" t="str">
        <f>IFERROR(TRIM(Raw_Data!A138), "Review")</f>
        <v>EMP1136</v>
      </c>
      <c r="B138" s="2" t="str">
        <f>IFERROR(TRIM(Raw_Data!B138), "Review")</f>
        <v>David</v>
      </c>
      <c r="C138" s="2" t="str">
        <f>IFERROR(TRIM(Raw_Data!C138), "Review")</f>
        <v>Smith</v>
      </c>
      <c r="D138" s="2" t="str">
        <f>IF(Raw_Data!D138="", "", IFERROR(VALUE(Raw_Data!D138), ""))</f>
        <v/>
      </c>
      <c r="E138" s="2" t="str">
        <f>IFERROR(LEFT(Raw_Data!E138,SEARCH("-",Raw_Data!E138)-1),"Review")</f>
        <v>Finance</v>
      </c>
      <c r="F138" s="2" t="str">
        <f>IFERROR(_xlfn.TEXTAFTER(Raw_Data!E138,"-"),"Review")</f>
        <v>Illinois</v>
      </c>
      <c r="G138" s="2" t="str">
        <f>IFERROR(TRIM(Raw_Data!F138), "Review")</f>
        <v>Pending</v>
      </c>
      <c r="H138" s="3" t="str">
        <f>IFERROR(TEXT(Raw_Data!G138, "YYYY-MM-DD"),"Review")</f>
        <v>2024-06-11</v>
      </c>
      <c r="I138" s="4">
        <f>IF(Raw_Data!H138="", "", IFERROR(VALUE(Raw_Data!H138), ""))</f>
        <v>62603.98</v>
      </c>
      <c r="J138" s="2" t="str">
        <f>IF(Raw_Data!I138="", "", IF(ISNUMBER(FIND("@", Raw_Data!I138)), Raw_Data!I138, "Review"))</f>
        <v>david.smith@example.com</v>
      </c>
      <c r="K138" s="5" t="str">
        <f>IFERROR(TEXT(ABS(Raw_Data!J138), "0"), "Review")</f>
        <v>9611223385</v>
      </c>
      <c r="L138" s="2" t="str">
        <f>IFERROR(TRIM(Raw_Data!K138), "Review")</f>
        <v>Good</v>
      </c>
      <c r="M138" s="2" t="b">
        <f>IF(Raw_Data!L138="", "",
    IF(ISLOGICAL(Raw_Data!L138), Raw_Data!L138,
        IF(OR(UPPER(Raw_Data!L138)="TRUE", UPPER(Raw_Data!L138)="YES", UPPER(Raw_Data!L138)="1"), TRUE,
            IF(OR(UPPER(Raw_Data!L138)="FALSE", UPPER(Raw_Data!L138)="NO", UPPER(Raw_Data!L138)="0"), FALSE, "Review")
        )
    )
)</f>
        <v>0</v>
      </c>
    </row>
    <row r="139" spans="1:13" x14ac:dyDescent="0.4">
      <c r="A139" s="2" t="str">
        <f>IFERROR(TRIM(Raw_Data!A139), "Review")</f>
        <v>EMP1137</v>
      </c>
      <c r="B139" s="2" t="str">
        <f>IFERROR(TRIM(Raw_Data!B139), "Review")</f>
        <v>Grace</v>
      </c>
      <c r="C139" s="2" t="str">
        <f>IFERROR(TRIM(Raw_Data!C139), "Review")</f>
        <v>Smith</v>
      </c>
      <c r="D139" s="2" t="str">
        <f>IF(Raw_Data!D139="", "", IFERROR(VALUE(Raw_Data!D139), ""))</f>
        <v/>
      </c>
      <c r="E139" s="2" t="str">
        <f>IFERROR(LEFT(Raw_Data!E139,SEARCH("-",Raw_Data!E139)-1),"Review")</f>
        <v>DevOps</v>
      </c>
      <c r="F139" s="2" t="str">
        <f>IFERROR(_xlfn.TEXTAFTER(Raw_Data!E139,"-"),"Review")</f>
        <v>New York</v>
      </c>
      <c r="G139" s="2" t="str">
        <f>IFERROR(TRIM(Raw_Data!F139), "Review")</f>
        <v>Inactive</v>
      </c>
      <c r="H139" s="3" t="str">
        <f>IFERROR(TEXT(Raw_Data!G139, "YYYY-MM-DD"),"Review")</f>
        <v>2023-04-09</v>
      </c>
      <c r="I139" s="4">
        <f>IF(Raw_Data!H139="", "", IFERROR(VALUE(Raw_Data!H139), ""))</f>
        <v>60018.239999999998</v>
      </c>
      <c r="J139" s="2" t="str">
        <f>IF(Raw_Data!I139="", "", IF(ISNUMBER(FIND("@", Raw_Data!I139)), Raw_Data!I139, "Review"))</f>
        <v>grace.smith@example.com</v>
      </c>
      <c r="K139" s="5" t="str">
        <f>IFERROR(TEXT(ABS(Raw_Data!J139), "0"), "Review")</f>
        <v>5596309937</v>
      </c>
      <c r="L139" s="2" t="str">
        <f>IFERROR(TRIM(Raw_Data!K139), "Review")</f>
        <v>Excellent</v>
      </c>
      <c r="M139" s="2" t="b">
        <f>IF(Raw_Data!L139="", "",
    IF(ISLOGICAL(Raw_Data!L139), Raw_Data!L139,
        IF(OR(UPPER(Raw_Data!L139)="TRUE", UPPER(Raw_Data!L139)="YES", UPPER(Raw_Data!L139)="1"), TRUE,
            IF(OR(UPPER(Raw_Data!L139)="FALSE", UPPER(Raw_Data!L139)="NO", UPPER(Raw_Data!L139)="0"), FALSE, "Review")
        )
    )
)</f>
        <v>0</v>
      </c>
    </row>
    <row r="140" spans="1:13" x14ac:dyDescent="0.4">
      <c r="A140" s="2" t="str">
        <f>IFERROR(TRIM(Raw_Data!A140), "Review")</f>
        <v>EMP1138</v>
      </c>
      <c r="B140" s="2" t="str">
        <f>IFERROR(TRIM(Raw_Data!B140), "Review")</f>
        <v>Eva</v>
      </c>
      <c r="C140" s="2" t="str">
        <f>IFERROR(TRIM(Raw_Data!C140), "Review")</f>
        <v>Davis</v>
      </c>
      <c r="D140" s="2">
        <f>IF(Raw_Data!D140="", "", IFERROR(VALUE(Raw_Data!D140), ""))</f>
        <v>40</v>
      </c>
      <c r="E140" s="2" t="str">
        <f>IFERROR(LEFT(Raw_Data!E140,SEARCH("-",Raw_Data!E140)-1),"Review")</f>
        <v>HR</v>
      </c>
      <c r="F140" s="2" t="str">
        <f>IFERROR(_xlfn.TEXTAFTER(Raw_Data!E140,"-"),"Review")</f>
        <v>Nevada</v>
      </c>
      <c r="G140" s="2" t="str">
        <f>IFERROR(TRIM(Raw_Data!F140), "Review")</f>
        <v>Active</v>
      </c>
      <c r="H140" s="3" t="str">
        <f>IFERROR(TEXT(Raw_Data!G140, "YYYY-MM-DD"),"Review")</f>
        <v>2024-07-05</v>
      </c>
      <c r="I140" s="4">
        <f>IF(Raw_Data!H140="", "", IFERROR(VALUE(Raw_Data!H140), ""))</f>
        <v>82567.73</v>
      </c>
      <c r="J140" s="2" t="str">
        <f>IF(Raw_Data!I140="", "", IF(ISNUMBER(FIND("@", Raw_Data!I140)), Raw_Data!I140, "Review"))</f>
        <v>eva.davis@example.com</v>
      </c>
      <c r="K140" s="5" t="str">
        <f>IFERROR(TEXT(ABS(Raw_Data!J140), "0"), "Review")</f>
        <v>4253042896</v>
      </c>
      <c r="L140" s="2" t="str">
        <f>IFERROR(TRIM(Raw_Data!K140), "Review")</f>
        <v>Poor</v>
      </c>
      <c r="M140" s="2" t="b">
        <f>IF(Raw_Data!L140="", "",
    IF(ISLOGICAL(Raw_Data!L140), Raw_Data!L140,
        IF(OR(UPPER(Raw_Data!L140)="TRUE", UPPER(Raw_Data!L140)="YES", UPPER(Raw_Data!L140)="1"), TRUE,
            IF(OR(UPPER(Raw_Data!L140)="FALSE", UPPER(Raw_Data!L140)="NO", UPPER(Raw_Data!L140)="0"), FALSE, "Review")
        )
    )
)</f>
        <v>1</v>
      </c>
    </row>
    <row r="141" spans="1:13" x14ac:dyDescent="0.4">
      <c r="A141" s="2" t="str">
        <f>IFERROR(TRIM(Raw_Data!A141), "Review")</f>
        <v>EMP1139</v>
      </c>
      <c r="B141" s="2" t="str">
        <f>IFERROR(TRIM(Raw_Data!B141), "Review")</f>
        <v>Charlie</v>
      </c>
      <c r="C141" s="2" t="str">
        <f>IFERROR(TRIM(Raw_Data!C141), "Review")</f>
        <v>Smith</v>
      </c>
      <c r="D141" s="2">
        <f>IF(Raw_Data!D141="", "", IFERROR(VALUE(Raw_Data!D141), ""))</f>
        <v>25</v>
      </c>
      <c r="E141" s="2" t="str">
        <f>IFERROR(LEFT(Raw_Data!E141,SEARCH("-",Raw_Data!E141)-1),"Review")</f>
        <v>Finance</v>
      </c>
      <c r="F141" s="2" t="str">
        <f>IFERROR(_xlfn.TEXTAFTER(Raw_Data!E141,"-"),"Review")</f>
        <v>California</v>
      </c>
      <c r="G141" s="2" t="str">
        <f>IFERROR(TRIM(Raw_Data!F141), "Review")</f>
        <v>Pending</v>
      </c>
      <c r="H141" s="3" t="str">
        <f>IFERROR(TEXT(Raw_Data!G141, "YYYY-MM-DD"),"Review")</f>
        <v>2021-09-04</v>
      </c>
      <c r="I141" s="4">
        <f>IF(Raw_Data!H141="", "", IFERROR(VALUE(Raw_Data!H141), ""))</f>
        <v>94725.71</v>
      </c>
      <c r="J141" s="2" t="str">
        <f>IF(Raw_Data!I141="", "", IF(ISNUMBER(FIND("@", Raw_Data!I141)), Raw_Data!I141, "Review"))</f>
        <v>charlie.smith@example.com</v>
      </c>
      <c r="K141" s="5" t="str">
        <f>IFERROR(TEXT(ABS(Raw_Data!J141), "0"), "Review")</f>
        <v>3179128684</v>
      </c>
      <c r="L141" s="2" t="str">
        <f>IFERROR(TRIM(Raw_Data!K141), "Review")</f>
        <v>Poor</v>
      </c>
      <c r="M141" s="2" t="b">
        <f>IF(Raw_Data!L141="", "",
    IF(ISLOGICAL(Raw_Data!L141), Raw_Data!L141,
        IF(OR(UPPER(Raw_Data!L141)="TRUE", UPPER(Raw_Data!L141)="YES", UPPER(Raw_Data!L141)="1"), TRUE,
            IF(OR(UPPER(Raw_Data!L141)="FALSE", UPPER(Raw_Data!L141)="NO", UPPER(Raw_Data!L141)="0"), FALSE, "Review")
        )
    )
)</f>
        <v>0</v>
      </c>
    </row>
    <row r="142" spans="1:13" x14ac:dyDescent="0.4">
      <c r="A142" s="2" t="str">
        <f>IFERROR(TRIM(Raw_Data!A142), "Review")</f>
        <v>EMP1140</v>
      </c>
      <c r="B142" s="2" t="str">
        <f>IFERROR(TRIM(Raw_Data!B142), "Review")</f>
        <v>Eva</v>
      </c>
      <c r="C142" s="2" t="str">
        <f>IFERROR(TRIM(Raw_Data!C142), "Review")</f>
        <v>Garcia</v>
      </c>
      <c r="D142" s="2">
        <f>IF(Raw_Data!D142="", "", IFERROR(VALUE(Raw_Data!D142), ""))</f>
        <v>40</v>
      </c>
      <c r="E142" s="2" t="str">
        <f>IFERROR(LEFT(Raw_Data!E142,SEARCH("-",Raw_Data!E142)-1),"Review")</f>
        <v>HR</v>
      </c>
      <c r="F142" s="2" t="str">
        <f>IFERROR(_xlfn.TEXTAFTER(Raw_Data!E142,"-"),"Review")</f>
        <v>New York</v>
      </c>
      <c r="G142" s="2" t="str">
        <f>IFERROR(TRIM(Raw_Data!F142), "Review")</f>
        <v>Inactive</v>
      </c>
      <c r="H142" s="3" t="str">
        <f>IFERROR(TEXT(Raw_Data!G142, "YYYY-MM-DD"),"Review")</f>
        <v>2024-10-13</v>
      </c>
      <c r="I142" s="4">
        <f>IF(Raw_Data!H142="", "", IFERROR(VALUE(Raw_Data!H142), ""))</f>
        <v>83824.56</v>
      </c>
      <c r="J142" s="2" t="str">
        <f>IF(Raw_Data!I142="", "", IF(ISNUMBER(FIND("@", Raw_Data!I142)), Raw_Data!I142, "Review"))</f>
        <v>eva.garcia@example.com</v>
      </c>
      <c r="K142" s="5" t="str">
        <f>IFERROR(TEXT(ABS(Raw_Data!J142), "0"), "Review")</f>
        <v>7872558776</v>
      </c>
      <c r="L142" s="2" t="str">
        <f>IFERROR(TRIM(Raw_Data!K142), "Review")</f>
        <v>Poor</v>
      </c>
      <c r="M142" s="2" t="b">
        <f>IF(Raw_Data!L142="", "",
    IF(ISLOGICAL(Raw_Data!L142), Raw_Data!L142,
        IF(OR(UPPER(Raw_Data!L142)="TRUE", UPPER(Raw_Data!L142)="YES", UPPER(Raw_Data!L142)="1"), TRUE,
            IF(OR(UPPER(Raw_Data!L142)="FALSE", UPPER(Raw_Data!L142)="NO", UPPER(Raw_Data!L142)="0"), FALSE, "Review")
        )
    )
)</f>
        <v>0</v>
      </c>
    </row>
    <row r="143" spans="1:13" x14ac:dyDescent="0.4">
      <c r="A143" s="2" t="str">
        <f>IFERROR(TRIM(Raw_Data!A143), "Review")</f>
        <v>EMP1141</v>
      </c>
      <c r="B143" s="2" t="str">
        <f>IFERROR(TRIM(Raw_Data!B143), "Review")</f>
        <v>Frank</v>
      </c>
      <c r="C143" s="2" t="str">
        <f>IFERROR(TRIM(Raw_Data!C143), "Review")</f>
        <v>Smith</v>
      </c>
      <c r="D143" s="2" t="str">
        <f>IF(Raw_Data!D143="", "", IFERROR(VALUE(Raw_Data!D143), ""))</f>
        <v/>
      </c>
      <c r="E143" s="2" t="str">
        <f>IFERROR(LEFT(Raw_Data!E143,SEARCH("-",Raw_Data!E143)-1),"Review")</f>
        <v>HR</v>
      </c>
      <c r="F143" s="2" t="str">
        <f>IFERROR(_xlfn.TEXTAFTER(Raw_Data!E143,"-"),"Review")</f>
        <v>Nevada</v>
      </c>
      <c r="G143" s="2" t="str">
        <f>IFERROR(TRIM(Raw_Data!F143), "Review")</f>
        <v>Inactive</v>
      </c>
      <c r="H143" s="3" t="str">
        <f>IFERROR(TEXT(Raw_Data!G143, "YYYY-MM-DD"),"Review")</f>
        <v>2020-02-14</v>
      </c>
      <c r="I143" s="4">
        <f>IF(Raw_Data!H143="", "", IFERROR(VALUE(Raw_Data!H143), ""))</f>
        <v>118456.11</v>
      </c>
      <c r="J143" s="2" t="str">
        <f>IF(Raw_Data!I143="", "", IF(ISNUMBER(FIND("@", Raw_Data!I143)), Raw_Data!I143, "Review"))</f>
        <v>frank.smith@example.com</v>
      </c>
      <c r="K143" s="5" t="str">
        <f>IFERROR(TEXT(ABS(Raw_Data!J143), "0"), "Review")</f>
        <v>4969033372</v>
      </c>
      <c r="L143" s="2" t="str">
        <f>IFERROR(TRIM(Raw_Data!K143), "Review")</f>
        <v>Excellent</v>
      </c>
      <c r="M143" s="2" t="b">
        <f>IF(Raw_Data!L143="", "",
    IF(ISLOGICAL(Raw_Data!L143), Raw_Data!L143,
        IF(OR(UPPER(Raw_Data!L143)="TRUE", UPPER(Raw_Data!L143)="YES", UPPER(Raw_Data!L143)="1"), TRUE,
            IF(OR(UPPER(Raw_Data!L143)="FALSE", UPPER(Raw_Data!L143)="NO", UPPER(Raw_Data!L143)="0"), FALSE, "Review")
        )
    )
)</f>
        <v>1</v>
      </c>
    </row>
    <row r="144" spans="1:13" x14ac:dyDescent="0.4">
      <c r="A144" s="2" t="str">
        <f>IFERROR(TRIM(Raw_Data!A144), "Review")</f>
        <v>EMP1142</v>
      </c>
      <c r="B144" s="2" t="str">
        <f>IFERROR(TRIM(Raw_Data!B144), "Review")</f>
        <v>Eva</v>
      </c>
      <c r="C144" s="2" t="str">
        <f>IFERROR(TRIM(Raw_Data!C144), "Review")</f>
        <v>Brown</v>
      </c>
      <c r="D144" s="2">
        <f>IF(Raw_Data!D144="", "", IFERROR(VALUE(Raw_Data!D144), ""))</f>
        <v>25</v>
      </c>
      <c r="E144" s="2" t="str">
        <f>IFERROR(LEFT(Raw_Data!E144,SEARCH("-",Raw_Data!E144)-1),"Review")</f>
        <v>Sales</v>
      </c>
      <c r="F144" s="2" t="str">
        <f>IFERROR(_xlfn.TEXTAFTER(Raw_Data!E144,"-"),"Review")</f>
        <v>Nevada</v>
      </c>
      <c r="G144" s="2" t="str">
        <f>IFERROR(TRIM(Raw_Data!F144), "Review")</f>
        <v>Pending</v>
      </c>
      <c r="H144" s="3" t="str">
        <f>IFERROR(TEXT(Raw_Data!G144, "YYYY-MM-DD"),"Review")</f>
        <v>2020-04-10</v>
      </c>
      <c r="I144" s="4">
        <f>IF(Raw_Data!H144="", "", IFERROR(VALUE(Raw_Data!H144), ""))</f>
        <v>113743.19</v>
      </c>
      <c r="J144" s="2" t="str">
        <f>IF(Raw_Data!I144="", "", IF(ISNUMBER(FIND("@", Raw_Data!I144)), Raw_Data!I144, "Review"))</f>
        <v>eva.brown@example.com</v>
      </c>
      <c r="K144" s="5" t="str">
        <f>IFERROR(TEXT(ABS(Raw_Data!J144), "0"), "Review")</f>
        <v>6346692547</v>
      </c>
      <c r="L144" s="2" t="str">
        <f>IFERROR(TRIM(Raw_Data!K144), "Review")</f>
        <v>Good</v>
      </c>
      <c r="M144" s="2" t="b">
        <f>IF(Raw_Data!L144="", "",
    IF(ISLOGICAL(Raw_Data!L144), Raw_Data!L144,
        IF(OR(UPPER(Raw_Data!L144)="TRUE", UPPER(Raw_Data!L144)="YES", UPPER(Raw_Data!L144)="1"), TRUE,
            IF(OR(UPPER(Raw_Data!L144)="FALSE", UPPER(Raw_Data!L144)="NO", UPPER(Raw_Data!L144)="0"), FALSE, "Review")
        )
    )
)</f>
        <v>1</v>
      </c>
    </row>
    <row r="145" spans="1:13" x14ac:dyDescent="0.4">
      <c r="A145" s="2" t="str">
        <f>IFERROR(TRIM(Raw_Data!A145), "Review")</f>
        <v>EMP1143</v>
      </c>
      <c r="B145" s="2" t="str">
        <f>IFERROR(TRIM(Raw_Data!B145), "Review")</f>
        <v>Eva</v>
      </c>
      <c r="C145" s="2" t="str">
        <f>IFERROR(TRIM(Raw_Data!C145), "Review")</f>
        <v>Garcia</v>
      </c>
      <c r="D145" s="2">
        <f>IF(Raw_Data!D145="", "", IFERROR(VALUE(Raw_Data!D145), ""))</f>
        <v>30</v>
      </c>
      <c r="E145" s="2" t="str">
        <f>IFERROR(LEFT(Raw_Data!E145,SEARCH("-",Raw_Data!E145)-1),"Review")</f>
        <v>Sales</v>
      </c>
      <c r="F145" s="2" t="str">
        <f>IFERROR(_xlfn.TEXTAFTER(Raw_Data!E145,"-"),"Review")</f>
        <v>California</v>
      </c>
      <c r="G145" s="2" t="str">
        <f>IFERROR(TRIM(Raw_Data!F145), "Review")</f>
        <v>Active</v>
      </c>
      <c r="H145" s="3" t="str">
        <f>IFERROR(TEXT(Raw_Data!G145, "YYYY-MM-DD"),"Review")</f>
        <v>2023-07-27</v>
      </c>
      <c r="I145" s="4">
        <f>IF(Raw_Data!H145="", "", IFERROR(VALUE(Raw_Data!H145), ""))</f>
        <v>63309.24</v>
      </c>
      <c r="J145" s="2" t="str">
        <f>IF(Raw_Data!I145="", "", IF(ISNUMBER(FIND("@", Raw_Data!I145)), Raw_Data!I145, "Review"))</f>
        <v>eva.garcia@example.com</v>
      </c>
      <c r="K145" s="5" t="str">
        <f>IFERROR(TEXT(ABS(Raw_Data!J145), "0"), "Review")</f>
        <v>1214785389</v>
      </c>
      <c r="L145" s="2" t="str">
        <f>IFERROR(TRIM(Raw_Data!K145), "Review")</f>
        <v>Good</v>
      </c>
      <c r="M145" s="2" t="b">
        <f>IF(Raw_Data!L145="", "",
    IF(ISLOGICAL(Raw_Data!L145), Raw_Data!L145,
        IF(OR(UPPER(Raw_Data!L145)="TRUE", UPPER(Raw_Data!L145)="YES", UPPER(Raw_Data!L145)="1"), TRUE,
            IF(OR(UPPER(Raw_Data!L145)="FALSE", UPPER(Raw_Data!L145)="NO", UPPER(Raw_Data!L145)="0"), FALSE, "Review")
        )
    )
)</f>
        <v>0</v>
      </c>
    </row>
    <row r="146" spans="1:13" x14ac:dyDescent="0.4">
      <c r="A146" s="2" t="str">
        <f>IFERROR(TRIM(Raw_Data!A146), "Review")</f>
        <v>EMP1144</v>
      </c>
      <c r="B146" s="2" t="str">
        <f>IFERROR(TRIM(Raw_Data!B146), "Review")</f>
        <v>Charlie</v>
      </c>
      <c r="C146" s="2" t="str">
        <f>IFERROR(TRIM(Raw_Data!C146), "Review")</f>
        <v>Garcia</v>
      </c>
      <c r="D146" s="2">
        <f>IF(Raw_Data!D146="", "", IFERROR(VALUE(Raw_Data!D146), ""))</f>
        <v>25</v>
      </c>
      <c r="E146" s="2" t="str">
        <f>IFERROR(LEFT(Raw_Data!E146,SEARCH("-",Raw_Data!E146)-1),"Review")</f>
        <v>DevOps</v>
      </c>
      <c r="F146" s="2" t="str">
        <f>IFERROR(_xlfn.TEXTAFTER(Raw_Data!E146,"-"),"Review")</f>
        <v>Nevada</v>
      </c>
      <c r="G146" s="2" t="str">
        <f>IFERROR(TRIM(Raw_Data!F146), "Review")</f>
        <v>Active</v>
      </c>
      <c r="H146" s="3" t="str">
        <f>IFERROR(TEXT(Raw_Data!G146, "YYYY-MM-DD"),"Review")</f>
        <v>2021-09-24</v>
      </c>
      <c r="I146" s="4">
        <f>IF(Raw_Data!H146="", "", IFERROR(VALUE(Raw_Data!H146), ""))</f>
        <v>105202.73</v>
      </c>
      <c r="J146" s="2" t="str">
        <f>IF(Raw_Data!I146="", "", IF(ISNUMBER(FIND("@", Raw_Data!I146)), Raw_Data!I146, "Review"))</f>
        <v>charlie.garcia@example.com</v>
      </c>
      <c r="K146" s="5" t="str">
        <f>IFERROR(TEXT(ABS(Raw_Data!J146), "0"), "Review")</f>
        <v>7895677664</v>
      </c>
      <c r="L146" s="2" t="str">
        <f>IFERROR(TRIM(Raw_Data!K146), "Review")</f>
        <v>Excellent</v>
      </c>
      <c r="M146" s="2" t="b">
        <f>IF(Raw_Data!L146="", "",
    IF(ISLOGICAL(Raw_Data!L146), Raw_Data!L146,
        IF(OR(UPPER(Raw_Data!L146)="TRUE", UPPER(Raw_Data!L146)="YES", UPPER(Raw_Data!L146)="1"), TRUE,
            IF(OR(UPPER(Raw_Data!L146)="FALSE", UPPER(Raw_Data!L146)="NO", UPPER(Raw_Data!L146)="0"), FALSE, "Review")
        )
    )
)</f>
        <v>1</v>
      </c>
    </row>
    <row r="147" spans="1:13" x14ac:dyDescent="0.4">
      <c r="A147" s="2" t="str">
        <f>IFERROR(TRIM(Raw_Data!A147), "Review")</f>
        <v>EMP1145</v>
      </c>
      <c r="B147" s="2" t="str">
        <f>IFERROR(TRIM(Raw_Data!B147), "Review")</f>
        <v>Frank</v>
      </c>
      <c r="C147" s="2" t="str">
        <f>IFERROR(TRIM(Raw_Data!C147), "Review")</f>
        <v>Davis</v>
      </c>
      <c r="D147" s="2">
        <f>IF(Raw_Data!D147="", "", IFERROR(VALUE(Raw_Data!D147), ""))</f>
        <v>30</v>
      </c>
      <c r="E147" s="2" t="str">
        <f>IFERROR(LEFT(Raw_Data!E147,SEARCH("-",Raw_Data!E147)-1),"Review")</f>
        <v>Cloud Tech</v>
      </c>
      <c r="F147" s="2" t="str">
        <f>IFERROR(_xlfn.TEXTAFTER(Raw_Data!E147,"-"),"Review")</f>
        <v>California</v>
      </c>
      <c r="G147" s="2" t="str">
        <f>IFERROR(TRIM(Raw_Data!F147), "Review")</f>
        <v>Inactive</v>
      </c>
      <c r="H147" s="3" t="str">
        <f>IFERROR(TEXT(Raw_Data!G147, "YYYY-MM-DD"),"Review")</f>
        <v>2024-03-10</v>
      </c>
      <c r="I147" s="4">
        <f>IF(Raw_Data!H147="", "", IFERROR(VALUE(Raw_Data!H147), ""))</f>
        <v>79085.22</v>
      </c>
      <c r="J147" s="2" t="str">
        <f>IF(Raw_Data!I147="", "", IF(ISNUMBER(FIND("@", Raw_Data!I147)), Raw_Data!I147, "Review"))</f>
        <v>frank.davis@example.com</v>
      </c>
      <c r="K147" s="5" t="str">
        <f>IFERROR(TEXT(ABS(Raw_Data!J147), "0"), "Review")</f>
        <v>7546027340</v>
      </c>
      <c r="L147" s="2" t="str">
        <f>IFERROR(TRIM(Raw_Data!K147), "Review")</f>
        <v>Good</v>
      </c>
      <c r="M147" s="2" t="b">
        <f>IF(Raw_Data!L147="", "",
    IF(ISLOGICAL(Raw_Data!L147), Raw_Data!L147,
        IF(OR(UPPER(Raw_Data!L147)="TRUE", UPPER(Raw_Data!L147)="YES", UPPER(Raw_Data!L147)="1"), TRUE,
            IF(OR(UPPER(Raw_Data!L147)="FALSE", UPPER(Raw_Data!L147)="NO", UPPER(Raw_Data!L147)="0"), FALSE, "Review")
        )
    )
)</f>
        <v>1</v>
      </c>
    </row>
    <row r="148" spans="1:13" x14ac:dyDescent="0.4">
      <c r="A148" s="2" t="str">
        <f>IFERROR(TRIM(Raw_Data!A148), "Review")</f>
        <v>EMP1146</v>
      </c>
      <c r="B148" s="2" t="str">
        <f>IFERROR(TRIM(Raw_Data!B148), "Review")</f>
        <v>Frank</v>
      </c>
      <c r="C148" s="2" t="str">
        <f>IFERROR(TRIM(Raw_Data!C148), "Review")</f>
        <v>Williams</v>
      </c>
      <c r="D148" s="2" t="str">
        <f>IF(Raw_Data!D148="", "", IFERROR(VALUE(Raw_Data!D148), ""))</f>
        <v/>
      </c>
      <c r="E148" s="2" t="str">
        <f>IFERROR(LEFT(Raw_Data!E148,SEARCH("-",Raw_Data!E148)-1),"Review")</f>
        <v>Sales</v>
      </c>
      <c r="F148" s="2" t="str">
        <f>IFERROR(_xlfn.TEXTAFTER(Raw_Data!E148,"-"),"Review")</f>
        <v>California</v>
      </c>
      <c r="G148" s="2" t="str">
        <f>IFERROR(TRIM(Raw_Data!F148), "Review")</f>
        <v>Active</v>
      </c>
      <c r="H148" s="3" t="str">
        <f>IFERROR(TEXT(Raw_Data!G148, "YYYY-MM-DD"),"Review")</f>
        <v>2021-06-10</v>
      </c>
      <c r="I148" s="4">
        <f>IF(Raw_Data!H148="", "", IFERROR(VALUE(Raw_Data!H148), ""))</f>
        <v>113983.43</v>
      </c>
      <c r="J148" s="2" t="str">
        <f>IF(Raw_Data!I148="", "", IF(ISNUMBER(FIND("@", Raw_Data!I148)), Raw_Data!I148, "Review"))</f>
        <v>frank.williams@example.com</v>
      </c>
      <c r="K148" s="5" t="str">
        <f>IFERROR(TEXT(ABS(Raw_Data!J148), "0"), "Review")</f>
        <v>5148881430</v>
      </c>
      <c r="L148" s="2" t="str">
        <f>IFERROR(TRIM(Raw_Data!K148), "Review")</f>
        <v>Excellent</v>
      </c>
      <c r="M148" s="2" t="b">
        <f>IF(Raw_Data!L148="", "",
    IF(ISLOGICAL(Raw_Data!L148), Raw_Data!L148,
        IF(OR(UPPER(Raw_Data!L148)="TRUE", UPPER(Raw_Data!L148)="YES", UPPER(Raw_Data!L148)="1"), TRUE,
            IF(OR(UPPER(Raw_Data!L148)="FALSE", UPPER(Raw_Data!L148)="NO", UPPER(Raw_Data!L148)="0"), FALSE, "Review")
        )
    )
)</f>
        <v>1</v>
      </c>
    </row>
    <row r="149" spans="1:13" x14ac:dyDescent="0.4">
      <c r="A149" s="2" t="str">
        <f>IFERROR(TRIM(Raw_Data!A149), "Review")</f>
        <v>EMP1147</v>
      </c>
      <c r="B149" s="2" t="str">
        <f>IFERROR(TRIM(Raw_Data!B149), "Review")</f>
        <v>Eva</v>
      </c>
      <c r="C149" s="2" t="str">
        <f>IFERROR(TRIM(Raw_Data!C149), "Review")</f>
        <v>Williams</v>
      </c>
      <c r="D149" s="2">
        <f>IF(Raw_Data!D149="", "", IFERROR(VALUE(Raw_Data!D149), ""))</f>
        <v>35</v>
      </c>
      <c r="E149" s="2" t="str">
        <f>IFERROR(LEFT(Raw_Data!E149,SEARCH("-",Raw_Data!E149)-1),"Review")</f>
        <v>Cloud Tech</v>
      </c>
      <c r="F149" s="2" t="str">
        <f>IFERROR(_xlfn.TEXTAFTER(Raw_Data!E149,"-"),"Review")</f>
        <v>Florida</v>
      </c>
      <c r="G149" s="2" t="str">
        <f>IFERROR(TRIM(Raw_Data!F149), "Review")</f>
        <v>Active</v>
      </c>
      <c r="H149" s="3" t="str">
        <f>IFERROR(TEXT(Raw_Data!G149, "YYYY-MM-DD"),"Review")</f>
        <v>2020-10-15</v>
      </c>
      <c r="I149" s="4">
        <f>IF(Raw_Data!H149="", "", IFERROR(VALUE(Raw_Data!H149), ""))</f>
        <v>102790.6</v>
      </c>
      <c r="J149" s="2" t="str">
        <f>IF(Raw_Data!I149="", "", IF(ISNUMBER(FIND("@", Raw_Data!I149)), Raw_Data!I149, "Review"))</f>
        <v>eva.williams@example.com</v>
      </c>
      <c r="K149" s="5" t="str">
        <f>IFERROR(TEXT(ABS(Raw_Data!J149), "0"), "Review")</f>
        <v>1150835353</v>
      </c>
      <c r="L149" s="2" t="str">
        <f>IFERROR(TRIM(Raw_Data!K149), "Review")</f>
        <v>Good</v>
      </c>
      <c r="M149" s="2" t="b">
        <f>IF(Raw_Data!L149="", "",
    IF(ISLOGICAL(Raw_Data!L149), Raw_Data!L149,
        IF(OR(UPPER(Raw_Data!L149)="TRUE", UPPER(Raw_Data!L149)="YES", UPPER(Raw_Data!L149)="1"), TRUE,
            IF(OR(UPPER(Raw_Data!L149)="FALSE", UPPER(Raw_Data!L149)="NO", UPPER(Raw_Data!L149)="0"), FALSE, "Review")
        )
    )
)</f>
        <v>0</v>
      </c>
    </row>
    <row r="150" spans="1:13" x14ac:dyDescent="0.4">
      <c r="A150" s="2" t="str">
        <f>IFERROR(TRIM(Raw_Data!A150), "Review")</f>
        <v>EMP1148</v>
      </c>
      <c r="B150" s="2" t="str">
        <f>IFERROR(TRIM(Raw_Data!B150), "Review")</f>
        <v>Grace</v>
      </c>
      <c r="C150" s="2" t="str">
        <f>IFERROR(TRIM(Raw_Data!C150), "Review")</f>
        <v>Smith</v>
      </c>
      <c r="D150" s="2" t="str">
        <f>IF(Raw_Data!D150="", "", IFERROR(VALUE(Raw_Data!D150), ""))</f>
        <v/>
      </c>
      <c r="E150" s="2" t="str">
        <f>IFERROR(LEFT(Raw_Data!E150,SEARCH("-",Raw_Data!E150)-1),"Review")</f>
        <v>HR</v>
      </c>
      <c r="F150" s="2" t="str">
        <f>IFERROR(_xlfn.TEXTAFTER(Raw_Data!E150,"-"),"Review")</f>
        <v>Texas</v>
      </c>
      <c r="G150" s="2" t="str">
        <f>IFERROR(TRIM(Raw_Data!F150), "Review")</f>
        <v>Inactive</v>
      </c>
      <c r="H150" s="3" t="str">
        <f>IFERROR(TEXT(Raw_Data!G150, "YYYY-MM-DD"),"Review")</f>
        <v>2020-01-29</v>
      </c>
      <c r="I150" s="4">
        <f>IF(Raw_Data!H150="", "", IFERROR(VALUE(Raw_Data!H150), ""))</f>
        <v>68512.100000000006</v>
      </c>
      <c r="J150" s="2" t="str">
        <f>IF(Raw_Data!I150="", "", IF(ISNUMBER(FIND("@", Raw_Data!I150)), Raw_Data!I150, "Review"))</f>
        <v>grace.smith@example.com</v>
      </c>
      <c r="K150" s="5" t="str">
        <f>IFERROR(TEXT(ABS(Raw_Data!J150), "0"), "Review")</f>
        <v>4439284043</v>
      </c>
      <c r="L150" s="2" t="str">
        <f>IFERROR(TRIM(Raw_Data!K150), "Review")</f>
        <v>Average</v>
      </c>
      <c r="M150" s="2" t="b">
        <f>IF(Raw_Data!L150="", "",
    IF(ISLOGICAL(Raw_Data!L150), Raw_Data!L150,
        IF(OR(UPPER(Raw_Data!L150)="TRUE", UPPER(Raw_Data!L150)="YES", UPPER(Raw_Data!L150)="1"), TRUE,
            IF(OR(UPPER(Raw_Data!L150)="FALSE", UPPER(Raw_Data!L150)="NO", UPPER(Raw_Data!L150)="0"), FALSE, "Review")
        )
    )
)</f>
        <v>0</v>
      </c>
    </row>
    <row r="151" spans="1:13" x14ac:dyDescent="0.4">
      <c r="A151" s="2" t="str">
        <f>IFERROR(TRIM(Raw_Data!A151), "Review")</f>
        <v>EMP1149</v>
      </c>
      <c r="B151" s="2" t="str">
        <f>IFERROR(TRIM(Raw_Data!B151), "Review")</f>
        <v>Frank</v>
      </c>
      <c r="C151" s="2" t="str">
        <f>IFERROR(TRIM(Raw_Data!C151), "Review")</f>
        <v>Garcia</v>
      </c>
      <c r="D151" s="2">
        <f>IF(Raw_Data!D151="", "", IFERROR(VALUE(Raw_Data!D151), ""))</f>
        <v>35</v>
      </c>
      <c r="E151" s="2" t="str">
        <f>IFERROR(LEFT(Raw_Data!E151,SEARCH("-",Raw_Data!E151)-1),"Review")</f>
        <v>Sales</v>
      </c>
      <c r="F151" s="2" t="str">
        <f>IFERROR(_xlfn.TEXTAFTER(Raw_Data!E151,"-"),"Review")</f>
        <v>Florida</v>
      </c>
      <c r="G151" s="2" t="str">
        <f>IFERROR(TRIM(Raw_Data!F151), "Review")</f>
        <v>Pending</v>
      </c>
      <c r="H151" s="3" t="str">
        <f>IFERROR(TEXT(Raw_Data!G151, "YYYY-MM-DD"),"Review")</f>
        <v>2022-01-30</v>
      </c>
      <c r="I151" s="4">
        <f>IF(Raw_Data!H151="", "", IFERROR(VALUE(Raw_Data!H151), ""))</f>
        <v>57584.23</v>
      </c>
      <c r="J151" s="2" t="str">
        <f>IF(Raw_Data!I151="", "", IF(ISNUMBER(FIND("@", Raw_Data!I151)), Raw_Data!I151, "Review"))</f>
        <v>frank.garcia@example.com</v>
      </c>
      <c r="K151" s="5" t="str">
        <f>IFERROR(TEXT(ABS(Raw_Data!J151), "0"), "Review")</f>
        <v>5669078262</v>
      </c>
      <c r="L151" s="2" t="str">
        <f>IFERROR(TRIM(Raw_Data!K151), "Review")</f>
        <v>Average</v>
      </c>
      <c r="M151" s="2" t="b">
        <f>IF(Raw_Data!L151="", "",
    IF(ISLOGICAL(Raw_Data!L151), Raw_Data!L151,
        IF(OR(UPPER(Raw_Data!L151)="TRUE", UPPER(Raw_Data!L151)="YES", UPPER(Raw_Data!L151)="1"), TRUE,
            IF(OR(UPPER(Raw_Data!L151)="FALSE", UPPER(Raw_Data!L151)="NO", UPPER(Raw_Data!L151)="0"), FALSE, "Review")
        )
    )
)</f>
        <v>1</v>
      </c>
    </row>
    <row r="152" spans="1:13" x14ac:dyDescent="0.4">
      <c r="A152" s="2" t="str">
        <f>IFERROR(TRIM(Raw_Data!A152), "Review")</f>
        <v>EMP1150</v>
      </c>
      <c r="B152" s="2" t="str">
        <f>IFERROR(TRIM(Raw_Data!B152), "Review")</f>
        <v>Alice</v>
      </c>
      <c r="C152" s="2" t="str">
        <f>IFERROR(TRIM(Raw_Data!C152), "Review")</f>
        <v>Williams</v>
      </c>
      <c r="D152" s="2" t="str">
        <f>IF(Raw_Data!D152="", "", IFERROR(VALUE(Raw_Data!D152), ""))</f>
        <v/>
      </c>
      <c r="E152" s="2" t="str">
        <f>IFERROR(LEFT(Raw_Data!E152,SEARCH("-",Raw_Data!E152)-1),"Review")</f>
        <v>Sales</v>
      </c>
      <c r="F152" s="2" t="str">
        <f>IFERROR(_xlfn.TEXTAFTER(Raw_Data!E152,"-"),"Review")</f>
        <v>California</v>
      </c>
      <c r="G152" s="2" t="str">
        <f>IFERROR(TRIM(Raw_Data!F152), "Review")</f>
        <v>Pending</v>
      </c>
      <c r="H152" s="3" t="str">
        <f>IFERROR(TEXT(Raw_Data!G152, "YYYY-MM-DD"),"Review")</f>
        <v>2021-03-29</v>
      </c>
      <c r="I152" s="4">
        <f>IF(Raw_Data!H152="", "", IFERROR(VALUE(Raw_Data!H152), ""))</f>
        <v>95335.67</v>
      </c>
      <c r="J152" s="2" t="str">
        <f>IF(Raw_Data!I152="", "", IF(ISNUMBER(FIND("@", Raw_Data!I152)), Raw_Data!I152, "Review"))</f>
        <v>alice.williams@example.com</v>
      </c>
      <c r="K152" s="5" t="str">
        <f>IFERROR(TEXT(ABS(Raw_Data!J152), "0"), "Review")</f>
        <v>3373898774</v>
      </c>
      <c r="L152" s="2" t="str">
        <f>IFERROR(TRIM(Raw_Data!K152), "Review")</f>
        <v>Poor</v>
      </c>
      <c r="M152" s="2" t="b">
        <f>IF(Raw_Data!L152="", "",
    IF(ISLOGICAL(Raw_Data!L152), Raw_Data!L152,
        IF(OR(UPPER(Raw_Data!L152)="TRUE", UPPER(Raw_Data!L152)="YES", UPPER(Raw_Data!L152)="1"), TRUE,
            IF(OR(UPPER(Raw_Data!L152)="FALSE", UPPER(Raw_Data!L152)="NO", UPPER(Raw_Data!L152)="0"), FALSE, "Review")
        )
    )
)</f>
        <v>0</v>
      </c>
    </row>
    <row r="153" spans="1:13" x14ac:dyDescent="0.4">
      <c r="A153" s="2" t="str">
        <f>IFERROR(TRIM(Raw_Data!A153), "Review")</f>
        <v>EMP1151</v>
      </c>
      <c r="B153" s="2" t="str">
        <f>IFERROR(TRIM(Raw_Data!B153), "Review")</f>
        <v>Heidi</v>
      </c>
      <c r="C153" s="2" t="str">
        <f>IFERROR(TRIM(Raw_Data!C153), "Review")</f>
        <v>Williams</v>
      </c>
      <c r="D153" s="2">
        <f>IF(Raw_Data!D153="", "", IFERROR(VALUE(Raw_Data!D153), ""))</f>
        <v>35</v>
      </c>
      <c r="E153" s="2" t="str">
        <f>IFERROR(LEFT(Raw_Data!E153,SEARCH("-",Raw_Data!E153)-1),"Review")</f>
        <v>DevOps</v>
      </c>
      <c r="F153" s="2" t="str">
        <f>IFERROR(_xlfn.TEXTAFTER(Raw_Data!E153,"-"),"Review")</f>
        <v>Florida</v>
      </c>
      <c r="G153" s="2" t="str">
        <f>IFERROR(TRIM(Raw_Data!F153), "Review")</f>
        <v>Active</v>
      </c>
      <c r="H153" s="3" t="str">
        <f>IFERROR(TEXT(Raw_Data!G153, "YYYY-MM-DD"),"Review")</f>
        <v>2020-10-13</v>
      </c>
      <c r="I153" s="4">
        <f>IF(Raw_Data!H153="", "", IFERROR(VALUE(Raw_Data!H153), ""))</f>
        <v>53174.28</v>
      </c>
      <c r="J153" s="2" t="str">
        <f>IF(Raw_Data!I153="", "", IF(ISNUMBER(FIND("@", Raw_Data!I153)), Raw_Data!I153, "Review"))</f>
        <v>heidi.williams@example.com</v>
      </c>
      <c r="K153" s="5" t="str">
        <f>IFERROR(TEXT(ABS(Raw_Data!J153), "0"), "Review")</f>
        <v>1536637779</v>
      </c>
      <c r="L153" s="2" t="str">
        <f>IFERROR(TRIM(Raw_Data!K153), "Review")</f>
        <v>Average</v>
      </c>
      <c r="M153" s="2" t="b">
        <f>IF(Raw_Data!L153="", "",
    IF(ISLOGICAL(Raw_Data!L153), Raw_Data!L153,
        IF(OR(UPPER(Raw_Data!L153)="TRUE", UPPER(Raw_Data!L153)="YES", UPPER(Raw_Data!L153)="1"), TRUE,
            IF(OR(UPPER(Raw_Data!L153)="FALSE", UPPER(Raw_Data!L153)="NO", UPPER(Raw_Data!L153)="0"), FALSE, "Review")
        )
    )
)</f>
        <v>1</v>
      </c>
    </row>
    <row r="154" spans="1:13" x14ac:dyDescent="0.4">
      <c r="A154" s="2" t="str">
        <f>IFERROR(TRIM(Raw_Data!A154), "Review")</f>
        <v>EMP1152</v>
      </c>
      <c r="B154" s="2" t="str">
        <f>IFERROR(TRIM(Raw_Data!B154), "Review")</f>
        <v>Heidi</v>
      </c>
      <c r="C154" s="2" t="str">
        <f>IFERROR(TRIM(Raw_Data!C154), "Review")</f>
        <v>Smith</v>
      </c>
      <c r="D154" s="2">
        <f>IF(Raw_Data!D154="", "", IFERROR(VALUE(Raw_Data!D154), ""))</f>
        <v>25</v>
      </c>
      <c r="E154" s="2" t="str">
        <f>IFERROR(LEFT(Raw_Data!E154,SEARCH("-",Raw_Data!E154)-1),"Review")</f>
        <v>Cloud Tech</v>
      </c>
      <c r="F154" s="2" t="str">
        <f>IFERROR(_xlfn.TEXTAFTER(Raw_Data!E154,"-"),"Review")</f>
        <v>New York</v>
      </c>
      <c r="G154" s="2" t="str">
        <f>IFERROR(TRIM(Raw_Data!F154), "Review")</f>
        <v>Pending</v>
      </c>
      <c r="H154" s="3" t="str">
        <f>IFERROR(TEXT(Raw_Data!G154, "YYYY-MM-DD"),"Review")</f>
        <v>2020-10-04</v>
      </c>
      <c r="I154" s="4">
        <f>IF(Raw_Data!H154="", "", IFERROR(VALUE(Raw_Data!H154), ""))</f>
        <v>77205.210000000006</v>
      </c>
      <c r="J154" s="2" t="str">
        <f>IF(Raw_Data!I154="", "", IF(ISNUMBER(FIND("@", Raw_Data!I154)), Raw_Data!I154, "Review"))</f>
        <v>heidi.smith@example.com</v>
      </c>
      <c r="K154" s="5" t="str">
        <f>IFERROR(TEXT(ABS(Raw_Data!J154), "0"), "Review")</f>
        <v>5292407552</v>
      </c>
      <c r="L154" s="2" t="str">
        <f>IFERROR(TRIM(Raw_Data!K154), "Review")</f>
        <v>Average</v>
      </c>
      <c r="M154" s="2" t="b">
        <f>IF(Raw_Data!L154="", "",
    IF(ISLOGICAL(Raw_Data!L154), Raw_Data!L154,
        IF(OR(UPPER(Raw_Data!L154)="TRUE", UPPER(Raw_Data!L154)="YES", UPPER(Raw_Data!L154)="1"), TRUE,
            IF(OR(UPPER(Raw_Data!L154)="FALSE", UPPER(Raw_Data!L154)="NO", UPPER(Raw_Data!L154)="0"), FALSE, "Review")
        )
    )
)</f>
        <v>0</v>
      </c>
    </row>
    <row r="155" spans="1:13" x14ac:dyDescent="0.4">
      <c r="A155" s="2" t="str">
        <f>IFERROR(TRIM(Raw_Data!A155), "Review")</f>
        <v>EMP1153</v>
      </c>
      <c r="B155" s="2" t="str">
        <f>IFERROR(TRIM(Raw_Data!B155), "Review")</f>
        <v>Grace</v>
      </c>
      <c r="C155" s="2" t="str">
        <f>IFERROR(TRIM(Raw_Data!C155), "Review")</f>
        <v>Williams</v>
      </c>
      <c r="D155" s="2" t="str">
        <f>IF(Raw_Data!D155="", "", IFERROR(VALUE(Raw_Data!D155), ""))</f>
        <v/>
      </c>
      <c r="E155" s="2" t="str">
        <f>IFERROR(LEFT(Raw_Data!E155,SEARCH("-",Raw_Data!E155)-1),"Review")</f>
        <v>DevOps</v>
      </c>
      <c r="F155" s="2" t="str">
        <f>IFERROR(_xlfn.TEXTAFTER(Raw_Data!E155,"-"),"Review")</f>
        <v>Nevada</v>
      </c>
      <c r="G155" s="2" t="str">
        <f>IFERROR(TRIM(Raw_Data!F155), "Review")</f>
        <v>Active</v>
      </c>
      <c r="H155" s="3" t="str">
        <f>IFERROR(TEXT(Raw_Data!G155, "YYYY-MM-DD"),"Review")</f>
        <v>2024-12-18</v>
      </c>
      <c r="I155" s="4">
        <f>IF(Raw_Data!H155="", "", IFERROR(VALUE(Raw_Data!H155), ""))</f>
        <v>79041.919999999998</v>
      </c>
      <c r="J155" s="2" t="str">
        <f>IF(Raw_Data!I155="", "", IF(ISNUMBER(FIND("@", Raw_Data!I155)), Raw_Data!I155, "Review"))</f>
        <v>grace.williams@example.com</v>
      </c>
      <c r="K155" s="5" t="str">
        <f>IFERROR(TEXT(ABS(Raw_Data!J155), "0"), "Review")</f>
        <v>6668459089</v>
      </c>
      <c r="L155" s="2" t="str">
        <f>IFERROR(TRIM(Raw_Data!K155), "Review")</f>
        <v>Average</v>
      </c>
      <c r="M155" s="2" t="b">
        <f>IF(Raw_Data!L155="", "",
    IF(ISLOGICAL(Raw_Data!L155), Raw_Data!L155,
        IF(OR(UPPER(Raw_Data!L155)="TRUE", UPPER(Raw_Data!L155)="YES", UPPER(Raw_Data!L155)="1"), TRUE,
            IF(OR(UPPER(Raw_Data!L155)="FALSE", UPPER(Raw_Data!L155)="NO", UPPER(Raw_Data!L155)="0"), FALSE, "Review")
        )
    )
)</f>
        <v>1</v>
      </c>
    </row>
    <row r="156" spans="1:13" x14ac:dyDescent="0.4">
      <c r="A156" s="2" t="str">
        <f>IFERROR(TRIM(Raw_Data!A156), "Review")</f>
        <v>EMP1154</v>
      </c>
      <c r="B156" s="2" t="str">
        <f>IFERROR(TRIM(Raw_Data!B156), "Review")</f>
        <v>Heidi</v>
      </c>
      <c r="C156" s="2" t="str">
        <f>IFERROR(TRIM(Raw_Data!C156), "Review")</f>
        <v>Jones</v>
      </c>
      <c r="D156" s="2" t="str">
        <f>IF(Raw_Data!D156="", "", IFERROR(VALUE(Raw_Data!D156), ""))</f>
        <v/>
      </c>
      <c r="E156" s="2" t="str">
        <f>IFERROR(LEFT(Raw_Data!E156,SEARCH("-",Raw_Data!E156)-1),"Review")</f>
        <v>Finance</v>
      </c>
      <c r="F156" s="2" t="str">
        <f>IFERROR(_xlfn.TEXTAFTER(Raw_Data!E156,"-"),"Review")</f>
        <v>California</v>
      </c>
      <c r="G156" s="2" t="str">
        <f>IFERROR(TRIM(Raw_Data!F156), "Review")</f>
        <v>Active</v>
      </c>
      <c r="H156" s="3" t="str">
        <f>IFERROR(TEXT(Raw_Data!G156, "YYYY-MM-DD"),"Review")</f>
        <v>2023-11-14</v>
      </c>
      <c r="I156" s="4">
        <f>IF(Raw_Data!H156="", "", IFERROR(VALUE(Raw_Data!H156), ""))</f>
        <v>75937.100000000006</v>
      </c>
      <c r="J156" s="2" t="str">
        <f>IF(Raw_Data!I156="", "", IF(ISNUMBER(FIND("@", Raw_Data!I156)), Raw_Data!I156, "Review"))</f>
        <v>heidi.jones@example.com</v>
      </c>
      <c r="K156" s="5" t="str">
        <f>IFERROR(TEXT(ABS(Raw_Data!J156), "0"), "Review")</f>
        <v>2259999662</v>
      </c>
      <c r="L156" s="2" t="str">
        <f>IFERROR(TRIM(Raw_Data!K156), "Review")</f>
        <v>Excellent</v>
      </c>
      <c r="M156" s="2" t="b">
        <f>IF(Raw_Data!L156="", "",
    IF(ISLOGICAL(Raw_Data!L156), Raw_Data!L156,
        IF(OR(UPPER(Raw_Data!L156)="TRUE", UPPER(Raw_Data!L156)="YES", UPPER(Raw_Data!L156)="1"), TRUE,
            IF(OR(UPPER(Raw_Data!L156)="FALSE", UPPER(Raw_Data!L156)="NO", UPPER(Raw_Data!L156)="0"), FALSE, "Review")
        )
    )
)</f>
        <v>1</v>
      </c>
    </row>
    <row r="157" spans="1:13" x14ac:dyDescent="0.4">
      <c r="A157" s="2" t="str">
        <f>IFERROR(TRIM(Raw_Data!A157), "Review")</f>
        <v>EMP1155</v>
      </c>
      <c r="B157" s="2" t="str">
        <f>IFERROR(TRIM(Raw_Data!B157), "Review")</f>
        <v>David</v>
      </c>
      <c r="C157" s="2" t="str">
        <f>IFERROR(TRIM(Raw_Data!C157), "Review")</f>
        <v>Johnson</v>
      </c>
      <c r="D157" s="2">
        <f>IF(Raw_Data!D157="", "", IFERROR(VALUE(Raw_Data!D157), ""))</f>
        <v>35</v>
      </c>
      <c r="E157" s="2" t="str">
        <f>IFERROR(LEFT(Raw_Data!E157,SEARCH("-",Raw_Data!E157)-1),"Review")</f>
        <v>Cloud Tech</v>
      </c>
      <c r="F157" s="2" t="str">
        <f>IFERROR(_xlfn.TEXTAFTER(Raw_Data!E157,"-"),"Review")</f>
        <v>Nevada</v>
      </c>
      <c r="G157" s="2" t="str">
        <f>IFERROR(TRIM(Raw_Data!F157), "Review")</f>
        <v>Inactive</v>
      </c>
      <c r="H157" s="3" t="str">
        <f>IFERROR(TEXT(Raw_Data!G157, "YYYY-MM-DD"),"Review")</f>
        <v>2023-01-20</v>
      </c>
      <c r="I157" s="4">
        <f>IF(Raw_Data!H157="", "", IFERROR(VALUE(Raw_Data!H157), ""))</f>
        <v>113118.73</v>
      </c>
      <c r="J157" s="2" t="str">
        <f>IF(Raw_Data!I157="", "", IF(ISNUMBER(FIND("@", Raw_Data!I157)), Raw_Data!I157, "Review"))</f>
        <v>david.johnson@example.com</v>
      </c>
      <c r="K157" s="5" t="str">
        <f>IFERROR(TEXT(ABS(Raw_Data!J157), "0"), "Review")</f>
        <v>6186371596</v>
      </c>
      <c r="L157" s="2" t="str">
        <f>IFERROR(TRIM(Raw_Data!K157), "Review")</f>
        <v>Average</v>
      </c>
      <c r="M157" s="2" t="b">
        <f>IF(Raw_Data!L157="", "",
    IF(ISLOGICAL(Raw_Data!L157), Raw_Data!L157,
        IF(OR(UPPER(Raw_Data!L157)="TRUE", UPPER(Raw_Data!L157)="YES", UPPER(Raw_Data!L157)="1"), TRUE,
            IF(OR(UPPER(Raw_Data!L157)="FALSE", UPPER(Raw_Data!L157)="NO", UPPER(Raw_Data!L157)="0"), FALSE, "Review")
        )
    )
)</f>
        <v>0</v>
      </c>
    </row>
    <row r="158" spans="1:13" x14ac:dyDescent="0.4">
      <c r="A158" s="2" t="str">
        <f>IFERROR(TRIM(Raw_Data!A158), "Review")</f>
        <v>EMP1156</v>
      </c>
      <c r="B158" s="2" t="str">
        <f>IFERROR(TRIM(Raw_Data!B158), "Review")</f>
        <v>Alice</v>
      </c>
      <c r="C158" s="2" t="str">
        <f>IFERROR(TRIM(Raw_Data!C158), "Review")</f>
        <v>Davis</v>
      </c>
      <c r="D158" s="2">
        <f>IF(Raw_Data!D158="", "", IFERROR(VALUE(Raw_Data!D158), ""))</f>
        <v>40</v>
      </c>
      <c r="E158" s="2" t="str">
        <f>IFERROR(LEFT(Raw_Data!E158,SEARCH("-",Raw_Data!E158)-1),"Review")</f>
        <v>HR</v>
      </c>
      <c r="F158" s="2" t="str">
        <f>IFERROR(_xlfn.TEXTAFTER(Raw_Data!E158,"-"),"Review")</f>
        <v>New York</v>
      </c>
      <c r="G158" s="2" t="str">
        <f>IFERROR(TRIM(Raw_Data!F158), "Review")</f>
        <v>Active</v>
      </c>
      <c r="H158" s="3" t="str">
        <f>IFERROR(TEXT(Raw_Data!G158, "YYYY-MM-DD"),"Review")</f>
        <v>2024-10-02</v>
      </c>
      <c r="I158" s="4">
        <f>IF(Raw_Data!H158="", "", IFERROR(VALUE(Raw_Data!H158), ""))</f>
        <v>107693.38</v>
      </c>
      <c r="J158" s="2" t="str">
        <f>IF(Raw_Data!I158="", "", IF(ISNUMBER(FIND("@", Raw_Data!I158)), Raw_Data!I158, "Review"))</f>
        <v>alice.davis@example.com</v>
      </c>
      <c r="K158" s="5" t="str">
        <f>IFERROR(TEXT(ABS(Raw_Data!J158), "0"), "Review")</f>
        <v>4121820969</v>
      </c>
      <c r="L158" s="2" t="str">
        <f>IFERROR(TRIM(Raw_Data!K158), "Review")</f>
        <v>Average</v>
      </c>
      <c r="M158" s="2" t="b">
        <f>IF(Raw_Data!L158="", "",
    IF(ISLOGICAL(Raw_Data!L158), Raw_Data!L158,
        IF(OR(UPPER(Raw_Data!L158)="TRUE", UPPER(Raw_Data!L158)="YES", UPPER(Raw_Data!L158)="1"), TRUE,
            IF(OR(UPPER(Raw_Data!L158)="FALSE", UPPER(Raw_Data!L158)="NO", UPPER(Raw_Data!L158)="0"), FALSE, "Review")
        )
    )
)</f>
        <v>1</v>
      </c>
    </row>
    <row r="159" spans="1:13" x14ac:dyDescent="0.4">
      <c r="A159" s="2" t="str">
        <f>IFERROR(TRIM(Raw_Data!A159), "Review")</f>
        <v>EMP1157</v>
      </c>
      <c r="B159" s="2" t="str">
        <f>IFERROR(TRIM(Raw_Data!B159), "Review")</f>
        <v>David</v>
      </c>
      <c r="C159" s="2" t="str">
        <f>IFERROR(TRIM(Raw_Data!C159), "Review")</f>
        <v>Johnson</v>
      </c>
      <c r="D159" s="2" t="str">
        <f>IF(Raw_Data!D159="", "", IFERROR(VALUE(Raw_Data!D159), ""))</f>
        <v/>
      </c>
      <c r="E159" s="2" t="str">
        <f>IFERROR(LEFT(Raw_Data!E159,SEARCH("-",Raw_Data!E159)-1),"Review")</f>
        <v>Cloud Tech</v>
      </c>
      <c r="F159" s="2" t="str">
        <f>IFERROR(_xlfn.TEXTAFTER(Raw_Data!E159,"-"),"Review")</f>
        <v>Texas</v>
      </c>
      <c r="G159" s="2" t="str">
        <f>IFERROR(TRIM(Raw_Data!F159), "Review")</f>
        <v>Inactive</v>
      </c>
      <c r="H159" s="3" t="str">
        <f>IFERROR(TEXT(Raw_Data!G159, "YYYY-MM-DD"),"Review")</f>
        <v>2021-05-13</v>
      </c>
      <c r="I159" s="4">
        <f>IF(Raw_Data!H159="", "", IFERROR(VALUE(Raw_Data!H159), ""))</f>
        <v>119217.46</v>
      </c>
      <c r="J159" s="2" t="str">
        <f>IF(Raw_Data!I159="", "", IF(ISNUMBER(FIND("@", Raw_Data!I159)), Raw_Data!I159, "Review"))</f>
        <v>david.johnson@example.com</v>
      </c>
      <c r="K159" s="5" t="str">
        <f>IFERROR(TEXT(ABS(Raw_Data!J159), "0"), "Review")</f>
        <v>2316433480</v>
      </c>
      <c r="L159" s="2" t="str">
        <f>IFERROR(TRIM(Raw_Data!K159), "Review")</f>
        <v>Poor</v>
      </c>
      <c r="M159" s="2" t="b">
        <f>IF(Raw_Data!L159="", "",
    IF(ISLOGICAL(Raw_Data!L159), Raw_Data!L159,
        IF(OR(UPPER(Raw_Data!L159)="TRUE", UPPER(Raw_Data!L159)="YES", UPPER(Raw_Data!L159)="1"), TRUE,
            IF(OR(UPPER(Raw_Data!L159)="FALSE", UPPER(Raw_Data!L159)="NO", UPPER(Raw_Data!L159)="0"), FALSE, "Review")
        )
    )
)</f>
        <v>0</v>
      </c>
    </row>
    <row r="160" spans="1:13" x14ac:dyDescent="0.4">
      <c r="A160" s="2" t="str">
        <f>IFERROR(TRIM(Raw_Data!A160), "Review")</f>
        <v>EMP1158</v>
      </c>
      <c r="B160" s="2" t="str">
        <f>IFERROR(TRIM(Raw_Data!B160), "Review")</f>
        <v>David</v>
      </c>
      <c r="C160" s="2" t="str">
        <f>IFERROR(TRIM(Raw_Data!C160), "Review")</f>
        <v>Smith</v>
      </c>
      <c r="D160" s="2">
        <f>IF(Raw_Data!D160="", "", IFERROR(VALUE(Raw_Data!D160), ""))</f>
        <v>25</v>
      </c>
      <c r="E160" s="2" t="str">
        <f>IFERROR(LEFT(Raw_Data!E160,SEARCH("-",Raw_Data!E160)-1),"Review")</f>
        <v>Sales</v>
      </c>
      <c r="F160" s="2" t="str">
        <f>IFERROR(_xlfn.TEXTAFTER(Raw_Data!E160,"-"),"Review")</f>
        <v>New York</v>
      </c>
      <c r="G160" s="2" t="str">
        <f>IFERROR(TRIM(Raw_Data!F160), "Review")</f>
        <v>Pending</v>
      </c>
      <c r="H160" s="3" t="str">
        <f>IFERROR(TEXT(Raw_Data!G160, "YYYY-MM-DD"),"Review")</f>
        <v>2021-03-18</v>
      </c>
      <c r="I160" s="4">
        <f>IF(Raw_Data!H160="", "", IFERROR(VALUE(Raw_Data!H160), ""))</f>
        <v>106913.71</v>
      </c>
      <c r="J160" s="2" t="str">
        <f>IF(Raw_Data!I160="", "", IF(ISNUMBER(FIND("@", Raw_Data!I160)), Raw_Data!I160, "Review"))</f>
        <v>david.smith@example.com</v>
      </c>
      <c r="K160" s="5" t="str">
        <f>IFERROR(TEXT(ABS(Raw_Data!J160), "0"), "Review")</f>
        <v>7058025661</v>
      </c>
      <c r="L160" s="2" t="str">
        <f>IFERROR(TRIM(Raw_Data!K160), "Review")</f>
        <v>Average</v>
      </c>
      <c r="M160" s="2" t="b">
        <f>IF(Raw_Data!L160="", "",
    IF(ISLOGICAL(Raw_Data!L160), Raw_Data!L160,
        IF(OR(UPPER(Raw_Data!L160)="TRUE", UPPER(Raw_Data!L160)="YES", UPPER(Raw_Data!L160)="1"), TRUE,
            IF(OR(UPPER(Raw_Data!L160)="FALSE", UPPER(Raw_Data!L160)="NO", UPPER(Raw_Data!L160)="0"), FALSE, "Review")
        )
    )
)</f>
        <v>0</v>
      </c>
    </row>
    <row r="161" spans="1:13" x14ac:dyDescent="0.4">
      <c r="A161" s="2" t="str">
        <f>IFERROR(TRIM(Raw_Data!A161), "Review")</f>
        <v>EMP1159</v>
      </c>
      <c r="B161" s="2" t="str">
        <f>IFERROR(TRIM(Raw_Data!B161), "Review")</f>
        <v>Charlie</v>
      </c>
      <c r="C161" s="2" t="str">
        <f>IFERROR(TRIM(Raw_Data!C161), "Review")</f>
        <v>Brown</v>
      </c>
      <c r="D161" s="2" t="str">
        <f>IF(Raw_Data!D161="", "", IFERROR(VALUE(Raw_Data!D161), ""))</f>
        <v/>
      </c>
      <c r="E161" s="2" t="str">
        <f>IFERROR(LEFT(Raw_Data!E161,SEARCH("-",Raw_Data!E161)-1),"Review")</f>
        <v>Cloud Tech</v>
      </c>
      <c r="F161" s="2" t="str">
        <f>IFERROR(_xlfn.TEXTAFTER(Raw_Data!E161,"-"),"Review")</f>
        <v>California</v>
      </c>
      <c r="G161" s="2" t="str">
        <f>IFERROR(TRIM(Raw_Data!F161), "Review")</f>
        <v>Active</v>
      </c>
      <c r="H161" s="3" t="str">
        <f>IFERROR(TEXT(Raw_Data!G161, "YYYY-MM-DD"),"Review")</f>
        <v>2020-09-23</v>
      </c>
      <c r="I161" s="4">
        <f>IF(Raw_Data!H161="", "", IFERROR(VALUE(Raw_Data!H161), ""))</f>
        <v>87815.08</v>
      </c>
      <c r="J161" s="2" t="str">
        <f>IF(Raw_Data!I161="", "", IF(ISNUMBER(FIND("@", Raw_Data!I161)), Raw_Data!I161, "Review"))</f>
        <v>charlie.brown@example.com</v>
      </c>
      <c r="K161" s="5" t="str">
        <f>IFERROR(TEXT(ABS(Raw_Data!J161), "0"), "Review")</f>
        <v>1286716322</v>
      </c>
      <c r="L161" s="2" t="str">
        <f>IFERROR(TRIM(Raw_Data!K161), "Review")</f>
        <v>Average</v>
      </c>
      <c r="M161" s="2" t="b">
        <f>IF(Raw_Data!L161="", "",
    IF(ISLOGICAL(Raw_Data!L161), Raw_Data!L161,
        IF(OR(UPPER(Raw_Data!L161)="TRUE", UPPER(Raw_Data!L161)="YES", UPPER(Raw_Data!L161)="1"), TRUE,
            IF(OR(UPPER(Raw_Data!L161)="FALSE", UPPER(Raw_Data!L161)="NO", UPPER(Raw_Data!L161)="0"), FALSE, "Review")
        )
    )
)</f>
        <v>1</v>
      </c>
    </row>
    <row r="162" spans="1:13" x14ac:dyDescent="0.4">
      <c r="A162" s="2" t="str">
        <f>IFERROR(TRIM(Raw_Data!A162), "Review")</f>
        <v>EMP1160</v>
      </c>
      <c r="B162" s="2" t="str">
        <f>IFERROR(TRIM(Raw_Data!B162), "Review")</f>
        <v>Bob</v>
      </c>
      <c r="C162" s="2" t="str">
        <f>IFERROR(TRIM(Raw_Data!C162), "Review")</f>
        <v>Davis</v>
      </c>
      <c r="D162" s="2">
        <f>IF(Raw_Data!D162="", "", IFERROR(VALUE(Raw_Data!D162), ""))</f>
        <v>25</v>
      </c>
      <c r="E162" s="2" t="str">
        <f>IFERROR(LEFT(Raw_Data!E162,SEARCH("-",Raw_Data!E162)-1),"Review")</f>
        <v>Admin</v>
      </c>
      <c r="F162" s="2" t="str">
        <f>IFERROR(_xlfn.TEXTAFTER(Raw_Data!E162,"-"),"Review")</f>
        <v>Texas</v>
      </c>
      <c r="G162" s="2" t="str">
        <f>IFERROR(TRIM(Raw_Data!F162), "Review")</f>
        <v>Inactive</v>
      </c>
      <c r="H162" s="3" t="str">
        <f>IFERROR(TEXT(Raw_Data!G162, "YYYY-MM-DD"),"Review")</f>
        <v>2024-06-05</v>
      </c>
      <c r="I162" s="4">
        <f>IF(Raw_Data!H162="", "", IFERROR(VALUE(Raw_Data!H162), ""))</f>
        <v>105190.21</v>
      </c>
      <c r="J162" s="2" t="str">
        <f>IF(Raw_Data!I162="", "", IF(ISNUMBER(FIND("@", Raw_Data!I162)), Raw_Data!I162, "Review"))</f>
        <v>bob.davis@example.com</v>
      </c>
      <c r="K162" s="5" t="str">
        <f>IFERROR(TEXT(ABS(Raw_Data!J162), "0"), "Review")</f>
        <v>4672994937</v>
      </c>
      <c r="L162" s="2" t="str">
        <f>IFERROR(TRIM(Raw_Data!K162), "Review")</f>
        <v>Good</v>
      </c>
      <c r="M162" s="2" t="b">
        <f>IF(Raw_Data!L162="", "",
    IF(ISLOGICAL(Raw_Data!L162), Raw_Data!L162,
        IF(OR(UPPER(Raw_Data!L162)="TRUE", UPPER(Raw_Data!L162)="YES", UPPER(Raw_Data!L162)="1"), TRUE,
            IF(OR(UPPER(Raw_Data!L162)="FALSE", UPPER(Raw_Data!L162)="NO", UPPER(Raw_Data!L162)="0"), FALSE, "Review")
        )
    )
)</f>
        <v>1</v>
      </c>
    </row>
    <row r="163" spans="1:13" x14ac:dyDescent="0.4">
      <c r="A163" s="2" t="str">
        <f>IFERROR(TRIM(Raw_Data!A163), "Review")</f>
        <v>EMP1161</v>
      </c>
      <c r="B163" s="2" t="str">
        <f>IFERROR(TRIM(Raw_Data!B163), "Review")</f>
        <v>Alice</v>
      </c>
      <c r="C163" s="2" t="str">
        <f>IFERROR(TRIM(Raw_Data!C163), "Review")</f>
        <v>Smith</v>
      </c>
      <c r="D163" s="2">
        <f>IF(Raw_Data!D163="", "", IFERROR(VALUE(Raw_Data!D163), ""))</f>
        <v>30</v>
      </c>
      <c r="E163" s="2" t="str">
        <f>IFERROR(LEFT(Raw_Data!E163,SEARCH("-",Raw_Data!E163)-1),"Review")</f>
        <v>HR</v>
      </c>
      <c r="F163" s="2" t="str">
        <f>IFERROR(_xlfn.TEXTAFTER(Raw_Data!E163,"-"),"Review")</f>
        <v>Texas</v>
      </c>
      <c r="G163" s="2" t="str">
        <f>IFERROR(TRIM(Raw_Data!F163), "Review")</f>
        <v>Active</v>
      </c>
      <c r="H163" s="3" t="str">
        <f>IFERROR(TEXT(Raw_Data!G163, "YYYY-MM-DD"),"Review")</f>
        <v>2024-02-28</v>
      </c>
      <c r="I163" s="4">
        <f>IF(Raw_Data!H163="", "", IFERROR(VALUE(Raw_Data!H163), ""))</f>
        <v>79467.240000000005</v>
      </c>
      <c r="J163" s="2" t="str">
        <f>IF(Raw_Data!I163="", "", IF(ISNUMBER(FIND("@", Raw_Data!I163)), Raw_Data!I163, "Review"))</f>
        <v>alice.smith@example.com</v>
      </c>
      <c r="K163" s="5" t="str">
        <f>IFERROR(TEXT(ABS(Raw_Data!J163), "0"), "Review")</f>
        <v>7430271692</v>
      </c>
      <c r="L163" s="2" t="str">
        <f>IFERROR(TRIM(Raw_Data!K163), "Review")</f>
        <v>Poor</v>
      </c>
      <c r="M163" s="2" t="b">
        <f>IF(Raw_Data!L163="", "",
    IF(ISLOGICAL(Raw_Data!L163), Raw_Data!L163,
        IF(OR(UPPER(Raw_Data!L163)="TRUE", UPPER(Raw_Data!L163)="YES", UPPER(Raw_Data!L163)="1"), TRUE,
            IF(OR(UPPER(Raw_Data!L163)="FALSE", UPPER(Raw_Data!L163)="NO", UPPER(Raw_Data!L163)="0"), FALSE, "Review")
        )
    )
)</f>
        <v>0</v>
      </c>
    </row>
    <row r="164" spans="1:13" x14ac:dyDescent="0.4">
      <c r="A164" s="2" t="str">
        <f>IFERROR(TRIM(Raw_Data!A164), "Review")</f>
        <v>EMP1162</v>
      </c>
      <c r="B164" s="2" t="str">
        <f>IFERROR(TRIM(Raw_Data!B164), "Review")</f>
        <v>Bob</v>
      </c>
      <c r="C164" s="2" t="str">
        <f>IFERROR(TRIM(Raw_Data!C164), "Review")</f>
        <v>Garcia</v>
      </c>
      <c r="D164" s="2">
        <f>IF(Raw_Data!D164="", "", IFERROR(VALUE(Raw_Data!D164), ""))</f>
        <v>40</v>
      </c>
      <c r="E164" s="2" t="str">
        <f>IFERROR(LEFT(Raw_Data!E164,SEARCH("-",Raw_Data!E164)-1),"Review")</f>
        <v>Finance</v>
      </c>
      <c r="F164" s="2" t="str">
        <f>IFERROR(_xlfn.TEXTAFTER(Raw_Data!E164,"-"),"Review")</f>
        <v>California</v>
      </c>
      <c r="G164" s="2" t="str">
        <f>IFERROR(TRIM(Raw_Data!F164), "Review")</f>
        <v>Pending</v>
      </c>
      <c r="H164" s="3" t="str">
        <f>IFERROR(TEXT(Raw_Data!G164, "YYYY-MM-DD"),"Review")</f>
        <v>2023-04-30</v>
      </c>
      <c r="I164" s="4">
        <f>IF(Raw_Data!H164="", "", IFERROR(VALUE(Raw_Data!H164), ""))</f>
        <v>57633.78</v>
      </c>
      <c r="J164" s="2" t="str">
        <f>IF(Raw_Data!I164="", "", IF(ISNUMBER(FIND("@", Raw_Data!I164)), Raw_Data!I164, "Review"))</f>
        <v>bob.garcia@example.com</v>
      </c>
      <c r="K164" s="5" t="str">
        <f>IFERROR(TEXT(ABS(Raw_Data!J164), "0"), "Review")</f>
        <v>8597779013</v>
      </c>
      <c r="L164" s="2" t="str">
        <f>IFERROR(TRIM(Raw_Data!K164), "Review")</f>
        <v>Poor</v>
      </c>
      <c r="M164" s="2" t="b">
        <f>IF(Raw_Data!L164="", "",
    IF(ISLOGICAL(Raw_Data!L164), Raw_Data!L164,
        IF(OR(UPPER(Raw_Data!L164)="TRUE", UPPER(Raw_Data!L164)="YES", UPPER(Raw_Data!L164)="1"), TRUE,
            IF(OR(UPPER(Raw_Data!L164)="FALSE", UPPER(Raw_Data!L164)="NO", UPPER(Raw_Data!L164)="0"), FALSE, "Review")
        )
    )
)</f>
        <v>1</v>
      </c>
    </row>
    <row r="165" spans="1:13" x14ac:dyDescent="0.4">
      <c r="A165" s="2" t="str">
        <f>IFERROR(TRIM(Raw_Data!A165), "Review")</f>
        <v>EMP1163</v>
      </c>
      <c r="B165" s="2" t="str">
        <f>IFERROR(TRIM(Raw_Data!B165), "Review")</f>
        <v>Alice</v>
      </c>
      <c r="C165" s="2" t="str">
        <f>IFERROR(TRIM(Raw_Data!C165), "Review")</f>
        <v>Brown</v>
      </c>
      <c r="D165" s="2" t="str">
        <f>IF(Raw_Data!D165="", "", IFERROR(VALUE(Raw_Data!D165), ""))</f>
        <v/>
      </c>
      <c r="E165" s="2" t="str">
        <f>IFERROR(LEFT(Raw_Data!E165,SEARCH("-",Raw_Data!E165)-1),"Review")</f>
        <v>HR</v>
      </c>
      <c r="F165" s="2" t="str">
        <f>IFERROR(_xlfn.TEXTAFTER(Raw_Data!E165,"-"),"Review")</f>
        <v>Florida</v>
      </c>
      <c r="G165" s="2" t="str">
        <f>IFERROR(TRIM(Raw_Data!F165), "Review")</f>
        <v>Pending</v>
      </c>
      <c r="H165" s="3" t="str">
        <f>IFERROR(TEXT(Raw_Data!G165, "YYYY-MM-DD"),"Review")</f>
        <v>2020-03-04</v>
      </c>
      <c r="I165" s="4">
        <f>IF(Raw_Data!H165="", "", IFERROR(VALUE(Raw_Data!H165), ""))</f>
        <v>54257.78</v>
      </c>
      <c r="J165" s="2" t="str">
        <f>IF(Raw_Data!I165="", "", IF(ISNUMBER(FIND("@", Raw_Data!I165)), Raw_Data!I165, "Review"))</f>
        <v>alice.brown@example.com</v>
      </c>
      <c r="K165" s="5" t="str">
        <f>IFERROR(TEXT(ABS(Raw_Data!J165), "0"), "Review")</f>
        <v>7546926328</v>
      </c>
      <c r="L165" s="2" t="str">
        <f>IFERROR(TRIM(Raw_Data!K165), "Review")</f>
        <v>Poor</v>
      </c>
      <c r="M165" s="2" t="b">
        <f>IF(Raw_Data!L165="", "",
    IF(ISLOGICAL(Raw_Data!L165), Raw_Data!L165,
        IF(OR(UPPER(Raw_Data!L165)="TRUE", UPPER(Raw_Data!L165)="YES", UPPER(Raw_Data!L165)="1"), TRUE,
            IF(OR(UPPER(Raw_Data!L165)="FALSE", UPPER(Raw_Data!L165)="NO", UPPER(Raw_Data!L165)="0"), FALSE, "Review")
        )
    )
)</f>
        <v>1</v>
      </c>
    </row>
    <row r="166" spans="1:13" x14ac:dyDescent="0.4">
      <c r="A166" s="2" t="str">
        <f>IFERROR(TRIM(Raw_Data!A166), "Review")</f>
        <v>EMP1164</v>
      </c>
      <c r="B166" s="2" t="str">
        <f>IFERROR(TRIM(Raw_Data!B166), "Review")</f>
        <v>Grace</v>
      </c>
      <c r="C166" s="2" t="str">
        <f>IFERROR(TRIM(Raw_Data!C166), "Review")</f>
        <v>Johnson</v>
      </c>
      <c r="D166" s="2">
        <f>IF(Raw_Data!D166="", "", IFERROR(VALUE(Raw_Data!D166), ""))</f>
        <v>40</v>
      </c>
      <c r="E166" s="2" t="str">
        <f>IFERROR(LEFT(Raw_Data!E166,SEARCH("-",Raw_Data!E166)-1),"Review")</f>
        <v>DevOps</v>
      </c>
      <c r="F166" s="2" t="str">
        <f>IFERROR(_xlfn.TEXTAFTER(Raw_Data!E166,"-"),"Review")</f>
        <v>Texas</v>
      </c>
      <c r="G166" s="2" t="str">
        <f>IFERROR(TRIM(Raw_Data!F166), "Review")</f>
        <v>Inactive</v>
      </c>
      <c r="H166" s="3" t="str">
        <f>IFERROR(TEXT(Raw_Data!G166, "YYYY-MM-DD"),"Review")</f>
        <v>2023-12-29</v>
      </c>
      <c r="I166" s="4">
        <f>IF(Raw_Data!H166="", "", IFERROR(VALUE(Raw_Data!H166), ""))</f>
        <v>113679.06</v>
      </c>
      <c r="J166" s="2" t="str">
        <f>IF(Raw_Data!I166="", "", IF(ISNUMBER(FIND("@", Raw_Data!I166)), Raw_Data!I166, "Review"))</f>
        <v>grace.johnson@example.com</v>
      </c>
      <c r="K166" s="5" t="str">
        <f>IFERROR(TEXT(ABS(Raw_Data!J166), "0"), "Review")</f>
        <v>6762916031</v>
      </c>
      <c r="L166" s="2" t="str">
        <f>IFERROR(TRIM(Raw_Data!K166), "Review")</f>
        <v>Poor</v>
      </c>
      <c r="M166" s="2" t="b">
        <f>IF(Raw_Data!L166="", "",
    IF(ISLOGICAL(Raw_Data!L166), Raw_Data!L166,
        IF(OR(UPPER(Raw_Data!L166)="TRUE", UPPER(Raw_Data!L166)="YES", UPPER(Raw_Data!L166)="1"), TRUE,
            IF(OR(UPPER(Raw_Data!L166)="FALSE", UPPER(Raw_Data!L166)="NO", UPPER(Raw_Data!L166)="0"), FALSE, "Review")
        )
    )
)</f>
        <v>1</v>
      </c>
    </row>
    <row r="167" spans="1:13" x14ac:dyDescent="0.4">
      <c r="A167" s="2" t="str">
        <f>IFERROR(TRIM(Raw_Data!A167), "Review")</f>
        <v>EMP1165</v>
      </c>
      <c r="B167" s="2" t="str">
        <f>IFERROR(TRIM(Raw_Data!B167), "Review")</f>
        <v>Bob</v>
      </c>
      <c r="C167" s="2" t="str">
        <f>IFERROR(TRIM(Raw_Data!C167), "Review")</f>
        <v>Smith</v>
      </c>
      <c r="D167" s="2">
        <f>IF(Raw_Data!D167="", "", IFERROR(VALUE(Raw_Data!D167), ""))</f>
        <v>35</v>
      </c>
      <c r="E167" s="2" t="str">
        <f>IFERROR(LEFT(Raw_Data!E167,SEARCH("-",Raw_Data!E167)-1),"Review")</f>
        <v>Sales</v>
      </c>
      <c r="F167" s="2" t="str">
        <f>IFERROR(_xlfn.TEXTAFTER(Raw_Data!E167,"-"),"Review")</f>
        <v>New York</v>
      </c>
      <c r="G167" s="2" t="str">
        <f>IFERROR(TRIM(Raw_Data!F167), "Review")</f>
        <v>Active</v>
      </c>
      <c r="H167" s="3" t="str">
        <f>IFERROR(TEXT(Raw_Data!G167, "YYYY-MM-DD"),"Review")</f>
        <v>2020-09-15</v>
      </c>
      <c r="I167" s="4">
        <f>IF(Raw_Data!H167="", "", IFERROR(VALUE(Raw_Data!H167), ""))</f>
        <v>69251.12</v>
      </c>
      <c r="J167" s="2" t="str">
        <f>IF(Raw_Data!I167="", "", IF(ISNUMBER(FIND("@", Raw_Data!I167)), Raw_Data!I167, "Review"))</f>
        <v>bob.smith@example.com</v>
      </c>
      <c r="K167" s="5" t="str">
        <f>IFERROR(TEXT(ABS(Raw_Data!J167), "0"), "Review")</f>
        <v>4841376814</v>
      </c>
      <c r="L167" s="2" t="str">
        <f>IFERROR(TRIM(Raw_Data!K167), "Review")</f>
        <v>Poor</v>
      </c>
      <c r="M167" s="2" t="b">
        <f>IF(Raw_Data!L167="", "",
    IF(ISLOGICAL(Raw_Data!L167), Raw_Data!L167,
        IF(OR(UPPER(Raw_Data!L167)="TRUE", UPPER(Raw_Data!L167)="YES", UPPER(Raw_Data!L167)="1"), TRUE,
            IF(OR(UPPER(Raw_Data!L167)="FALSE", UPPER(Raw_Data!L167)="NO", UPPER(Raw_Data!L167)="0"), FALSE, "Review")
        )
    )
)</f>
        <v>1</v>
      </c>
    </row>
    <row r="168" spans="1:13" x14ac:dyDescent="0.4">
      <c r="A168" s="2" t="str">
        <f>IFERROR(TRIM(Raw_Data!A168), "Review")</f>
        <v>EMP1166</v>
      </c>
      <c r="B168" s="2" t="str">
        <f>IFERROR(TRIM(Raw_Data!B168), "Review")</f>
        <v>Frank</v>
      </c>
      <c r="C168" s="2" t="str">
        <f>IFERROR(TRIM(Raw_Data!C168), "Review")</f>
        <v>Garcia</v>
      </c>
      <c r="D168" s="2">
        <f>IF(Raw_Data!D168="", "", IFERROR(VALUE(Raw_Data!D168), ""))</f>
        <v>40</v>
      </c>
      <c r="E168" s="2" t="str">
        <f>IFERROR(LEFT(Raw_Data!E168,SEARCH("-",Raw_Data!E168)-1),"Review")</f>
        <v>Sales</v>
      </c>
      <c r="F168" s="2" t="str">
        <f>IFERROR(_xlfn.TEXTAFTER(Raw_Data!E168,"-"),"Review")</f>
        <v>Illinois</v>
      </c>
      <c r="G168" s="2" t="str">
        <f>IFERROR(TRIM(Raw_Data!F168), "Review")</f>
        <v>Inactive</v>
      </c>
      <c r="H168" s="3" t="str">
        <f>IFERROR(TEXT(Raw_Data!G168, "YYYY-MM-DD"),"Review")</f>
        <v>2022-07-18</v>
      </c>
      <c r="I168" s="4">
        <f>IF(Raw_Data!H168="", "", IFERROR(VALUE(Raw_Data!H168), ""))</f>
        <v>85388.58</v>
      </c>
      <c r="J168" s="2" t="str">
        <f>IF(Raw_Data!I168="", "", IF(ISNUMBER(FIND("@", Raw_Data!I168)), Raw_Data!I168, "Review"))</f>
        <v>frank.garcia@example.com</v>
      </c>
      <c r="K168" s="5" t="str">
        <f>IFERROR(TEXT(ABS(Raw_Data!J168), "0"), "Review")</f>
        <v>1185672437</v>
      </c>
      <c r="L168" s="2" t="str">
        <f>IFERROR(TRIM(Raw_Data!K168), "Review")</f>
        <v>Poor</v>
      </c>
      <c r="M168" s="2" t="b">
        <f>IF(Raw_Data!L168="", "",
    IF(ISLOGICAL(Raw_Data!L168), Raw_Data!L168,
        IF(OR(UPPER(Raw_Data!L168)="TRUE", UPPER(Raw_Data!L168)="YES", UPPER(Raw_Data!L168)="1"), TRUE,
            IF(OR(UPPER(Raw_Data!L168)="FALSE", UPPER(Raw_Data!L168)="NO", UPPER(Raw_Data!L168)="0"), FALSE, "Review")
        )
    )
)</f>
        <v>1</v>
      </c>
    </row>
    <row r="169" spans="1:13" x14ac:dyDescent="0.4">
      <c r="A169" s="2" t="str">
        <f>IFERROR(TRIM(Raw_Data!A169), "Review")</f>
        <v>EMP1167</v>
      </c>
      <c r="B169" s="2" t="str">
        <f>IFERROR(TRIM(Raw_Data!B169), "Review")</f>
        <v>Bob</v>
      </c>
      <c r="C169" s="2" t="str">
        <f>IFERROR(TRIM(Raw_Data!C169), "Review")</f>
        <v>Davis</v>
      </c>
      <c r="D169" s="2" t="str">
        <f>IF(Raw_Data!D169="", "", IFERROR(VALUE(Raw_Data!D169), ""))</f>
        <v/>
      </c>
      <c r="E169" s="2" t="str">
        <f>IFERROR(LEFT(Raw_Data!E169,SEARCH("-",Raw_Data!E169)-1),"Review")</f>
        <v>DevOps</v>
      </c>
      <c r="F169" s="2" t="str">
        <f>IFERROR(_xlfn.TEXTAFTER(Raw_Data!E169,"-"),"Review")</f>
        <v>New York</v>
      </c>
      <c r="G169" s="2" t="str">
        <f>IFERROR(TRIM(Raw_Data!F169), "Review")</f>
        <v>Inactive</v>
      </c>
      <c r="H169" s="3" t="str">
        <f>IFERROR(TEXT(Raw_Data!G169, "YYYY-MM-DD"),"Review")</f>
        <v>2022-07-13</v>
      </c>
      <c r="I169" s="4">
        <f>IF(Raw_Data!H169="", "", IFERROR(VALUE(Raw_Data!H169), ""))</f>
        <v>112166.37</v>
      </c>
      <c r="J169" s="2" t="str">
        <f>IF(Raw_Data!I169="", "", IF(ISNUMBER(FIND("@", Raw_Data!I169)), Raw_Data!I169, "Review"))</f>
        <v>bob.davis@example.com</v>
      </c>
      <c r="K169" s="5" t="str">
        <f>IFERROR(TEXT(ABS(Raw_Data!J169), "0"), "Review")</f>
        <v>701765635</v>
      </c>
      <c r="L169" s="2" t="str">
        <f>IFERROR(TRIM(Raw_Data!K169), "Review")</f>
        <v>Excellent</v>
      </c>
      <c r="M169" s="2" t="b">
        <f>IF(Raw_Data!L169="", "",
    IF(ISLOGICAL(Raw_Data!L169), Raw_Data!L169,
        IF(OR(UPPER(Raw_Data!L169)="TRUE", UPPER(Raw_Data!L169)="YES", UPPER(Raw_Data!L169)="1"), TRUE,
            IF(OR(UPPER(Raw_Data!L169)="FALSE", UPPER(Raw_Data!L169)="NO", UPPER(Raw_Data!L169)="0"), FALSE, "Review")
        )
    )
)</f>
        <v>0</v>
      </c>
    </row>
    <row r="170" spans="1:13" x14ac:dyDescent="0.4">
      <c r="A170" s="2" t="str">
        <f>IFERROR(TRIM(Raw_Data!A170), "Review")</f>
        <v>EMP1168</v>
      </c>
      <c r="B170" s="2" t="str">
        <f>IFERROR(TRIM(Raw_Data!B170), "Review")</f>
        <v>Heidi</v>
      </c>
      <c r="C170" s="2" t="str">
        <f>IFERROR(TRIM(Raw_Data!C170), "Review")</f>
        <v>Davis</v>
      </c>
      <c r="D170" s="2">
        <f>IF(Raw_Data!D170="", "", IFERROR(VALUE(Raw_Data!D170), ""))</f>
        <v>40</v>
      </c>
      <c r="E170" s="2" t="str">
        <f>IFERROR(LEFT(Raw_Data!E170,SEARCH("-",Raw_Data!E170)-1),"Review")</f>
        <v>Finance</v>
      </c>
      <c r="F170" s="2" t="str">
        <f>IFERROR(_xlfn.TEXTAFTER(Raw_Data!E170,"-"),"Review")</f>
        <v>Nevada</v>
      </c>
      <c r="G170" s="2" t="str">
        <f>IFERROR(TRIM(Raw_Data!F170), "Review")</f>
        <v>Active</v>
      </c>
      <c r="H170" s="3" t="str">
        <f>IFERROR(TEXT(Raw_Data!G170, "YYYY-MM-DD"),"Review")</f>
        <v>2021-10-02</v>
      </c>
      <c r="I170" s="4">
        <f>IF(Raw_Data!H170="", "", IFERROR(VALUE(Raw_Data!H170), ""))</f>
        <v>79873.48</v>
      </c>
      <c r="J170" s="2" t="str">
        <f>IF(Raw_Data!I170="", "", IF(ISNUMBER(FIND("@", Raw_Data!I170)), Raw_Data!I170, "Review"))</f>
        <v>heidi.davis@example.com</v>
      </c>
      <c r="K170" s="5" t="str">
        <f>IFERROR(TEXT(ABS(Raw_Data!J170), "0"), "Review")</f>
        <v>41257770</v>
      </c>
      <c r="L170" s="2" t="str">
        <f>IFERROR(TRIM(Raw_Data!K170), "Review")</f>
        <v>Average</v>
      </c>
      <c r="M170" s="2" t="b">
        <f>IF(Raw_Data!L170="", "",
    IF(ISLOGICAL(Raw_Data!L170), Raw_Data!L170,
        IF(OR(UPPER(Raw_Data!L170)="TRUE", UPPER(Raw_Data!L170)="YES", UPPER(Raw_Data!L170)="1"), TRUE,
            IF(OR(UPPER(Raw_Data!L170)="FALSE", UPPER(Raw_Data!L170)="NO", UPPER(Raw_Data!L170)="0"), FALSE, "Review")
        )
    )
)</f>
        <v>0</v>
      </c>
    </row>
    <row r="171" spans="1:13" x14ac:dyDescent="0.4">
      <c r="A171" s="2" t="str">
        <f>IFERROR(TRIM(Raw_Data!A171), "Review")</f>
        <v>EMP1169</v>
      </c>
      <c r="B171" s="2" t="str">
        <f>IFERROR(TRIM(Raw_Data!B171), "Review")</f>
        <v>Frank</v>
      </c>
      <c r="C171" s="2" t="str">
        <f>IFERROR(TRIM(Raw_Data!C171), "Review")</f>
        <v>Miller</v>
      </c>
      <c r="D171" s="2">
        <f>IF(Raw_Data!D171="", "", IFERROR(VALUE(Raw_Data!D171), ""))</f>
        <v>30</v>
      </c>
      <c r="E171" s="2" t="str">
        <f>IFERROR(LEFT(Raw_Data!E171,SEARCH("-",Raw_Data!E171)-1),"Review")</f>
        <v>DevOps</v>
      </c>
      <c r="F171" s="2" t="str">
        <f>IFERROR(_xlfn.TEXTAFTER(Raw_Data!E171,"-"),"Review")</f>
        <v>Florida</v>
      </c>
      <c r="G171" s="2" t="str">
        <f>IFERROR(TRIM(Raw_Data!F171), "Review")</f>
        <v>Active</v>
      </c>
      <c r="H171" s="3" t="str">
        <f>IFERROR(TEXT(Raw_Data!G171, "YYYY-MM-DD"),"Review")</f>
        <v>2020-07-05</v>
      </c>
      <c r="I171" s="4">
        <f>IF(Raw_Data!H171="", "", IFERROR(VALUE(Raw_Data!H171), ""))</f>
        <v>108224.03</v>
      </c>
      <c r="J171" s="2" t="str">
        <f>IF(Raw_Data!I171="", "", IF(ISNUMBER(FIND("@", Raw_Data!I171)), Raw_Data!I171, "Review"))</f>
        <v>frank.miller@example.com</v>
      </c>
      <c r="K171" s="5" t="str">
        <f>IFERROR(TEXT(ABS(Raw_Data!J171), "0"), "Review")</f>
        <v>1837274219</v>
      </c>
      <c r="L171" s="2" t="str">
        <f>IFERROR(TRIM(Raw_Data!K171), "Review")</f>
        <v>Poor</v>
      </c>
      <c r="M171" s="2" t="b">
        <f>IF(Raw_Data!L171="", "",
    IF(ISLOGICAL(Raw_Data!L171), Raw_Data!L171,
        IF(OR(UPPER(Raw_Data!L171)="TRUE", UPPER(Raw_Data!L171)="YES", UPPER(Raw_Data!L171)="1"), TRUE,
            IF(OR(UPPER(Raw_Data!L171)="FALSE", UPPER(Raw_Data!L171)="NO", UPPER(Raw_Data!L171)="0"), FALSE, "Review")
        )
    )
)</f>
        <v>1</v>
      </c>
    </row>
    <row r="172" spans="1:13" x14ac:dyDescent="0.4">
      <c r="A172" s="2" t="str">
        <f>IFERROR(TRIM(Raw_Data!A172), "Review")</f>
        <v>EMP1170</v>
      </c>
      <c r="B172" s="2" t="str">
        <f>IFERROR(TRIM(Raw_Data!B172), "Review")</f>
        <v>Bob</v>
      </c>
      <c r="C172" s="2" t="str">
        <f>IFERROR(TRIM(Raw_Data!C172), "Review")</f>
        <v>Garcia</v>
      </c>
      <c r="D172" s="2">
        <f>IF(Raw_Data!D172="", "", IFERROR(VALUE(Raw_Data!D172), ""))</f>
        <v>35</v>
      </c>
      <c r="E172" s="2" t="str">
        <f>IFERROR(LEFT(Raw_Data!E172,SEARCH("-",Raw_Data!E172)-1),"Review")</f>
        <v>Admin</v>
      </c>
      <c r="F172" s="2" t="str">
        <f>IFERROR(_xlfn.TEXTAFTER(Raw_Data!E172,"-"),"Review")</f>
        <v>Illinois</v>
      </c>
      <c r="G172" s="2" t="str">
        <f>IFERROR(TRIM(Raw_Data!F172), "Review")</f>
        <v>Active</v>
      </c>
      <c r="H172" s="3" t="str">
        <f>IFERROR(TEXT(Raw_Data!G172, "YYYY-MM-DD"),"Review")</f>
        <v>2023-04-16</v>
      </c>
      <c r="I172" s="4">
        <f>IF(Raw_Data!H172="", "", IFERROR(VALUE(Raw_Data!H172), ""))</f>
        <v>116963.72</v>
      </c>
      <c r="J172" s="2" t="str">
        <f>IF(Raw_Data!I172="", "", IF(ISNUMBER(FIND("@", Raw_Data!I172)), Raw_Data!I172, "Review"))</f>
        <v>bob.garcia@example.com</v>
      </c>
      <c r="K172" s="5" t="str">
        <f>IFERROR(TEXT(ABS(Raw_Data!J172), "0"), "Review")</f>
        <v>9124186209</v>
      </c>
      <c r="L172" s="2" t="str">
        <f>IFERROR(TRIM(Raw_Data!K172), "Review")</f>
        <v>Average</v>
      </c>
      <c r="M172" s="2" t="b">
        <f>IF(Raw_Data!L172="", "",
    IF(ISLOGICAL(Raw_Data!L172), Raw_Data!L172,
        IF(OR(UPPER(Raw_Data!L172)="TRUE", UPPER(Raw_Data!L172)="YES", UPPER(Raw_Data!L172)="1"), TRUE,
            IF(OR(UPPER(Raw_Data!L172)="FALSE", UPPER(Raw_Data!L172)="NO", UPPER(Raw_Data!L172)="0"), FALSE, "Review")
        )
    )
)</f>
        <v>1</v>
      </c>
    </row>
    <row r="173" spans="1:13" x14ac:dyDescent="0.4">
      <c r="A173" s="2" t="str">
        <f>IFERROR(TRIM(Raw_Data!A173), "Review")</f>
        <v>EMP1171</v>
      </c>
      <c r="B173" s="2" t="str">
        <f>IFERROR(TRIM(Raw_Data!B173), "Review")</f>
        <v>Bob</v>
      </c>
      <c r="C173" s="2" t="str">
        <f>IFERROR(TRIM(Raw_Data!C173), "Review")</f>
        <v>Jones</v>
      </c>
      <c r="D173" s="2">
        <f>IF(Raw_Data!D173="", "", IFERROR(VALUE(Raw_Data!D173), ""))</f>
        <v>40</v>
      </c>
      <c r="E173" s="2" t="str">
        <f>IFERROR(LEFT(Raw_Data!E173,SEARCH("-",Raw_Data!E173)-1),"Review")</f>
        <v>HR</v>
      </c>
      <c r="F173" s="2" t="str">
        <f>IFERROR(_xlfn.TEXTAFTER(Raw_Data!E173,"-"),"Review")</f>
        <v>Nevada</v>
      </c>
      <c r="G173" s="2" t="str">
        <f>IFERROR(TRIM(Raw_Data!F173), "Review")</f>
        <v>Inactive</v>
      </c>
      <c r="H173" s="3" t="str">
        <f>IFERROR(TEXT(Raw_Data!G173, "YYYY-MM-DD"),"Review")</f>
        <v>2024-11-12</v>
      </c>
      <c r="I173" s="4">
        <f>IF(Raw_Data!H173="", "", IFERROR(VALUE(Raw_Data!H173), ""))</f>
        <v>114109.06</v>
      </c>
      <c r="J173" s="2" t="str">
        <f>IF(Raw_Data!I173="", "", IF(ISNUMBER(FIND("@", Raw_Data!I173)), Raw_Data!I173, "Review"))</f>
        <v>bob.jones@example.com</v>
      </c>
      <c r="K173" s="5" t="str">
        <f>IFERROR(TEXT(ABS(Raw_Data!J173), "0"), "Review")</f>
        <v>4275230836</v>
      </c>
      <c r="L173" s="2" t="str">
        <f>IFERROR(TRIM(Raw_Data!K173), "Review")</f>
        <v>Average</v>
      </c>
      <c r="M173" s="2" t="b">
        <f>IF(Raw_Data!L173="", "",
    IF(ISLOGICAL(Raw_Data!L173), Raw_Data!L173,
        IF(OR(UPPER(Raw_Data!L173)="TRUE", UPPER(Raw_Data!L173)="YES", UPPER(Raw_Data!L173)="1"), TRUE,
            IF(OR(UPPER(Raw_Data!L173)="FALSE", UPPER(Raw_Data!L173)="NO", UPPER(Raw_Data!L173)="0"), FALSE, "Review")
        )
    )
)</f>
        <v>1</v>
      </c>
    </row>
    <row r="174" spans="1:13" x14ac:dyDescent="0.4">
      <c r="A174" s="2" t="str">
        <f>IFERROR(TRIM(Raw_Data!A174), "Review")</f>
        <v>EMP1172</v>
      </c>
      <c r="B174" s="2" t="str">
        <f>IFERROR(TRIM(Raw_Data!B174), "Review")</f>
        <v>Eva</v>
      </c>
      <c r="C174" s="2" t="str">
        <f>IFERROR(TRIM(Raw_Data!C174), "Review")</f>
        <v>Williams</v>
      </c>
      <c r="D174" s="2" t="str">
        <f>IF(Raw_Data!D174="", "", IFERROR(VALUE(Raw_Data!D174), ""))</f>
        <v/>
      </c>
      <c r="E174" s="2" t="str">
        <f>IFERROR(LEFT(Raw_Data!E174,SEARCH("-",Raw_Data!E174)-1),"Review")</f>
        <v>HR</v>
      </c>
      <c r="F174" s="2" t="str">
        <f>IFERROR(_xlfn.TEXTAFTER(Raw_Data!E174,"-"),"Review")</f>
        <v>California</v>
      </c>
      <c r="G174" s="2" t="str">
        <f>IFERROR(TRIM(Raw_Data!F174), "Review")</f>
        <v>Active</v>
      </c>
      <c r="H174" s="3" t="str">
        <f>IFERROR(TEXT(Raw_Data!G174, "YYYY-MM-DD"),"Review")</f>
        <v>2023-03-29</v>
      </c>
      <c r="I174" s="4">
        <f>IF(Raw_Data!H174="", "", IFERROR(VALUE(Raw_Data!H174), ""))</f>
        <v>85518.88</v>
      </c>
      <c r="J174" s="2" t="str">
        <f>IF(Raw_Data!I174="", "", IF(ISNUMBER(FIND("@", Raw_Data!I174)), Raw_Data!I174, "Review"))</f>
        <v>eva.williams@example.com</v>
      </c>
      <c r="K174" s="5" t="str">
        <f>IFERROR(TEXT(ABS(Raw_Data!J174), "0"), "Review")</f>
        <v>816470899</v>
      </c>
      <c r="L174" s="2" t="str">
        <f>IFERROR(TRIM(Raw_Data!K174), "Review")</f>
        <v>Excellent</v>
      </c>
      <c r="M174" s="2" t="b">
        <f>IF(Raw_Data!L174="", "",
    IF(ISLOGICAL(Raw_Data!L174), Raw_Data!L174,
        IF(OR(UPPER(Raw_Data!L174)="TRUE", UPPER(Raw_Data!L174)="YES", UPPER(Raw_Data!L174)="1"), TRUE,
            IF(OR(UPPER(Raw_Data!L174)="FALSE", UPPER(Raw_Data!L174)="NO", UPPER(Raw_Data!L174)="0"), FALSE, "Review")
        )
    )
)</f>
        <v>0</v>
      </c>
    </row>
    <row r="175" spans="1:13" x14ac:dyDescent="0.4">
      <c r="A175" s="2" t="str">
        <f>IFERROR(TRIM(Raw_Data!A175), "Review")</f>
        <v>EMP1173</v>
      </c>
      <c r="B175" s="2" t="str">
        <f>IFERROR(TRIM(Raw_Data!B175), "Review")</f>
        <v>Heidi</v>
      </c>
      <c r="C175" s="2" t="str">
        <f>IFERROR(TRIM(Raw_Data!C175), "Review")</f>
        <v>Brown</v>
      </c>
      <c r="D175" s="2">
        <f>IF(Raw_Data!D175="", "", IFERROR(VALUE(Raw_Data!D175), ""))</f>
        <v>30</v>
      </c>
      <c r="E175" s="2" t="str">
        <f>IFERROR(LEFT(Raw_Data!E175,SEARCH("-",Raw_Data!E175)-1),"Review")</f>
        <v>Cloud Tech</v>
      </c>
      <c r="F175" s="2" t="str">
        <f>IFERROR(_xlfn.TEXTAFTER(Raw_Data!E175,"-"),"Review")</f>
        <v>California</v>
      </c>
      <c r="G175" s="2" t="str">
        <f>IFERROR(TRIM(Raw_Data!F175), "Review")</f>
        <v>Pending</v>
      </c>
      <c r="H175" s="3" t="str">
        <f>IFERROR(TEXT(Raw_Data!G175, "YYYY-MM-DD"),"Review")</f>
        <v>2022-01-22</v>
      </c>
      <c r="I175" s="4">
        <f>IF(Raw_Data!H175="", "", IFERROR(VALUE(Raw_Data!H175), ""))</f>
        <v>58041.97</v>
      </c>
      <c r="J175" s="2" t="str">
        <f>IF(Raw_Data!I175="", "", IF(ISNUMBER(FIND("@", Raw_Data!I175)), Raw_Data!I175, "Review"))</f>
        <v>heidi.brown@example.com</v>
      </c>
      <c r="K175" s="5" t="str">
        <f>IFERROR(TEXT(ABS(Raw_Data!J175), "0"), "Review")</f>
        <v>6335331059</v>
      </c>
      <c r="L175" s="2" t="str">
        <f>IFERROR(TRIM(Raw_Data!K175), "Review")</f>
        <v>Poor</v>
      </c>
      <c r="M175" s="2" t="b">
        <f>IF(Raw_Data!L175="", "",
    IF(ISLOGICAL(Raw_Data!L175), Raw_Data!L175,
        IF(OR(UPPER(Raw_Data!L175)="TRUE", UPPER(Raw_Data!L175)="YES", UPPER(Raw_Data!L175)="1"), TRUE,
            IF(OR(UPPER(Raw_Data!L175)="FALSE", UPPER(Raw_Data!L175)="NO", UPPER(Raw_Data!L175)="0"), FALSE, "Review")
        )
    )
)</f>
        <v>1</v>
      </c>
    </row>
    <row r="176" spans="1:13" x14ac:dyDescent="0.4">
      <c r="A176" s="2" t="str">
        <f>IFERROR(TRIM(Raw_Data!A176), "Review")</f>
        <v>EMP1174</v>
      </c>
      <c r="B176" s="2" t="str">
        <f>IFERROR(TRIM(Raw_Data!B176), "Review")</f>
        <v>David</v>
      </c>
      <c r="C176" s="2" t="str">
        <f>IFERROR(TRIM(Raw_Data!C176), "Review")</f>
        <v>Garcia</v>
      </c>
      <c r="D176" s="2">
        <f>IF(Raw_Data!D176="", "", IFERROR(VALUE(Raw_Data!D176), ""))</f>
        <v>40</v>
      </c>
      <c r="E176" s="2" t="str">
        <f>IFERROR(LEFT(Raw_Data!E176,SEARCH("-",Raw_Data!E176)-1),"Review")</f>
        <v>Sales</v>
      </c>
      <c r="F176" s="2" t="str">
        <f>IFERROR(_xlfn.TEXTAFTER(Raw_Data!E176,"-"),"Review")</f>
        <v>Illinois</v>
      </c>
      <c r="G176" s="2" t="str">
        <f>IFERROR(TRIM(Raw_Data!F176), "Review")</f>
        <v>Pending</v>
      </c>
      <c r="H176" s="3" t="str">
        <f>IFERROR(TEXT(Raw_Data!G176, "YYYY-MM-DD"),"Review")</f>
        <v>2023-10-14</v>
      </c>
      <c r="I176" s="4">
        <f>IF(Raw_Data!H176="", "", IFERROR(VALUE(Raw_Data!H176), ""))</f>
        <v>94988.94</v>
      </c>
      <c r="J176" s="2" t="str">
        <f>IF(Raw_Data!I176="", "", IF(ISNUMBER(FIND("@", Raw_Data!I176)), Raw_Data!I176, "Review"))</f>
        <v>david.garcia@example.com</v>
      </c>
      <c r="K176" s="5" t="str">
        <f>IFERROR(TEXT(ABS(Raw_Data!J176), "0"), "Review")</f>
        <v>531312205</v>
      </c>
      <c r="L176" s="2" t="str">
        <f>IFERROR(TRIM(Raw_Data!K176), "Review")</f>
        <v>Good</v>
      </c>
      <c r="M176" s="2" t="b">
        <f>IF(Raw_Data!L176="", "",
    IF(ISLOGICAL(Raw_Data!L176), Raw_Data!L176,
        IF(OR(UPPER(Raw_Data!L176)="TRUE", UPPER(Raw_Data!L176)="YES", UPPER(Raw_Data!L176)="1"), TRUE,
            IF(OR(UPPER(Raw_Data!L176)="FALSE", UPPER(Raw_Data!L176)="NO", UPPER(Raw_Data!L176)="0"), FALSE, "Review")
        )
    )
)</f>
        <v>0</v>
      </c>
    </row>
    <row r="177" spans="1:13" x14ac:dyDescent="0.4">
      <c r="A177" s="2" t="str">
        <f>IFERROR(TRIM(Raw_Data!A177), "Review")</f>
        <v>EMP1175</v>
      </c>
      <c r="B177" s="2" t="str">
        <f>IFERROR(TRIM(Raw_Data!B177), "Review")</f>
        <v>Eva</v>
      </c>
      <c r="C177" s="2" t="str">
        <f>IFERROR(TRIM(Raw_Data!C177), "Review")</f>
        <v>Miller</v>
      </c>
      <c r="D177" s="2">
        <f>IF(Raw_Data!D177="", "", IFERROR(VALUE(Raw_Data!D177), ""))</f>
        <v>25</v>
      </c>
      <c r="E177" s="2" t="str">
        <f>IFERROR(LEFT(Raw_Data!E177,SEARCH("-",Raw_Data!E177)-1),"Review")</f>
        <v>Admin</v>
      </c>
      <c r="F177" s="2" t="str">
        <f>IFERROR(_xlfn.TEXTAFTER(Raw_Data!E177,"-"),"Review")</f>
        <v>California</v>
      </c>
      <c r="G177" s="2" t="str">
        <f>IFERROR(TRIM(Raw_Data!F177), "Review")</f>
        <v>Pending</v>
      </c>
      <c r="H177" s="3" t="str">
        <f>IFERROR(TEXT(Raw_Data!G177, "YYYY-MM-DD"),"Review")</f>
        <v>2024-04-10</v>
      </c>
      <c r="I177" s="4">
        <f>IF(Raw_Data!H177="", "", IFERROR(VALUE(Raw_Data!H177), ""))</f>
        <v>71628.929999999993</v>
      </c>
      <c r="J177" s="2" t="str">
        <f>IF(Raw_Data!I177="", "", IF(ISNUMBER(FIND("@", Raw_Data!I177)), Raw_Data!I177, "Review"))</f>
        <v>eva.miller@example.com</v>
      </c>
      <c r="K177" s="5" t="str">
        <f>IFERROR(TEXT(ABS(Raw_Data!J177), "0"), "Review")</f>
        <v>8155839385</v>
      </c>
      <c r="L177" s="2" t="str">
        <f>IFERROR(TRIM(Raw_Data!K177), "Review")</f>
        <v>Excellent</v>
      </c>
      <c r="M177" s="2" t="b">
        <f>IF(Raw_Data!L177="", "",
    IF(ISLOGICAL(Raw_Data!L177), Raw_Data!L177,
        IF(OR(UPPER(Raw_Data!L177)="TRUE", UPPER(Raw_Data!L177)="YES", UPPER(Raw_Data!L177)="1"), TRUE,
            IF(OR(UPPER(Raw_Data!L177)="FALSE", UPPER(Raw_Data!L177)="NO", UPPER(Raw_Data!L177)="0"), FALSE, "Review")
        )
    )
)</f>
        <v>0</v>
      </c>
    </row>
    <row r="178" spans="1:13" x14ac:dyDescent="0.4">
      <c r="A178" s="2" t="str">
        <f>IFERROR(TRIM(Raw_Data!A178), "Review")</f>
        <v>EMP1176</v>
      </c>
      <c r="B178" s="2" t="str">
        <f>IFERROR(TRIM(Raw_Data!B178), "Review")</f>
        <v>Alice</v>
      </c>
      <c r="C178" s="2" t="str">
        <f>IFERROR(TRIM(Raw_Data!C178), "Review")</f>
        <v>Williams</v>
      </c>
      <c r="D178" s="2">
        <f>IF(Raw_Data!D178="", "", IFERROR(VALUE(Raw_Data!D178), ""))</f>
        <v>30</v>
      </c>
      <c r="E178" s="2" t="str">
        <f>IFERROR(LEFT(Raw_Data!E178,SEARCH("-",Raw_Data!E178)-1),"Review")</f>
        <v>Admin</v>
      </c>
      <c r="F178" s="2" t="str">
        <f>IFERROR(_xlfn.TEXTAFTER(Raw_Data!E178,"-"),"Review")</f>
        <v>Illinois</v>
      </c>
      <c r="G178" s="2" t="str">
        <f>IFERROR(TRIM(Raw_Data!F178), "Review")</f>
        <v>Pending</v>
      </c>
      <c r="H178" s="3" t="str">
        <f>IFERROR(TEXT(Raw_Data!G178, "YYYY-MM-DD"),"Review")</f>
        <v>2022-03-31</v>
      </c>
      <c r="I178" s="4">
        <f>IF(Raw_Data!H178="", "", IFERROR(VALUE(Raw_Data!H178), ""))</f>
        <v>54870.98</v>
      </c>
      <c r="J178" s="2" t="str">
        <f>IF(Raw_Data!I178="", "", IF(ISNUMBER(FIND("@", Raw_Data!I178)), Raw_Data!I178, "Review"))</f>
        <v>alice.williams@example.com</v>
      </c>
      <c r="K178" s="5" t="str">
        <f>IFERROR(TEXT(ABS(Raw_Data!J178), "0"), "Review")</f>
        <v>6133155205</v>
      </c>
      <c r="L178" s="2" t="str">
        <f>IFERROR(TRIM(Raw_Data!K178), "Review")</f>
        <v>Good</v>
      </c>
      <c r="M178" s="2" t="b">
        <f>IF(Raw_Data!L178="", "",
    IF(ISLOGICAL(Raw_Data!L178), Raw_Data!L178,
        IF(OR(UPPER(Raw_Data!L178)="TRUE", UPPER(Raw_Data!L178)="YES", UPPER(Raw_Data!L178)="1"), TRUE,
            IF(OR(UPPER(Raw_Data!L178)="FALSE", UPPER(Raw_Data!L178)="NO", UPPER(Raw_Data!L178)="0"), FALSE, "Review")
        )
    )
)</f>
        <v>0</v>
      </c>
    </row>
    <row r="179" spans="1:13" x14ac:dyDescent="0.4">
      <c r="A179" s="2" t="str">
        <f>IFERROR(TRIM(Raw_Data!A179), "Review")</f>
        <v>EMP1177</v>
      </c>
      <c r="B179" s="2" t="str">
        <f>IFERROR(TRIM(Raw_Data!B179), "Review")</f>
        <v>Alice</v>
      </c>
      <c r="C179" s="2" t="str">
        <f>IFERROR(TRIM(Raw_Data!C179), "Review")</f>
        <v>Williams</v>
      </c>
      <c r="D179" s="2">
        <f>IF(Raw_Data!D179="", "", IFERROR(VALUE(Raw_Data!D179), ""))</f>
        <v>25</v>
      </c>
      <c r="E179" s="2" t="str">
        <f>IFERROR(LEFT(Raw_Data!E179,SEARCH("-",Raw_Data!E179)-1),"Review")</f>
        <v>DevOps</v>
      </c>
      <c r="F179" s="2" t="str">
        <f>IFERROR(_xlfn.TEXTAFTER(Raw_Data!E179,"-"),"Review")</f>
        <v>Illinois</v>
      </c>
      <c r="G179" s="2" t="str">
        <f>IFERROR(TRIM(Raw_Data!F179), "Review")</f>
        <v>Active</v>
      </c>
      <c r="H179" s="3" t="str">
        <f>IFERROR(TEXT(Raw_Data!G179, "YYYY-MM-DD"),"Review")</f>
        <v>2022-02-09</v>
      </c>
      <c r="I179" s="4">
        <f>IF(Raw_Data!H179="", "", IFERROR(VALUE(Raw_Data!H179), ""))</f>
        <v>79388.27</v>
      </c>
      <c r="J179" s="2" t="str">
        <f>IF(Raw_Data!I179="", "", IF(ISNUMBER(FIND("@", Raw_Data!I179)), Raw_Data!I179, "Review"))</f>
        <v>alice.williams@example.com</v>
      </c>
      <c r="K179" s="5" t="str">
        <f>IFERROR(TEXT(ABS(Raw_Data!J179), "0"), "Review")</f>
        <v>5063731494</v>
      </c>
      <c r="L179" s="2" t="str">
        <f>IFERROR(TRIM(Raw_Data!K179), "Review")</f>
        <v>Average</v>
      </c>
      <c r="M179" s="2" t="b">
        <f>IF(Raw_Data!L179="", "",
    IF(ISLOGICAL(Raw_Data!L179), Raw_Data!L179,
        IF(OR(UPPER(Raw_Data!L179)="TRUE", UPPER(Raw_Data!L179)="YES", UPPER(Raw_Data!L179)="1"), TRUE,
            IF(OR(UPPER(Raw_Data!L179)="FALSE", UPPER(Raw_Data!L179)="NO", UPPER(Raw_Data!L179)="0"), FALSE, "Review")
        )
    )
)</f>
        <v>1</v>
      </c>
    </row>
    <row r="180" spans="1:13" x14ac:dyDescent="0.4">
      <c r="A180" s="2" t="str">
        <f>IFERROR(TRIM(Raw_Data!A180), "Review")</f>
        <v>EMP1178</v>
      </c>
      <c r="B180" s="2" t="str">
        <f>IFERROR(TRIM(Raw_Data!B180), "Review")</f>
        <v>Frank</v>
      </c>
      <c r="C180" s="2" t="str">
        <f>IFERROR(TRIM(Raw_Data!C180), "Review")</f>
        <v>Smith</v>
      </c>
      <c r="D180" s="2">
        <f>IF(Raw_Data!D180="", "", IFERROR(VALUE(Raw_Data!D180), ""))</f>
        <v>35</v>
      </c>
      <c r="E180" s="2" t="str">
        <f>IFERROR(LEFT(Raw_Data!E180,SEARCH("-",Raw_Data!E180)-1),"Review")</f>
        <v>DevOps</v>
      </c>
      <c r="F180" s="2" t="str">
        <f>IFERROR(_xlfn.TEXTAFTER(Raw_Data!E180,"-"),"Review")</f>
        <v>California</v>
      </c>
      <c r="G180" s="2" t="str">
        <f>IFERROR(TRIM(Raw_Data!F180), "Review")</f>
        <v>Pending</v>
      </c>
      <c r="H180" s="3" t="str">
        <f>IFERROR(TEXT(Raw_Data!G180, "YYYY-MM-DD"),"Review")</f>
        <v>2023-05-06</v>
      </c>
      <c r="I180" s="4">
        <f>IF(Raw_Data!H180="", "", IFERROR(VALUE(Raw_Data!H180), ""))</f>
        <v>55946.99</v>
      </c>
      <c r="J180" s="2" t="str">
        <f>IF(Raw_Data!I180="", "", IF(ISNUMBER(FIND("@", Raw_Data!I180)), Raw_Data!I180, "Review"))</f>
        <v>frank.smith@example.com</v>
      </c>
      <c r="K180" s="5" t="str">
        <f>IFERROR(TEXT(ABS(Raw_Data!J180), "0"), "Review")</f>
        <v>136497188</v>
      </c>
      <c r="L180" s="2" t="str">
        <f>IFERROR(TRIM(Raw_Data!K180), "Review")</f>
        <v>Average</v>
      </c>
      <c r="M180" s="2" t="b">
        <f>IF(Raw_Data!L180="", "",
    IF(ISLOGICAL(Raw_Data!L180), Raw_Data!L180,
        IF(OR(UPPER(Raw_Data!L180)="TRUE", UPPER(Raw_Data!L180)="YES", UPPER(Raw_Data!L180)="1"), TRUE,
            IF(OR(UPPER(Raw_Data!L180)="FALSE", UPPER(Raw_Data!L180)="NO", UPPER(Raw_Data!L180)="0"), FALSE, "Review")
        )
    )
)</f>
        <v>0</v>
      </c>
    </row>
    <row r="181" spans="1:13" x14ac:dyDescent="0.4">
      <c r="A181" s="2" t="str">
        <f>IFERROR(TRIM(Raw_Data!A181), "Review")</f>
        <v>EMP1179</v>
      </c>
      <c r="B181" s="2" t="str">
        <f>IFERROR(TRIM(Raw_Data!B181), "Review")</f>
        <v>Charlie</v>
      </c>
      <c r="C181" s="2" t="str">
        <f>IFERROR(TRIM(Raw_Data!C181), "Review")</f>
        <v>Williams</v>
      </c>
      <c r="D181" s="2" t="str">
        <f>IF(Raw_Data!D181="", "", IFERROR(VALUE(Raw_Data!D181), ""))</f>
        <v/>
      </c>
      <c r="E181" s="2" t="str">
        <f>IFERROR(LEFT(Raw_Data!E181,SEARCH("-",Raw_Data!E181)-1),"Review")</f>
        <v>Cloud Tech</v>
      </c>
      <c r="F181" s="2" t="str">
        <f>IFERROR(_xlfn.TEXTAFTER(Raw_Data!E181,"-"),"Review")</f>
        <v>Nevada</v>
      </c>
      <c r="G181" s="2" t="str">
        <f>IFERROR(TRIM(Raw_Data!F181), "Review")</f>
        <v>Active</v>
      </c>
      <c r="H181" s="3" t="str">
        <f>IFERROR(TEXT(Raw_Data!G181, "YYYY-MM-DD"),"Review")</f>
        <v>2021-07-11</v>
      </c>
      <c r="I181" s="4">
        <f>IF(Raw_Data!H181="", "", IFERROR(VALUE(Raw_Data!H181), ""))</f>
        <v>81017.91</v>
      </c>
      <c r="J181" s="2" t="str">
        <f>IF(Raw_Data!I181="", "", IF(ISNUMBER(FIND("@", Raw_Data!I181)), Raw_Data!I181, "Review"))</f>
        <v>charlie.williams@example.com</v>
      </c>
      <c r="K181" s="5" t="str">
        <f>IFERROR(TEXT(ABS(Raw_Data!J181), "0"), "Review")</f>
        <v>2419562524</v>
      </c>
      <c r="L181" s="2" t="str">
        <f>IFERROR(TRIM(Raw_Data!K181), "Review")</f>
        <v>Excellent</v>
      </c>
      <c r="M181" s="2" t="b">
        <f>IF(Raw_Data!L181="", "",
    IF(ISLOGICAL(Raw_Data!L181), Raw_Data!L181,
        IF(OR(UPPER(Raw_Data!L181)="TRUE", UPPER(Raw_Data!L181)="YES", UPPER(Raw_Data!L181)="1"), TRUE,
            IF(OR(UPPER(Raw_Data!L181)="FALSE", UPPER(Raw_Data!L181)="NO", UPPER(Raw_Data!L181)="0"), FALSE, "Review")
        )
    )
)</f>
        <v>1</v>
      </c>
    </row>
    <row r="182" spans="1:13" x14ac:dyDescent="0.4">
      <c r="A182" s="2" t="str">
        <f>IFERROR(TRIM(Raw_Data!A182), "Review")</f>
        <v>EMP1180</v>
      </c>
      <c r="B182" s="2" t="str">
        <f>IFERROR(TRIM(Raw_Data!B182), "Review")</f>
        <v>Heidi</v>
      </c>
      <c r="C182" s="2" t="str">
        <f>IFERROR(TRIM(Raw_Data!C182), "Review")</f>
        <v>Jones</v>
      </c>
      <c r="D182" s="2">
        <f>IF(Raw_Data!D182="", "", IFERROR(VALUE(Raw_Data!D182), ""))</f>
        <v>40</v>
      </c>
      <c r="E182" s="2" t="str">
        <f>IFERROR(LEFT(Raw_Data!E182,SEARCH("-",Raw_Data!E182)-1),"Review")</f>
        <v>HR</v>
      </c>
      <c r="F182" s="2" t="str">
        <f>IFERROR(_xlfn.TEXTAFTER(Raw_Data!E182,"-"),"Review")</f>
        <v>New York</v>
      </c>
      <c r="G182" s="2" t="str">
        <f>IFERROR(TRIM(Raw_Data!F182), "Review")</f>
        <v>Pending</v>
      </c>
      <c r="H182" s="3" t="str">
        <f>IFERROR(TEXT(Raw_Data!G182, "YYYY-MM-DD"),"Review")</f>
        <v>2020-08-21</v>
      </c>
      <c r="I182" s="4">
        <f>IF(Raw_Data!H182="", "", IFERROR(VALUE(Raw_Data!H182), ""))</f>
        <v>74162.100000000006</v>
      </c>
      <c r="J182" s="2" t="str">
        <f>IF(Raw_Data!I182="", "", IF(ISNUMBER(FIND("@", Raw_Data!I182)), Raw_Data!I182, "Review"))</f>
        <v>heidi.jones@example.com</v>
      </c>
      <c r="K182" s="5" t="str">
        <f>IFERROR(TEXT(ABS(Raw_Data!J182), "0"), "Review")</f>
        <v>7150997682</v>
      </c>
      <c r="L182" s="2" t="str">
        <f>IFERROR(TRIM(Raw_Data!K182), "Review")</f>
        <v>Excellent</v>
      </c>
      <c r="M182" s="2" t="b">
        <f>IF(Raw_Data!L182="", "",
    IF(ISLOGICAL(Raw_Data!L182), Raw_Data!L182,
        IF(OR(UPPER(Raw_Data!L182)="TRUE", UPPER(Raw_Data!L182)="YES", UPPER(Raw_Data!L182)="1"), TRUE,
            IF(OR(UPPER(Raw_Data!L182)="FALSE", UPPER(Raw_Data!L182)="NO", UPPER(Raw_Data!L182)="0"), FALSE, "Review")
        )
    )
)</f>
        <v>0</v>
      </c>
    </row>
    <row r="183" spans="1:13" x14ac:dyDescent="0.4">
      <c r="A183" s="2" t="str">
        <f>IFERROR(TRIM(Raw_Data!A183), "Review")</f>
        <v>EMP1181</v>
      </c>
      <c r="B183" s="2" t="str">
        <f>IFERROR(TRIM(Raw_Data!B183), "Review")</f>
        <v>Heidi</v>
      </c>
      <c r="C183" s="2" t="str">
        <f>IFERROR(TRIM(Raw_Data!C183), "Review")</f>
        <v>Davis</v>
      </c>
      <c r="D183" s="2" t="str">
        <f>IF(Raw_Data!D183="", "", IFERROR(VALUE(Raw_Data!D183), ""))</f>
        <v/>
      </c>
      <c r="E183" s="2" t="str">
        <f>IFERROR(LEFT(Raw_Data!E183,SEARCH("-",Raw_Data!E183)-1),"Review")</f>
        <v>DevOps</v>
      </c>
      <c r="F183" s="2" t="str">
        <f>IFERROR(_xlfn.TEXTAFTER(Raw_Data!E183,"-"),"Review")</f>
        <v>California</v>
      </c>
      <c r="G183" s="2" t="str">
        <f>IFERROR(TRIM(Raw_Data!F183), "Review")</f>
        <v>Active</v>
      </c>
      <c r="H183" s="3" t="str">
        <f>IFERROR(TEXT(Raw_Data!G183, "YYYY-MM-DD"),"Review")</f>
        <v>2021-03-27</v>
      </c>
      <c r="I183" s="4">
        <f>IF(Raw_Data!H183="", "", IFERROR(VALUE(Raw_Data!H183), ""))</f>
        <v>77668.44</v>
      </c>
      <c r="J183" s="2" t="str">
        <f>IF(Raw_Data!I183="", "", IF(ISNUMBER(FIND("@", Raw_Data!I183)), Raw_Data!I183, "Review"))</f>
        <v>heidi.davis@example.com</v>
      </c>
      <c r="K183" s="5" t="str">
        <f>IFERROR(TEXT(ABS(Raw_Data!J183), "0"), "Review")</f>
        <v>8903091435</v>
      </c>
      <c r="L183" s="2" t="str">
        <f>IFERROR(TRIM(Raw_Data!K183), "Review")</f>
        <v>Good</v>
      </c>
      <c r="M183" s="2" t="b">
        <f>IF(Raw_Data!L183="", "",
    IF(ISLOGICAL(Raw_Data!L183), Raw_Data!L183,
        IF(OR(UPPER(Raw_Data!L183)="TRUE", UPPER(Raw_Data!L183)="YES", UPPER(Raw_Data!L183)="1"), TRUE,
            IF(OR(UPPER(Raw_Data!L183)="FALSE", UPPER(Raw_Data!L183)="NO", UPPER(Raw_Data!L183)="0"), FALSE, "Review")
        )
    )
)</f>
        <v>1</v>
      </c>
    </row>
    <row r="184" spans="1:13" x14ac:dyDescent="0.4">
      <c r="A184" s="2" t="str">
        <f>IFERROR(TRIM(Raw_Data!A184), "Review")</f>
        <v>EMP1182</v>
      </c>
      <c r="B184" s="2" t="str">
        <f>IFERROR(TRIM(Raw_Data!B184), "Review")</f>
        <v>Alice</v>
      </c>
      <c r="C184" s="2" t="str">
        <f>IFERROR(TRIM(Raw_Data!C184), "Review")</f>
        <v>Miller</v>
      </c>
      <c r="D184" s="2">
        <f>IF(Raw_Data!D184="", "", IFERROR(VALUE(Raw_Data!D184), ""))</f>
        <v>30</v>
      </c>
      <c r="E184" s="2" t="str">
        <f>IFERROR(LEFT(Raw_Data!E184,SEARCH("-",Raw_Data!E184)-1),"Review")</f>
        <v>HR</v>
      </c>
      <c r="F184" s="2" t="str">
        <f>IFERROR(_xlfn.TEXTAFTER(Raw_Data!E184,"-"),"Review")</f>
        <v>New York</v>
      </c>
      <c r="G184" s="2" t="str">
        <f>IFERROR(TRIM(Raw_Data!F184), "Review")</f>
        <v>Active</v>
      </c>
      <c r="H184" s="3" t="str">
        <f>IFERROR(TEXT(Raw_Data!G184, "YYYY-MM-DD"),"Review")</f>
        <v>2024-04-14</v>
      </c>
      <c r="I184" s="4">
        <f>IF(Raw_Data!H184="", "", IFERROR(VALUE(Raw_Data!H184), ""))</f>
        <v>67886.37</v>
      </c>
      <c r="J184" s="2" t="str">
        <f>IF(Raw_Data!I184="", "", IF(ISNUMBER(FIND("@", Raw_Data!I184)), Raw_Data!I184, "Review"))</f>
        <v>alice.miller@example.com</v>
      </c>
      <c r="K184" s="5" t="str">
        <f>IFERROR(TEXT(ABS(Raw_Data!J184), "0"), "Review")</f>
        <v>3910257431</v>
      </c>
      <c r="L184" s="2" t="str">
        <f>IFERROR(TRIM(Raw_Data!K184), "Review")</f>
        <v>Poor</v>
      </c>
      <c r="M184" s="2" t="b">
        <f>IF(Raw_Data!L184="", "",
    IF(ISLOGICAL(Raw_Data!L184), Raw_Data!L184,
        IF(OR(UPPER(Raw_Data!L184)="TRUE", UPPER(Raw_Data!L184)="YES", UPPER(Raw_Data!L184)="1"), TRUE,
            IF(OR(UPPER(Raw_Data!L184)="FALSE", UPPER(Raw_Data!L184)="NO", UPPER(Raw_Data!L184)="0"), FALSE, "Review")
        )
    )
)</f>
        <v>0</v>
      </c>
    </row>
    <row r="185" spans="1:13" x14ac:dyDescent="0.4">
      <c r="A185" s="2" t="str">
        <f>IFERROR(TRIM(Raw_Data!A185), "Review")</f>
        <v>EMP1183</v>
      </c>
      <c r="B185" s="2" t="str">
        <f>IFERROR(TRIM(Raw_Data!B185), "Review")</f>
        <v>Alice</v>
      </c>
      <c r="C185" s="2" t="str">
        <f>IFERROR(TRIM(Raw_Data!C185), "Review")</f>
        <v>Williams</v>
      </c>
      <c r="D185" s="2">
        <f>IF(Raw_Data!D185="", "", IFERROR(VALUE(Raw_Data!D185), ""))</f>
        <v>40</v>
      </c>
      <c r="E185" s="2" t="str">
        <f>IFERROR(LEFT(Raw_Data!E185,SEARCH("-",Raw_Data!E185)-1),"Review")</f>
        <v>DevOps</v>
      </c>
      <c r="F185" s="2" t="str">
        <f>IFERROR(_xlfn.TEXTAFTER(Raw_Data!E185,"-"),"Review")</f>
        <v>Florida</v>
      </c>
      <c r="G185" s="2" t="str">
        <f>IFERROR(TRIM(Raw_Data!F185), "Review")</f>
        <v>Active</v>
      </c>
      <c r="H185" s="3" t="str">
        <f>IFERROR(TEXT(Raw_Data!G185, "YYYY-MM-DD"),"Review")</f>
        <v>2020-09-21</v>
      </c>
      <c r="I185" s="4">
        <f>IF(Raw_Data!H185="", "", IFERROR(VALUE(Raw_Data!H185), ""))</f>
        <v>76614.52</v>
      </c>
      <c r="J185" s="2" t="str">
        <f>IF(Raw_Data!I185="", "", IF(ISNUMBER(FIND("@", Raw_Data!I185)), Raw_Data!I185, "Review"))</f>
        <v>alice.williams@example.com</v>
      </c>
      <c r="K185" s="5" t="str">
        <f>IFERROR(TEXT(ABS(Raw_Data!J185), "0"), "Review")</f>
        <v>6303975244</v>
      </c>
      <c r="L185" s="2" t="str">
        <f>IFERROR(TRIM(Raw_Data!K185), "Review")</f>
        <v>Good</v>
      </c>
      <c r="M185" s="2" t="b">
        <f>IF(Raw_Data!L185="", "",
    IF(ISLOGICAL(Raw_Data!L185), Raw_Data!L185,
        IF(OR(UPPER(Raw_Data!L185)="TRUE", UPPER(Raw_Data!L185)="YES", UPPER(Raw_Data!L185)="1"), TRUE,
            IF(OR(UPPER(Raw_Data!L185)="FALSE", UPPER(Raw_Data!L185)="NO", UPPER(Raw_Data!L185)="0"), FALSE, "Review")
        )
    )
)</f>
        <v>1</v>
      </c>
    </row>
    <row r="186" spans="1:13" x14ac:dyDescent="0.4">
      <c r="A186" s="2" t="str">
        <f>IFERROR(TRIM(Raw_Data!A186), "Review")</f>
        <v>EMP1184</v>
      </c>
      <c r="B186" s="2" t="str">
        <f>IFERROR(TRIM(Raw_Data!B186), "Review")</f>
        <v>Frank</v>
      </c>
      <c r="C186" s="2" t="str">
        <f>IFERROR(TRIM(Raw_Data!C186), "Review")</f>
        <v>Smith</v>
      </c>
      <c r="D186" s="2">
        <f>IF(Raw_Data!D186="", "", IFERROR(VALUE(Raw_Data!D186), ""))</f>
        <v>25</v>
      </c>
      <c r="E186" s="2" t="str">
        <f>IFERROR(LEFT(Raw_Data!E186,SEARCH("-",Raw_Data!E186)-1),"Review")</f>
        <v>Finance</v>
      </c>
      <c r="F186" s="2" t="str">
        <f>IFERROR(_xlfn.TEXTAFTER(Raw_Data!E186,"-"),"Review")</f>
        <v>Nevada</v>
      </c>
      <c r="G186" s="2" t="str">
        <f>IFERROR(TRIM(Raw_Data!F186), "Review")</f>
        <v>Active</v>
      </c>
      <c r="H186" s="3" t="str">
        <f>IFERROR(TEXT(Raw_Data!G186, "YYYY-MM-DD"),"Review")</f>
        <v>2022-06-12</v>
      </c>
      <c r="I186" s="4">
        <f>IF(Raw_Data!H186="", "", IFERROR(VALUE(Raw_Data!H186), ""))</f>
        <v>51311.91</v>
      </c>
      <c r="J186" s="2" t="str">
        <f>IF(Raw_Data!I186="", "", IF(ISNUMBER(FIND("@", Raw_Data!I186)), Raw_Data!I186, "Review"))</f>
        <v>frank.smith@example.com</v>
      </c>
      <c r="K186" s="5" t="str">
        <f>IFERROR(TEXT(ABS(Raw_Data!J186), "0"), "Review")</f>
        <v>864035532</v>
      </c>
      <c r="L186" s="2" t="str">
        <f>IFERROR(TRIM(Raw_Data!K186), "Review")</f>
        <v>Excellent</v>
      </c>
      <c r="M186" s="2" t="b">
        <f>IF(Raw_Data!L186="", "",
    IF(ISLOGICAL(Raw_Data!L186), Raw_Data!L186,
        IF(OR(UPPER(Raw_Data!L186)="TRUE", UPPER(Raw_Data!L186)="YES", UPPER(Raw_Data!L186)="1"), TRUE,
            IF(OR(UPPER(Raw_Data!L186)="FALSE", UPPER(Raw_Data!L186)="NO", UPPER(Raw_Data!L186)="0"), FALSE, "Review")
        )
    )
)</f>
        <v>0</v>
      </c>
    </row>
    <row r="187" spans="1:13" x14ac:dyDescent="0.4">
      <c r="A187" s="2" t="str">
        <f>IFERROR(TRIM(Raw_Data!A187), "Review")</f>
        <v>EMP1185</v>
      </c>
      <c r="B187" s="2" t="str">
        <f>IFERROR(TRIM(Raw_Data!B187), "Review")</f>
        <v>Frank</v>
      </c>
      <c r="C187" s="2" t="str">
        <f>IFERROR(TRIM(Raw_Data!C187), "Review")</f>
        <v>Jones</v>
      </c>
      <c r="D187" s="2" t="str">
        <f>IF(Raw_Data!D187="", "", IFERROR(VALUE(Raw_Data!D187), ""))</f>
        <v/>
      </c>
      <c r="E187" s="2" t="str">
        <f>IFERROR(LEFT(Raw_Data!E187,SEARCH("-",Raw_Data!E187)-1),"Review")</f>
        <v>Finance</v>
      </c>
      <c r="F187" s="2" t="str">
        <f>IFERROR(_xlfn.TEXTAFTER(Raw_Data!E187,"-"),"Review")</f>
        <v>Illinois</v>
      </c>
      <c r="G187" s="2" t="str">
        <f>IFERROR(TRIM(Raw_Data!F187), "Review")</f>
        <v>Inactive</v>
      </c>
      <c r="H187" s="3" t="str">
        <f>IFERROR(TEXT(Raw_Data!G187, "YYYY-MM-DD"),"Review")</f>
        <v>2023-12-24</v>
      </c>
      <c r="I187" s="4">
        <f>IF(Raw_Data!H187="", "", IFERROR(VALUE(Raw_Data!H187), ""))</f>
        <v>94809.919999999998</v>
      </c>
      <c r="J187" s="2" t="str">
        <f>IF(Raw_Data!I187="", "", IF(ISNUMBER(FIND("@", Raw_Data!I187)), Raw_Data!I187, "Review"))</f>
        <v>frank.jones@example.com</v>
      </c>
      <c r="K187" s="5" t="str">
        <f>IFERROR(TEXT(ABS(Raw_Data!J187), "0"), "Review")</f>
        <v>8033968526</v>
      </c>
      <c r="L187" s="2" t="str">
        <f>IFERROR(TRIM(Raw_Data!K187), "Review")</f>
        <v>Good</v>
      </c>
      <c r="M187" s="2" t="b">
        <f>IF(Raw_Data!L187="", "",
    IF(ISLOGICAL(Raw_Data!L187), Raw_Data!L187,
        IF(OR(UPPER(Raw_Data!L187)="TRUE", UPPER(Raw_Data!L187)="YES", UPPER(Raw_Data!L187)="1"), TRUE,
            IF(OR(UPPER(Raw_Data!L187)="FALSE", UPPER(Raw_Data!L187)="NO", UPPER(Raw_Data!L187)="0"), FALSE, "Review")
        )
    )
)</f>
        <v>1</v>
      </c>
    </row>
    <row r="188" spans="1:13" x14ac:dyDescent="0.4">
      <c r="A188" s="2" t="str">
        <f>IFERROR(TRIM(Raw_Data!A188), "Review")</f>
        <v>EMP1186</v>
      </c>
      <c r="B188" s="2" t="str">
        <f>IFERROR(TRIM(Raw_Data!B188), "Review")</f>
        <v>Grace</v>
      </c>
      <c r="C188" s="2" t="str">
        <f>IFERROR(TRIM(Raw_Data!C188), "Review")</f>
        <v>Johnson</v>
      </c>
      <c r="D188" s="2">
        <f>IF(Raw_Data!D188="", "", IFERROR(VALUE(Raw_Data!D188), ""))</f>
        <v>25</v>
      </c>
      <c r="E188" s="2" t="str">
        <f>IFERROR(LEFT(Raw_Data!E188,SEARCH("-",Raw_Data!E188)-1),"Review")</f>
        <v>HR</v>
      </c>
      <c r="F188" s="2" t="str">
        <f>IFERROR(_xlfn.TEXTAFTER(Raw_Data!E188,"-"),"Review")</f>
        <v>New York</v>
      </c>
      <c r="G188" s="2" t="str">
        <f>IFERROR(TRIM(Raw_Data!F188), "Review")</f>
        <v>Pending</v>
      </c>
      <c r="H188" s="3" t="str">
        <f>IFERROR(TEXT(Raw_Data!G188, "YYYY-MM-DD"),"Review")</f>
        <v>2022-07-31</v>
      </c>
      <c r="I188" s="4">
        <f>IF(Raw_Data!H188="", "", IFERROR(VALUE(Raw_Data!H188), ""))</f>
        <v>108241.81</v>
      </c>
      <c r="J188" s="2" t="str">
        <f>IF(Raw_Data!I188="", "", IF(ISNUMBER(FIND("@", Raw_Data!I188)), Raw_Data!I188, "Review"))</f>
        <v>grace.johnson@example.com</v>
      </c>
      <c r="K188" s="5" t="str">
        <f>IFERROR(TEXT(ABS(Raw_Data!J188), "0"), "Review")</f>
        <v>171302320</v>
      </c>
      <c r="L188" s="2" t="str">
        <f>IFERROR(TRIM(Raw_Data!K188), "Review")</f>
        <v>Excellent</v>
      </c>
      <c r="M188" s="2" t="b">
        <f>IF(Raw_Data!L188="", "",
    IF(ISLOGICAL(Raw_Data!L188), Raw_Data!L188,
        IF(OR(UPPER(Raw_Data!L188)="TRUE", UPPER(Raw_Data!L188)="YES", UPPER(Raw_Data!L188)="1"), TRUE,
            IF(OR(UPPER(Raw_Data!L188)="FALSE", UPPER(Raw_Data!L188)="NO", UPPER(Raw_Data!L188)="0"), FALSE, "Review")
        )
    )
)</f>
        <v>1</v>
      </c>
    </row>
    <row r="189" spans="1:13" x14ac:dyDescent="0.4">
      <c r="A189" s="2" t="str">
        <f>IFERROR(TRIM(Raw_Data!A189), "Review")</f>
        <v>EMP1187</v>
      </c>
      <c r="B189" s="2" t="str">
        <f>IFERROR(TRIM(Raw_Data!B189), "Review")</f>
        <v>Bob</v>
      </c>
      <c r="C189" s="2" t="str">
        <f>IFERROR(TRIM(Raw_Data!C189), "Review")</f>
        <v>Davis</v>
      </c>
      <c r="D189" s="2">
        <f>IF(Raw_Data!D189="", "", IFERROR(VALUE(Raw_Data!D189), ""))</f>
        <v>40</v>
      </c>
      <c r="E189" s="2" t="str">
        <f>IFERROR(LEFT(Raw_Data!E189,SEARCH("-",Raw_Data!E189)-1),"Review")</f>
        <v>Cloud Tech</v>
      </c>
      <c r="F189" s="2" t="str">
        <f>IFERROR(_xlfn.TEXTAFTER(Raw_Data!E189,"-"),"Review")</f>
        <v>New York</v>
      </c>
      <c r="G189" s="2" t="str">
        <f>IFERROR(TRIM(Raw_Data!F189), "Review")</f>
        <v>Inactive</v>
      </c>
      <c r="H189" s="3" t="str">
        <f>IFERROR(TEXT(Raw_Data!G189, "YYYY-MM-DD"),"Review")</f>
        <v>2023-04-21</v>
      </c>
      <c r="I189" s="4">
        <f>IF(Raw_Data!H189="", "", IFERROR(VALUE(Raw_Data!H189), ""))</f>
        <v>78031.490000000005</v>
      </c>
      <c r="J189" s="2" t="str">
        <f>IF(Raw_Data!I189="", "", IF(ISNUMBER(FIND("@", Raw_Data!I189)), Raw_Data!I189, "Review"))</f>
        <v>bob.davis@example.com</v>
      </c>
      <c r="K189" s="5" t="str">
        <f>IFERROR(TEXT(ABS(Raw_Data!J189), "0"), "Review")</f>
        <v>2983381673</v>
      </c>
      <c r="L189" s="2" t="str">
        <f>IFERROR(TRIM(Raw_Data!K189), "Review")</f>
        <v>Good</v>
      </c>
      <c r="M189" s="2" t="b">
        <f>IF(Raw_Data!L189="", "",
    IF(ISLOGICAL(Raw_Data!L189), Raw_Data!L189,
        IF(OR(UPPER(Raw_Data!L189)="TRUE", UPPER(Raw_Data!L189)="YES", UPPER(Raw_Data!L189)="1"), TRUE,
            IF(OR(UPPER(Raw_Data!L189)="FALSE", UPPER(Raw_Data!L189)="NO", UPPER(Raw_Data!L189)="0"), FALSE, "Review")
        )
    )
)</f>
        <v>1</v>
      </c>
    </row>
    <row r="190" spans="1:13" x14ac:dyDescent="0.4">
      <c r="A190" s="2" t="str">
        <f>IFERROR(TRIM(Raw_Data!A190), "Review")</f>
        <v>EMP1188</v>
      </c>
      <c r="B190" s="2" t="str">
        <f>IFERROR(TRIM(Raw_Data!B190), "Review")</f>
        <v>Eva</v>
      </c>
      <c r="C190" s="2" t="str">
        <f>IFERROR(TRIM(Raw_Data!C190), "Review")</f>
        <v>Davis</v>
      </c>
      <c r="D190" s="2">
        <f>IF(Raw_Data!D190="", "", IFERROR(VALUE(Raw_Data!D190), ""))</f>
        <v>35</v>
      </c>
      <c r="E190" s="2" t="str">
        <f>IFERROR(LEFT(Raw_Data!E190,SEARCH("-",Raw_Data!E190)-1),"Review")</f>
        <v>Admin</v>
      </c>
      <c r="F190" s="2" t="str">
        <f>IFERROR(_xlfn.TEXTAFTER(Raw_Data!E190,"-"),"Review")</f>
        <v>California</v>
      </c>
      <c r="G190" s="2" t="str">
        <f>IFERROR(TRIM(Raw_Data!F190), "Review")</f>
        <v>Active</v>
      </c>
      <c r="H190" s="3" t="str">
        <f>IFERROR(TEXT(Raw_Data!G190, "YYYY-MM-DD"),"Review")</f>
        <v>2020-06-05</v>
      </c>
      <c r="I190" s="4">
        <f>IF(Raw_Data!H190="", "", IFERROR(VALUE(Raw_Data!H190), ""))</f>
        <v>85733.83</v>
      </c>
      <c r="J190" s="2" t="str">
        <f>IF(Raw_Data!I190="", "", IF(ISNUMBER(FIND("@", Raw_Data!I190)), Raw_Data!I190, "Review"))</f>
        <v>eva.davis@example.com</v>
      </c>
      <c r="K190" s="5" t="str">
        <f>IFERROR(TEXT(ABS(Raw_Data!J190), "0"), "Review")</f>
        <v>2336293448</v>
      </c>
      <c r="L190" s="2" t="str">
        <f>IFERROR(TRIM(Raw_Data!K190), "Review")</f>
        <v>Excellent</v>
      </c>
      <c r="M190" s="2" t="b">
        <f>IF(Raw_Data!L190="", "",
    IF(ISLOGICAL(Raw_Data!L190), Raw_Data!L190,
        IF(OR(UPPER(Raw_Data!L190)="TRUE", UPPER(Raw_Data!L190)="YES", UPPER(Raw_Data!L190)="1"), TRUE,
            IF(OR(UPPER(Raw_Data!L190)="FALSE", UPPER(Raw_Data!L190)="NO", UPPER(Raw_Data!L190)="0"), FALSE, "Review")
        )
    )
)</f>
        <v>1</v>
      </c>
    </row>
    <row r="191" spans="1:13" x14ac:dyDescent="0.4">
      <c r="A191" s="2" t="str">
        <f>IFERROR(TRIM(Raw_Data!A191), "Review")</f>
        <v>EMP1189</v>
      </c>
      <c r="B191" s="2" t="str">
        <f>IFERROR(TRIM(Raw_Data!B191), "Review")</f>
        <v>David</v>
      </c>
      <c r="C191" s="2" t="str">
        <f>IFERROR(TRIM(Raw_Data!C191), "Review")</f>
        <v>Miller</v>
      </c>
      <c r="D191" s="2">
        <f>IF(Raw_Data!D191="", "", IFERROR(VALUE(Raw_Data!D191), ""))</f>
        <v>35</v>
      </c>
      <c r="E191" s="2" t="str">
        <f>IFERROR(LEFT(Raw_Data!E191,SEARCH("-",Raw_Data!E191)-1),"Review")</f>
        <v>HR</v>
      </c>
      <c r="F191" s="2" t="str">
        <f>IFERROR(_xlfn.TEXTAFTER(Raw_Data!E191,"-"),"Review")</f>
        <v>Nevada</v>
      </c>
      <c r="G191" s="2" t="str">
        <f>IFERROR(TRIM(Raw_Data!F191), "Review")</f>
        <v>Pending</v>
      </c>
      <c r="H191" s="3" t="str">
        <f>IFERROR(TEXT(Raw_Data!G191, "YYYY-MM-DD"),"Review")</f>
        <v>2024-07-27</v>
      </c>
      <c r="I191" s="4">
        <f>IF(Raw_Data!H191="", "", IFERROR(VALUE(Raw_Data!H191), ""))</f>
        <v>60338.29</v>
      </c>
      <c r="J191" s="2" t="str">
        <f>IF(Raw_Data!I191="", "", IF(ISNUMBER(FIND("@", Raw_Data!I191)), Raw_Data!I191, "Review"))</f>
        <v>david.miller@example.com</v>
      </c>
      <c r="K191" s="5" t="str">
        <f>IFERROR(TEXT(ABS(Raw_Data!J191), "0"), "Review")</f>
        <v>7347156626</v>
      </c>
      <c r="L191" s="2" t="str">
        <f>IFERROR(TRIM(Raw_Data!K191), "Review")</f>
        <v>Excellent</v>
      </c>
      <c r="M191" s="2" t="b">
        <f>IF(Raw_Data!L191="", "",
    IF(ISLOGICAL(Raw_Data!L191), Raw_Data!L191,
        IF(OR(UPPER(Raw_Data!L191)="TRUE", UPPER(Raw_Data!L191)="YES", UPPER(Raw_Data!L191)="1"), TRUE,
            IF(OR(UPPER(Raw_Data!L191)="FALSE", UPPER(Raw_Data!L191)="NO", UPPER(Raw_Data!L191)="0"), FALSE, "Review")
        )
    )
)</f>
        <v>0</v>
      </c>
    </row>
    <row r="192" spans="1:13" x14ac:dyDescent="0.4">
      <c r="A192" s="2" t="str">
        <f>IFERROR(TRIM(Raw_Data!A192), "Review")</f>
        <v>EMP1190</v>
      </c>
      <c r="B192" s="2" t="str">
        <f>IFERROR(TRIM(Raw_Data!B192), "Review")</f>
        <v>Eva</v>
      </c>
      <c r="C192" s="2" t="str">
        <f>IFERROR(TRIM(Raw_Data!C192), "Review")</f>
        <v>Davis</v>
      </c>
      <c r="D192" s="2">
        <f>IF(Raw_Data!D192="", "", IFERROR(VALUE(Raw_Data!D192), ""))</f>
        <v>30</v>
      </c>
      <c r="E192" s="2" t="str">
        <f>IFERROR(LEFT(Raw_Data!E192,SEARCH("-",Raw_Data!E192)-1),"Review")</f>
        <v>Admin</v>
      </c>
      <c r="F192" s="2" t="str">
        <f>IFERROR(_xlfn.TEXTAFTER(Raw_Data!E192,"-"),"Review")</f>
        <v>Illinois</v>
      </c>
      <c r="G192" s="2" t="str">
        <f>IFERROR(TRIM(Raw_Data!F192), "Review")</f>
        <v>Active</v>
      </c>
      <c r="H192" s="3" t="str">
        <f>IFERROR(TEXT(Raw_Data!G192, "YYYY-MM-DD"),"Review")</f>
        <v>2024-04-05</v>
      </c>
      <c r="I192" s="4">
        <f>IF(Raw_Data!H192="", "", IFERROR(VALUE(Raw_Data!H192), ""))</f>
        <v>103140.67</v>
      </c>
      <c r="J192" s="2" t="str">
        <f>IF(Raw_Data!I192="", "", IF(ISNUMBER(FIND("@", Raw_Data!I192)), Raw_Data!I192, "Review"))</f>
        <v>eva.davis@example.com</v>
      </c>
      <c r="K192" s="5" t="str">
        <f>IFERROR(TEXT(ABS(Raw_Data!J192), "0"), "Review")</f>
        <v>7689627065</v>
      </c>
      <c r="L192" s="2" t="str">
        <f>IFERROR(TRIM(Raw_Data!K192), "Review")</f>
        <v>Excellent</v>
      </c>
      <c r="M192" s="2" t="b">
        <f>IF(Raw_Data!L192="", "",
    IF(ISLOGICAL(Raw_Data!L192), Raw_Data!L192,
        IF(OR(UPPER(Raw_Data!L192)="TRUE", UPPER(Raw_Data!L192)="YES", UPPER(Raw_Data!L192)="1"), TRUE,
            IF(OR(UPPER(Raw_Data!L192)="FALSE", UPPER(Raw_Data!L192)="NO", UPPER(Raw_Data!L192)="0"), FALSE, "Review")
        )
    )
)</f>
        <v>0</v>
      </c>
    </row>
    <row r="193" spans="1:13" x14ac:dyDescent="0.4">
      <c r="A193" s="2" t="str">
        <f>IFERROR(TRIM(Raw_Data!A193), "Review")</f>
        <v>EMP1191</v>
      </c>
      <c r="B193" s="2" t="str">
        <f>IFERROR(TRIM(Raw_Data!B193), "Review")</f>
        <v>Heidi</v>
      </c>
      <c r="C193" s="2" t="str">
        <f>IFERROR(TRIM(Raw_Data!C193), "Review")</f>
        <v>Williams</v>
      </c>
      <c r="D193" s="2">
        <f>IF(Raw_Data!D193="", "", IFERROR(VALUE(Raw_Data!D193), ""))</f>
        <v>40</v>
      </c>
      <c r="E193" s="2" t="str">
        <f>IFERROR(LEFT(Raw_Data!E193,SEARCH("-",Raw_Data!E193)-1),"Review")</f>
        <v>Sales</v>
      </c>
      <c r="F193" s="2" t="str">
        <f>IFERROR(_xlfn.TEXTAFTER(Raw_Data!E193,"-"),"Review")</f>
        <v>Illinois</v>
      </c>
      <c r="G193" s="2" t="str">
        <f>IFERROR(TRIM(Raw_Data!F193), "Review")</f>
        <v>Inactive</v>
      </c>
      <c r="H193" s="3" t="str">
        <f>IFERROR(TEXT(Raw_Data!G193, "YYYY-MM-DD"),"Review")</f>
        <v>2023-10-26</v>
      </c>
      <c r="I193" s="4">
        <f>IF(Raw_Data!H193="", "", IFERROR(VALUE(Raw_Data!H193), ""))</f>
        <v>114690.8</v>
      </c>
      <c r="J193" s="2" t="str">
        <f>IF(Raw_Data!I193="", "", IF(ISNUMBER(FIND("@", Raw_Data!I193)), Raw_Data!I193, "Review"))</f>
        <v>heidi.williams@example.com</v>
      </c>
      <c r="K193" s="5" t="str">
        <f>IFERROR(TEXT(ABS(Raw_Data!J193), "0"), "Review")</f>
        <v>1498282466</v>
      </c>
      <c r="L193" s="2" t="str">
        <f>IFERROR(TRIM(Raw_Data!K193), "Review")</f>
        <v>Poor</v>
      </c>
      <c r="M193" s="2" t="b">
        <f>IF(Raw_Data!L193="", "",
    IF(ISLOGICAL(Raw_Data!L193), Raw_Data!L193,
        IF(OR(UPPER(Raw_Data!L193)="TRUE", UPPER(Raw_Data!L193)="YES", UPPER(Raw_Data!L193)="1"), TRUE,
            IF(OR(UPPER(Raw_Data!L193)="FALSE", UPPER(Raw_Data!L193)="NO", UPPER(Raw_Data!L193)="0"), FALSE, "Review")
        )
    )
)</f>
        <v>1</v>
      </c>
    </row>
    <row r="194" spans="1:13" x14ac:dyDescent="0.4">
      <c r="A194" s="2" t="str">
        <f>IFERROR(TRIM(Raw_Data!A194), "Review")</f>
        <v>EMP1192</v>
      </c>
      <c r="B194" s="2" t="str">
        <f>IFERROR(TRIM(Raw_Data!B194), "Review")</f>
        <v>Frank</v>
      </c>
      <c r="C194" s="2" t="str">
        <f>IFERROR(TRIM(Raw_Data!C194), "Review")</f>
        <v>Smith</v>
      </c>
      <c r="D194" s="2">
        <f>IF(Raw_Data!D194="", "", IFERROR(VALUE(Raw_Data!D194), ""))</f>
        <v>35</v>
      </c>
      <c r="E194" s="2" t="str">
        <f>IFERROR(LEFT(Raw_Data!E194,SEARCH("-",Raw_Data!E194)-1),"Review")</f>
        <v>Admin</v>
      </c>
      <c r="F194" s="2" t="str">
        <f>IFERROR(_xlfn.TEXTAFTER(Raw_Data!E194,"-"),"Review")</f>
        <v>Florida</v>
      </c>
      <c r="G194" s="2" t="str">
        <f>IFERROR(TRIM(Raw_Data!F194), "Review")</f>
        <v>Active</v>
      </c>
      <c r="H194" s="3" t="str">
        <f>IFERROR(TEXT(Raw_Data!G194, "YYYY-MM-DD"),"Review")</f>
        <v>2022-08-18</v>
      </c>
      <c r="I194" s="4">
        <f>IF(Raw_Data!H194="", "", IFERROR(VALUE(Raw_Data!H194), ""))</f>
        <v>80954.559999999998</v>
      </c>
      <c r="J194" s="2" t="str">
        <f>IF(Raw_Data!I194="", "", IF(ISNUMBER(FIND("@", Raw_Data!I194)), Raw_Data!I194, "Review"))</f>
        <v>frank.smith@example.com</v>
      </c>
      <c r="K194" s="5" t="str">
        <f>IFERROR(TEXT(ABS(Raw_Data!J194), "0"), "Review")</f>
        <v>4746897151</v>
      </c>
      <c r="L194" s="2" t="str">
        <f>IFERROR(TRIM(Raw_Data!K194), "Review")</f>
        <v>Good</v>
      </c>
      <c r="M194" s="2" t="b">
        <f>IF(Raw_Data!L194="", "",
    IF(ISLOGICAL(Raw_Data!L194), Raw_Data!L194,
        IF(OR(UPPER(Raw_Data!L194)="TRUE", UPPER(Raw_Data!L194)="YES", UPPER(Raw_Data!L194)="1"), TRUE,
            IF(OR(UPPER(Raw_Data!L194)="FALSE", UPPER(Raw_Data!L194)="NO", UPPER(Raw_Data!L194)="0"), FALSE, "Review")
        )
    )
)</f>
        <v>0</v>
      </c>
    </row>
    <row r="195" spans="1:13" x14ac:dyDescent="0.4">
      <c r="A195" s="2" t="str">
        <f>IFERROR(TRIM(Raw_Data!A195), "Review")</f>
        <v>EMP1193</v>
      </c>
      <c r="B195" s="2" t="str">
        <f>IFERROR(TRIM(Raw_Data!B195), "Review")</f>
        <v>Eva</v>
      </c>
      <c r="C195" s="2" t="str">
        <f>IFERROR(TRIM(Raw_Data!C195), "Review")</f>
        <v>Davis</v>
      </c>
      <c r="D195" s="2" t="str">
        <f>IF(Raw_Data!D195="", "", IFERROR(VALUE(Raw_Data!D195), ""))</f>
        <v/>
      </c>
      <c r="E195" s="2" t="str">
        <f>IFERROR(LEFT(Raw_Data!E195,SEARCH("-",Raw_Data!E195)-1),"Review")</f>
        <v>Cloud Tech</v>
      </c>
      <c r="F195" s="2" t="str">
        <f>IFERROR(_xlfn.TEXTAFTER(Raw_Data!E195,"-"),"Review")</f>
        <v>California</v>
      </c>
      <c r="G195" s="2" t="str">
        <f>IFERROR(TRIM(Raw_Data!F195), "Review")</f>
        <v>Pending</v>
      </c>
      <c r="H195" s="3" t="str">
        <f>IFERROR(TEXT(Raw_Data!G195, "YYYY-MM-DD"),"Review")</f>
        <v>2020-05-31</v>
      </c>
      <c r="I195" s="4">
        <f>IF(Raw_Data!H195="", "", IFERROR(VALUE(Raw_Data!H195), ""))</f>
        <v>71728.55</v>
      </c>
      <c r="J195" s="2" t="str">
        <f>IF(Raw_Data!I195="", "", IF(ISNUMBER(FIND("@", Raw_Data!I195)), Raw_Data!I195, "Review"))</f>
        <v>eva.davis@example.com</v>
      </c>
      <c r="K195" s="5" t="str">
        <f>IFERROR(TEXT(ABS(Raw_Data!J195), "0"), "Review")</f>
        <v>7323008575</v>
      </c>
      <c r="L195" s="2" t="str">
        <f>IFERROR(TRIM(Raw_Data!K195), "Review")</f>
        <v>Good</v>
      </c>
      <c r="M195" s="2" t="b">
        <f>IF(Raw_Data!L195="", "",
    IF(ISLOGICAL(Raw_Data!L195), Raw_Data!L195,
        IF(OR(UPPER(Raw_Data!L195)="TRUE", UPPER(Raw_Data!L195)="YES", UPPER(Raw_Data!L195)="1"), TRUE,
            IF(OR(UPPER(Raw_Data!L195)="FALSE", UPPER(Raw_Data!L195)="NO", UPPER(Raw_Data!L195)="0"), FALSE, "Review")
        )
    )
)</f>
        <v>1</v>
      </c>
    </row>
    <row r="196" spans="1:13" x14ac:dyDescent="0.4">
      <c r="A196" s="2" t="str">
        <f>IFERROR(TRIM(Raw_Data!A196), "Review")</f>
        <v>EMP1194</v>
      </c>
      <c r="B196" s="2" t="str">
        <f>IFERROR(TRIM(Raw_Data!B196), "Review")</f>
        <v>Alice</v>
      </c>
      <c r="C196" s="2" t="str">
        <f>IFERROR(TRIM(Raw_Data!C196), "Review")</f>
        <v>Davis</v>
      </c>
      <c r="D196" s="2">
        <f>IF(Raw_Data!D196="", "", IFERROR(VALUE(Raw_Data!D196), ""))</f>
        <v>35</v>
      </c>
      <c r="E196" s="2" t="str">
        <f>IFERROR(LEFT(Raw_Data!E196,SEARCH("-",Raw_Data!E196)-1),"Review")</f>
        <v>HR</v>
      </c>
      <c r="F196" s="2" t="str">
        <f>IFERROR(_xlfn.TEXTAFTER(Raw_Data!E196,"-"),"Review")</f>
        <v>Texas</v>
      </c>
      <c r="G196" s="2" t="str">
        <f>IFERROR(TRIM(Raw_Data!F196), "Review")</f>
        <v>Pending</v>
      </c>
      <c r="H196" s="3" t="str">
        <f>IFERROR(TEXT(Raw_Data!G196, "YYYY-MM-DD"),"Review")</f>
        <v>2024-11-04</v>
      </c>
      <c r="I196" s="4">
        <f>IF(Raw_Data!H196="", "", IFERROR(VALUE(Raw_Data!H196), ""))</f>
        <v>118415.8</v>
      </c>
      <c r="J196" s="2" t="str">
        <f>IF(Raw_Data!I196="", "", IF(ISNUMBER(FIND("@", Raw_Data!I196)), Raw_Data!I196, "Review"))</f>
        <v>alice.davis@example.com</v>
      </c>
      <c r="K196" s="5" t="str">
        <f>IFERROR(TEXT(ABS(Raw_Data!J196), "0"), "Review")</f>
        <v>6656749159</v>
      </c>
      <c r="L196" s="2" t="str">
        <f>IFERROR(TRIM(Raw_Data!K196), "Review")</f>
        <v>Good</v>
      </c>
      <c r="M196" s="2" t="b">
        <f>IF(Raw_Data!L196="", "",
    IF(ISLOGICAL(Raw_Data!L196), Raw_Data!L196,
        IF(OR(UPPER(Raw_Data!L196)="TRUE", UPPER(Raw_Data!L196)="YES", UPPER(Raw_Data!L196)="1"), TRUE,
            IF(OR(UPPER(Raw_Data!L196)="FALSE", UPPER(Raw_Data!L196)="NO", UPPER(Raw_Data!L196)="0"), FALSE, "Review")
        )
    )
)</f>
        <v>1</v>
      </c>
    </row>
    <row r="197" spans="1:13" x14ac:dyDescent="0.4">
      <c r="A197" s="2" t="str">
        <f>IFERROR(TRIM(Raw_Data!A197), "Review")</f>
        <v>EMP1195</v>
      </c>
      <c r="B197" s="2" t="str">
        <f>IFERROR(TRIM(Raw_Data!B197), "Review")</f>
        <v>Grace</v>
      </c>
      <c r="C197" s="2" t="str">
        <f>IFERROR(TRIM(Raw_Data!C197), "Review")</f>
        <v>Johnson</v>
      </c>
      <c r="D197" s="2">
        <f>IF(Raw_Data!D197="", "", IFERROR(VALUE(Raw_Data!D197), ""))</f>
        <v>40</v>
      </c>
      <c r="E197" s="2" t="str">
        <f>IFERROR(LEFT(Raw_Data!E197,SEARCH("-",Raw_Data!E197)-1),"Review")</f>
        <v>Sales</v>
      </c>
      <c r="F197" s="2" t="str">
        <f>IFERROR(_xlfn.TEXTAFTER(Raw_Data!E197,"-"),"Review")</f>
        <v>Illinois</v>
      </c>
      <c r="G197" s="2" t="str">
        <f>IFERROR(TRIM(Raw_Data!F197), "Review")</f>
        <v>Pending</v>
      </c>
      <c r="H197" s="3" t="str">
        <f>IFERROR(TEXT(Raw_Data!G197, "YYYY-MM-DD"),"Review")</f>
        <v>2020-03-25</v>
      </c>
      <c r="I197" s="4">
        <f>IF(Raw_Data!H197="", "", IFERROR(VALUE(Raw_Data!H197), ""))</f>
        <v>81481.36</v>
      </c>
      <c r="J197" s="2" t="str">
        <f>IF(Raw_Data!I197="", "", IF(ISNUMBER(FIND("@", Raw_Data!I197)), Raw_Data!I197, "Review"))</f>
        <v>grace.johnson@example.com</v>
      </c>
      <c r="K197" s="5" t="str">
        <f>IFERROR(TEXT(ABS(Raw_Data!J197), "0"), "Review")</f>
        <v>1692364586</v>
      </c>
      <c r="L197" s="2" t="str">
        <f>IFERROR(TRIM(Raw_Data!K197), "Review")</f>
        <v>Excellent</v>
      </c>
      <c r="M197" s="2" t="b">
        <f>IF(Raw_Data!L197="", "",
    IF(ISLOGICAL(Raw_Data!L197), Raw_Data!L197,
        IF(OR(UPPER(Raw_Data!L197)="TRUE", UPPER(Raw_Data!L197)="YES", UPPER(Raw_Data!L197)="1"), TRUE,
            IF(OR(UPPER(Raw_Data!L197)="FALSE", UPPER(Raw_Data!L197)="NO", UPPER(Raw_Data!L197)="0"), FALSE, "Review")
        )
    )
)</f>
        <v>0</v>
      </c>
    </row>
    <row r="198" spans="1:13" x14ac:dyDescent="0.4">
      <c r="A198" s="2" t="str">
        <f>IFERROR(TRIM(Raw_Data!A198), "Review")</f>
        <v>EMP1196</v>
      </c>
      <c r="B198" s="2" t="str">
        <f>IFERROR(TRIM(Raw_Data!B198), "Review")</f>
        <v>David</v>
      </c>
      <c r="C198" s="2" t="str">
        <f>IFERROR(TRIM(Raw_Data!C198), "Review")</f>
        <v>Johnson</v>
      </c>
      <c r="D198" s="2">
        <f>IF(Raw_Data!D198="", "", IFERROR(VALUE(Raw_Data!D198), ""))</f>
        <v>35</v>
      </c>
      <c r="E198" s="2" t="str">
        <f>IFERROR(LEFT(Raw_Data!E198,SEARCH("-",Raw_Data!E198)-1),"Review")</f>
        <v>Sales</v>
      </c>
      <c r="F198" s="2" t="str">
        <f>IFERROR(_xlfn.TEXTAFTER(Raw_Data!E198,"-"),"Review")</f>
        <v>Florida</v>
      </c>
      <c r="G198" s="2" t="str">
        <f>IFERROR(TRIM(Raw_Data!F198), "Review")</f>
        <v>Pending</v>
      </c>
      <c r="H198" s="3" t="str">
        <f>IFERROR(TEXT(Raw_Data!G198, "YYYY-MM-DD"),"Review")</f>
        <v>2020-11-04</v>
      </c>
      <c r="I198" s="4">
        <f>IF(Raw_Data!H198="", "", IFERROR(VALUE(Raw_Data!H198), ""))</f>
        <v>117040.57</v>
      </c>
      <c r="J198" s="2" t="str">
        <f>IF(Raw_Data!I198="", "", IF(ISNUMBER(FIND("@", Raw_Data!I198)), Raw_Data!I198, "Review"))</f>
        <v>david.johnson@example.com</v>
      </c>
      <c r="K198" s="5" t="str">
        <f>IFERROR(TEXT(ABS(Raw_Data!J198), "0"), "Review")</f>
        <v>5066337049</v>
      </c>
      <c r="L198" s="2" t="str">
        <f>IFERROR(TRIM(Raw_Data!K198), "Review")</f>
        <v>Good</v>
      </c>
      <c r="M198" s="2" t="b">
        <f>IF(Raw_Data!L198="", "",
    IF(ISLOGICAL(Raw_Data!L198), Raw_Data!L198,
        IF(OR(UPPER(Raw_Data!L198)="TRUE", UPPER(Raw_Data!L198)="YES", UPPER(Raw_Data!L198)="1"), TRUE,
            IF(OR(UPPER(Raw_Data!L198)="FALSE", UPPER(Raw_Data!L198)="NO", UPPER(Raw_Data!L198)="0"), FALSE, "Review")
        )
    )
)</f>
        <v>1</v>
      </c>
    </row>
    <row r="199" spans="1:13" x14ac:dyDescent="0.4">
      <c r="A199" s="2" t="str">
        <f>IFERROR(TRIM(Raw_Data!A199), "Review")</f>
        <v>EMP1197</v>
      </c>
      <c r="B199" s="2" t="str">
        <f>IFERROR(TRIM(Raw_Data!B199), "Review")</f>
        <v>Frank</v>
      </c>
      <c r="C199" s="2" t="str">
        <f>IFERROR(TRIM(Raw_Data!C199), "Review")</f>
        <v>Brown</v>
      </c>
      <c r="D199" s="2">
        <f>IF(Raw_Data!D199="", "", IFERROR(VALUE(Raw_Data!D199), ""))</f>
        <v>25</v>
      </c>
      <c r="E199" s="2" t="str">
        <f>IFERROR(LEFT(Raw_Data!E199,SEARCH("-",Raw_Data!E199)-1),"Review")</f>
        <v>Sales</v>
      </c>
      <c r="F199" s="2" t="str">
        <f>IFERROR(_xlfn.TEXTAFTER(Raw_Data!E199,"-"),"Review")</f>
        <v>Nevada</v>
      </c>
      <c r="G199" s="2" t="str">
        <f>IFERROR(TRIM(Raw_Data!F199), "Review")</f>
        <v>Active</v>
      </c>
      <c r="H199" s="3" t="str">
        <f>IFERROR(TEXT(Raw_Data!G199, "YYYY-MM-DD"),"Review")</f>
        <v>2020-03-21</v>
      </c>
      <c r="I199" s="4">
        <f>IF(Raw_Data!H199="", "", IFERROR(VALUE(Raw_Data!H199), ""))</f>
        <v>67342.06</v>
      </c>
      <c r="J199" s="2" t="str">
        <f>IF(Raw_Data!I199="", "", IF(ISNUMBER(FIND("@", Raw_Data!I199)), Raw_Data!I199, "Review"))</f>
        <v>frank.brown@example.com</v>
      </c>
      <c r="K199" s="5" t="str">
        <f>IFERROR(TEXT(ABS(Raw_Data!J199), "0"), "Review")</f>
        <v>2497243991</v>
      </c>
      <c r="L199" s="2" t="str">
        <f>IFERROR(TRIM(Raw_Data!K199), "Review")</f>
        <v>Good</v>
      </c>
      <c r="M199" s="2" t="b">
        <f>IF(Raw_Data!L199="", "",
    IF(ISLOGICAL(Raw_Data!L199), Raw_Data!L199,
        IF(OR(UPPER(Raw_Data!L199)="TRUE", UPPER(Raw_Data!L199)="YES", UPPER(Raw_Data!L199)="1"), TRUE,
            IF(OR(UPPER(Raw_Data!L199)="FALSE", UPPER(Raw_Data!L199)="NO", UPPER(Raw_Data!L199)="0"), FALSE, "Review")
        )
    )
)</f>
        <v>1</v>
      </c>
    </row>
    <row r="200" spans="1:13" x14ac:dyDescent="0.4">
      <c r="A200" s="2" t="str">
        <f>IFERROR(TRIM(Raw_Data!A200), "Review")</f>
        <v>EMP1198</v>
      </c>
      <c r="B200" s="2" t="str">
        <f>IFERROR(TRIM(Raw_Data!B200), "Review")</f>
        <v>Heidi</v>
      </c>
      <c r="C200" s="2" t="str">
        <f>IFERROR(TRIM(Raw_Data!C200), "Review")</f>
        <v>Jones</v>
      </c>
      <c r="D200" s="2" t="str">
        <f>IF(Raw_Data!D200="", "", IFERROR(VALUE(Raw_Data!D200), ""))</f>
        <v/>
      </c>
      <c r="E200" s="2" t="str">
        <f>IFERROR(LEFT(Raw_Data!E200,SEARCH("-",Raw_Data!E200)-1),"Review")</f>
        <v>Sales</v>
      </c>
      <c r="F200" s="2" t="str">
        <f>IFERROR(_xlfn.TEXTAFTER(Raw_Data!E200,"-"),"Review")</f>
        <v>Illinois</v>
      </c>
      <c r="G200" s="2" t="str">
        <f>IFERROR(TRIM(Raw_Data!F200), "Review")</f>
        <v>Active</v>
      </c>
      <c r="H200" s="3" t="str">
        <f>IFERROR(TEXT(Raw_Data!G200, "YYYY-MM-DD"),"Review")</f>
        <v>2022-01-15</v>
      </c>
      <c r="I200" s="4">
        <f>IF(Raw_Data!H200="", "", IFERROR(VALUE(Raw_Data!H200), ""))</f>
        <v>76099.64</v>
      </c>
      <c r="J200" s="2" t="str">
        <f>IF(Raw_Data!I200="", "", IF(ISNUMBER(FIND("@", Raw_Data!I200)), Raw_Data!I200, "Review"))</f>
        <v>heidi.jones@example.com</v>
      </c>
      <c r="K200" s="5" t="str">
        <f>IFERROR(TEXT(ABS(Raw_Data!J200), "0"), "Review")</f>
        <v>116691835</v>
      </c>
      <c r="L200" s="2" t="str">
        <f>IFERROR(TRIM(Raw_Data!K200), "Review")</f>
        <v>Excellent</v>
      </c>
      <c r="M200" s="2" t="b">
        <f>IF(Raw_Data!L200="", "",
    IF(ISLOGICAL(Raw_Data!L200), Raw_Data!L200,
        IF(OR(UPPER(Raw_Data!L200)="TRUE", UPPER(Raw_Data!L200)="YES", UPPER(Raw_Data!L200)="1"), TRUE,
            IF(OR(UPPER(Raw_Data!L200)="FALSE", UPPER(Raw_Data!L200)="NO", UPPER(Raw_Data!L200)="0"), FALSE, "Review")
        )
    )
)</f>
        <v>0</v>
      </c>
    </row>
    <row r="201" spans="1:13" x14ac:dyDescent="0.4">
      <c r="A201" s="2" t="str">
        <f>IFERROR(TRIM(Raw_Data!A201), "Review")</f>
        <v>EMP1199</v>
      </c>
      <c r="B201" s="2" t="str">
        <f>IFERROR(TRIM(Raw_Data!B201), "Review")</f>
        <v>Grace</v>
      </c>
      <c r="C201" s="2" t="str">
        <f>IFERROR(TRIM(Raw_Data!C201), "Review")</f>
        <v>Williams</v>
      </c>
      <c r="D201" s="2">
        <f>IF(Raw_Data!D201="", "", IFERROR(VALUE(Raw_Data!D201), ""))</f>
        <v>35</v>
      </c>
      <c r="E201" s="2" t="str">
        <f>IFERROR(LEFT(Raw_Data!E201,SEARCH("-",Raw_Data!E201)-1),"Review")</f>
        <v>DevOps</v>
      </c>
      <c r="F201" s="2" t="str">
        <f>IFERROR(_xlfn.TEXTAFTER(Raw_Data!E201,"-"),"Review")</f>
        <v>Illinois</v>
      </c>
      <c r="G201" s="2" t="str">
        <f>IFERROR(TRIM(Raw_Data!F201), "Review")</f>
        <v>Active</v>
      </c>
      <c r="H201" s="3" t="str">
        <f>IFERROR(TEXT(Raw_Data!G201, "YYYY-MM-DD"),"Review")</f>
        <v>2024-06-04</v>
      </c>
      <c r="I201" s="4">
        <f>IF(Raw_Data!H201="", "", IFERROR(VALUE(Raw_Data!H201), ""))</f>
        <v>94162.06</v>
      </c>
      <c r="J201" s="2" t="str">
        <f>IF(Raw_Data!I201="", "", IF(ISNUMBER(FIND("@", Raw_Data!I201)), Raw_Data!I201, "Review"))</f>
        <v>grace.williams@example.com</v>
      </c>
      <c r="K201" s="5" t="str">
        <f>IFERROR(TEXT(ABS(Raw_Data!J201), "0"), "Review")</f>
        <v>2644886945</v>
      </c>
      <c r="L201" s="2" t="str">
        <f>IFERROR(TRIM(Raw_Data!K201), "Review")</f>
        <v>Average</v>
      </c>
      <c r="M201" s="2" t="b">
        <f>IF(Raw_Data!L201="", "",
    IF(ISLOGICAL(Raw_Data!L201), Raw_Data!L201,
        IF(OR(UPPER(Raw_Data!L201)="TRUE", UPPER(Raw_Data!L201)="YES", UPPER(Raw_Data!L201)="1"), TRUE,
            IF(OR(UPPER(Raw_Data!L201)="FALSE", UPPER(Raw_Data!L201)="NO", UPPER(Raw_Data!L201)="0"), FALSE, "Review")
        )
    )
)</f>
        <v>1</v>
      </c>
    </row>
    <row r="202" spans="1:13" x14ac:dyDescent="0.4">
      <c r="A202" s="2" t="str">
        <f>IFERROR(TRIM(Raw_Data!A202), "Review")</f>
        <v>EMP1200</v>
      </c>
      <c r="B202" s="2" t="str">
        <f>IFERROR(TRIM(Raw_Data!B202), "Review")</f>
        <v>Frank</v>
      </c>
      <c r="C202" s="2" t="str">
        <f>IFERROR(TRIM(Raw_Data!C202), "Review")</f>
        <v>Davis</v>
      </c>
      <c r="D202" s="2">
        <f>IF(Raw_Data!D202="", "", IFERROR(VALUE(Raw_Data!D202), ""))</f>
        <v>25</v>
      </c>
      <c r="E202" s="2" t="str">
        <f>IFERROR(LEFT(Raw_Data!E202,SEARCH("-",Raw_Data!E202)-1),"Review")</f>
        <v>Sales</v>
      </c>
      <c r="F202" s="2" t="str">
        <f>IFERROR(_xlfn.TEXTAFTER(Raw_Data!E202,"-"),"Review")</f>
        <v>Nevada</v>
      </c>
      <c r="G202" s="2" t="str">
        <f>IFERROR(TRIM(Raw_Data!F202), "Review")</f>
        <v>Inactive</v>
      </c>
      <c r="H202" s="3" t="str">
        <f>IFERROR(TEXT(Raw_Data!G202, "YYYY-MM-DD"),"Review")</f>
        <v>2021-08-04</v>
      </c>
      <c r="I202" s="4">
        <f>IF(Raw_Data!H202="", "", IFERROR(VALUE(Raw_Data!H202), ""))</f>
        <v>67639.7</v>
      </c>
      <c r="J202" s="2" t="str">
        <f>IF(Raw_Data!I202="", "", IF(ISNUMBER(FIND("@", Raw_Data!I202)), Raw_Data!I202, "Review"))</f>
        <v>frank.davis@example.com</v>
      </c>
      <c r="K202" s="5" t="str">
        <f>IFERROR(TEXT(ABS(Raw_Data!J202), "0"), "Review")</f>
        <v>1195243639</v>
      </c>
      <c r="L202" s="2" t="str">
        <f>IFERROR(TRIM(Raw_Data!K202), "Review")</f>
        <v>Excellent</v>
      </c>
      <c r="M202" s="2" t="b">
        <f>IF(Raw_Data!L202="", "",
    IF(ISLOGICAL(Raw_Data!L202), Raw_Data!L202,
        IF(OR(UPPER(Raw_Data!L202)="TRUE", UPPER(Raw_Data!L202)="YES", UPPER(Raw_Data!L202)="1"), TRUE,
            IF(OR(UPPER(Raw_Data!L202)="FALSE", UPPER(Raw_Data!L202)="NO", UPPER(Raw_Data!L202)="0"), FALSE, "Review")
        )
    )
)</f>
        <v>1</v>
      </c>
    </row>
    <row r="203" spans="1:13" x14ac:dyDescent="0.4">
      <c r="A203" s="2" t="str">
        <f>IFERROR(TRIM(Raw_Data!A203), "Review")</f>
        <v>EMP1201</v>
      </c>
      <c r="B203" s="2" t="str">
        <f>IFERROR(TRIM(Raw_Data!B203), "Review")</f>
        <v>Charlie</v>
      </c>
      <c r="C203" s="2" t="str">
        <f>IFERROR(TRIM(Raw_Data!C203), "Review")</f>
        <v>Garcia</v>
      </c>
      <c r="D203" s="2">
        <f>IF(Raw_Data!D203="", "", IFERROR(VALUE(Raw_Data!D203), ""))</f>
        <v>35</v>
      </c>
      <c r="E203" s="2" t="str">
        <f>IFERROR(LEFT(Raw_Data!E203,SEARCH("-",Raw_Data!E203)-1),"Review")</f>
        <v>Cloud Tech</v>
      </c>
      <c r="F203" s="2" t="str">
        <f>IFERROR(_xlfn.TEXTAFTER(Raw_Data!E203,"-"),"Review")</f>
        <v>Illinois</v>
      </c>
      <c r="G203" s="2" t="str">
        <f>IFERROR(TRIM(Raw_Data!F203), "Review")</f>
        <v>Pending</v>
      </c>
      <c r="H203" s="3" t="str">
        <f>IFERROR(TEXT(Raw_Data!G203, "YYYY-MM-DD"),"Review")</f>
        <v>2020-10-16</v>
      </c>
      <c r="I203" s="4">
        <f>IF(Raw_Data!H203="", "", IFERROR(VALUE(Raw_Data!H203), ""))</f>
        <v>114172.25</v>
      </c>
      <c r="J203" s="2" t="str">
        <f>IF(Raw_Data!I203="", "", IF(ISNUMBER(FIND("@", Raw_Data!I203)), Raw_Data!I203, "Review"))</f>
        <v>charlie.garcia@example.com</v>
      </c>
      <c r="K203" s="5" t="str">
        <f>IFERROR(TEXT(ABS(Raw_Data!J203), "0"), "Review")</f>
        <v>2701168645</v>
      </c>
      <c r="L203" s="2" t="str">
        <f>IFERROR(TRIM(Raw_Data!K203), "Review")</f>
        <v>Good</v>
      </c>
      <c r="M203" s="2" t="b">
        <f>IF(Raw_Data!L203="", "",
    IF(ISLOGICAL(Raw_Data!L203), Raw_Data!L203,
        IF(OR(UPPER(Raw_Data!L203)="TRUE", UPPER(Raw_Data!L203)="YES", UPPER(Raw_Data!L203)="1"), TRUE,
            IF(OR(UPPER(Raw_Data!L203)="FALSE", UPPER(Raw_Data!L203)="NO", UPPER(Raw_Data!L203)="0"), FALSE, "Review")
        )
    )
)</f>
        <v>1</v>
      </c>
    </row>
    <row r="204" spans="1:13" x14ac:dyDescent="0.4">
      <c r="A204" s="2" t="str">
        <f>IFERROR(TRIM(Raw_Data!A204), "Review")</f>
        <v>EMP1202</v>
      </c>
      <c r="B204" s="2" t="str">
        <f>IFERROR(TRIM(Raw_Data!B204), "Review")</f>
        <v>Grace</v>
      </c>
      <c r="C204" s="2" t="str">
        <f>IFERROR(TRIM(Raw_Data!C204), "Review")</f>
        <v>Davis</v>
      </c>
      <c r="D204" s="2">
        <f>IF(Raw_Data!D204="", "", IFERROR(VALUE(Raw_Data!D204), ""))</f>
        <v>30</v>
      </c>
      <c r="E204" s="2" t="str">
        <f>IFERROR(LEFT(Raw_Data!E204,SEARCH("-",Raw_Data!E204)-1),"Review")</f>
        <v>Sales</v>
      </c>
      <c r="F204" s="2" t="str">
        <f>IFERROR(_xlfn.TEXTAFTER(Raw_Data!E204,"-"),"Review")</f>
        <v>Nevada</v>
      </c>
      <c r="G204" s="2" t="str">
        <f>IFERROR(TRIM(Raw_Data!F204), "Review")</f>
        <v>Active</v>
      </c>
      <c r="H204" s="3" t="str">
        <f>IFERROR(TEXT(Raw_Data!G204, "YYYY-MM-DD"),"Review")</f>
        <v>2021-09-26</v>
      </c>
      <c r="I204" s="4">
        <f>IF(Raw_Data!H204="", "", IFERROR(VALUE(Raw_Data!H204), ""))</f>
        <v>89124.54</v>
      </c>
      <c r="J204" s="2" t="str">
        <f>IF(Raw_Data!I204="", "", IF(ISNUMBER(FIND("@", Raw_Data!I204)), Raw_Data!I204, "Review"))</f>
        <v>grace.davis@example.com</v>
      </c>
      <c r="K204" s="5" t="str">
        <f>IFERROR(TEXT(ABS(Raw_Data!J204), "0"), "Review")</f>
        <v>2252237280</v>
      </c>
      <c r="L204" s="2" t="str">
        <f>IFERROR(TRIM(Raw_Data!K204), "Review")</f>
        <v>Excellent</v>
      </c>
      <c r="M204" s="2" t="b">
        <f>IF(Raw_Data!L204="", "",
    IF(ISLOGICAL(Raw_Data!L204), Raw_Data!L204,
        IF(OR(UPPER(Raw_Data!L204)="TRUE", UPPER(Raw_Data!L204)="YES", UPPER(Raw_Data!L204)="1"), TRUE,
            IF(OR(UPPER(Raw_Data!L204)="FALSE", UPPER(Raw_Data!L204)="NO", UPPER(Raw_Data!L204)="0"), FALSE, "Review")
        )
    )
)</f>
        <v>1</v>
      </c>
    </row>
    <row r="205" spans="1:13" x14ac:dyDescent="0.4">
      <c r="A205" s="2" t="str">
        <f>IFERROR(TRIM(Raw_Data!A205), "Review")</f>
        <v>EMP1203</v>
      </c>
      <c r="B205" s="2" t="str">
        <f>IFERROR(TRIM(Raw_Data!B205), "Review")</f>
        <v>Frank</v>
      </c>
      <c r="C205" s="2" t="str">
        <f>IFERROR(TRIM(Raw_Data!C205), "Review")</f>
        <v>Smith</v>
      </c>
      <c r="D205" s="2">
        <f>IF(Raw_Data!D205="", "", IFERROR(VALUE(Raw_Data!D205), ""))</f>
        <v>30</v>
      </c>
      <c r="E205" s="2" t="str">
        <f>IFERROR(LEFT(Raw_Data!E205,SEARCH("-",Raw_Data!E205)-1),"Review")</f>
        <v>DevOps</v>
      </c>
      <c r="F205" s="2" t="str">
        <f>IFERROR(_xlfn.TEXTAFTER(Raw_Data!E205,"-"),"Review")</f>
        <v>Nevada</v>
      </c>
      <c r="G205" s="2" t="str">
        <f>IFERROR(TRIM(Raw_Data!F205), "Review")</f>
        <v>Pending</v>
      </c>
      <c r="H205" s="3" t="str">
        <f>IFERROR(TEXT(Raw_Data!G205, "YYYY-MM-DD"),"Review")</f>
        <v>2023-11-04</v>
      </c>
      <c r="I205" s="4">
        <f>IF(Raw_Data!H205="", "", IFERROR(VALUE(Raw_Data!H205), ""))</f>
        <v>113871.36</v>
      </c>
      <c r="J205" s="2" t="str">
        <f>IF(Raw_Data!I205="", "", IF(ISNUMBER(FIND("@", Raw_Data!I205)), Raw_Data!I205, "Review"))</f>
        <v>frank.smith@example.com</v>
      </c>
      <c r="K205" s="5" t="str">
        <f>IFERROR(TEXT(ABS(Raw_Data!J205), "0"), "Review")</f>
        <v>7932302345</v>
      </c>
      <c r="L205" s="2" t="str">
        <f>IFERROR(TRIM(Raw_Data!K205), "Review")</f>
        <v>Average</v>
      </c>
      <c r="M205" s="2" t="b">
        <f>IF(Raw_Data!L205="", "",
    IF(ISLOGICAL(Raw_Data!L205), Raw_Data!L205,
        IF(OR(UPPER(Raw_Data!L205)="TRUE", UPPER(Raw_Data!L205)="YES", UPPER(Raw_Data!L205)="1"), TRUE,
            IF(OR(UPPER(Raw_Data!L205)="FALSE", UPPER(Raw_Data!L205)="NO", UPPER(Raw_Data!L205)="0"), FALSE, "Review")
        )
    )
)</f>
        <v>0</v>
      </c>
    </row>
    <row r="206" spans="1:13" x14ac:dyDescent="0.4">
      <c r="A206" s="2" t="str">
        <f>IFERROR(TRIM(Raw_Data!A206), "Review")</f>
        <v>EMP1204</v>
      </c>
      <c r="B206" s="2" t="str">
        <f>IFERROR(TRIM(Raw_Data!B206), "Review")</f>
        <v>Grace</v>
      </c>
      <c r="C206" s="2" t="str">
        <f>IFERROR(TRIM(Raw_Data!C206), "Review")</f>
        <v>Brown</v>
      </c>
      <c r="D206" s="2" t="str">
        <f>IF(Raw_Data!D206="", "", IFERROR(VALUE(Raw_Data!D206), ""))</f>
        <v/>
      </c>
      <c r="E206" s="2" t="str">
        <f>IFERROR(LEFT(Raw_Data!E206,SEARCH("-",Raw_Data!E206)-1),"Review")</f>
        <v>HR</v>
      </c>
      <c r="F206" s="2" t="str">
        <f>IFERROR(_xlfn.TEXTAFTER(Raw_Data!E206,"-"),"Review")</f>
        <v>Texas</v>
      </c>
      <c r="G206" s="2" t="str">
        <f>IFERROR(TRIM(Raw_Data!F206), "Review")</f>
        <v>Inactive</v>
      </c>
      <c r="H206" s="3" t="str">
        <f>IFERROR(TEXT(Raw_Data!G206, "YYYY-MM-DD"),"Review")</f>
        <v>2021-09-24</v>
      </c>
      <c r="I206" s="4">
        <f>IF(Raw_Data!H206="", "", IFERROR(VALUE(Raw_Data!H206), ""))</f>
        <v>62618.400000000001</v>
      </c>
      <c r="J206" s="2" t="str">
        <f>IF(Raw_Data!I206="", "", IF(ISNUMBER(FIND("@", Raw_Data!I206)), Raw_Data!I206, "Review"))</f>
        <v>grace.brown@example.com</v>
      </c>
      <c r="K206" s="5" t="str">
        <f>IFERROR(TEXT(ABS(Raw_Data!J206), "0"), "Review")</f>
        <v>7912141613</v>
      </c>
      <c r="L206" s="2" t="str">
        <f>IFERROR(TRIM(Raw_Data!K206), "Review")</f>
        <v>Excellent</v>
      </c>
      <c r="M206" s="2" t="b">
        <f>IF(Raw_Data!L206="", "",
    IF(ISLOGICAL(Raw_Data!L206), Raw_Data!L206,
        IF(OR(UPPER(Raw_Data!L206)="TRUE", UPPER(Raw_Data!L206)="YES", UPPER(Raw_Data!L206)="1"), TRUE,
            IF(OR(UPPER(Raw_Data!L206)="FALSE", UPPER(Raw_Data!L206)="NO", UPPER(Raw_Data!L206)="0"), FALSE, "Review")
        )
    )
)</f>
        <v>0</v>
      </c>
    </row>
    <row r="207" spans="1:13" x14ac:dyDescent="0.4">
      <c r="A207" s="2" t="str">
        <f>IFERROR(TRIM(Raw_Data!A207), "Review")</f>
        <v>EMP1205</v>
      </c>
      <c r="B207" s="2" t="str">
        <f>IFERROR(TRIM(Raw_Data!B207), "Review")</f>
        <v>Heidi</v>
      </c>
      <c r="C207" s="2" t="str">
        <f>IFERROR(TRIM(Raw_Data!C207), "Review")</f>
        <v>Jones</v>
      </c>
      <c r="D207" s="2">
        <f>IF(Raw_Data!D207="", "", IFERROR(VALUE(Raw_Data!D207), ""))</f>
        <v>30</v>
      </c>
      <c r="E207" s="2" t="str">
        <f>IFERROR(LEFT(Raw_Data!E207,SEARCH("-",Raw_Data!E207)-1),"Review")</f>
        <v>Admin</v>
      </c>
      <c r="F207" s="2" t="str">
        <f>IFERROR(_xlfn.TEXTAFTER(Raw_Data!E207,"-"),"Review")</f>
        <v>New York</v>
      </c>
      <c r="G207" s="2" t="str">
        <f>IFERROR(TRIM(Raw_Data!F207), "Review")</f>
        <v>Active</v>
      </c>
      <c r="H207" s="3" t="str">
        <f>IFERROR(TEXT(Raw_Data!G207, "YYYY-MM-DD"),"Review")</f>
        <v>2020-06-07</v>
      </c>
      <c r="I207" s="4">
        <f>IF(Raw_Data!H207="", "", IFERROR(VALUE(Raw_Data!H207), ""))</f>
        <v>70705.45</v>
      </c>
      <c r="J207" s="2" t="str">
        <f>IF(Raw_Data!I207="", "", IF(ISNUMBER(FIND("@", Raw_Data!I207)), Raw_Data!I207, "Review"))</f>
        <v>heidi.jones@example.com</v>
      </c>
      <c r="K207" s="5" t="str">
        <f>IFERROR(TEXT(ABS(Raw_Data!J207), "0"), "Review")</f>
        <v>1509377099</v>
      </c>
      <c r="L207" s="2" t="str">
        <f>IFERROR(TRIM(Raw_Data!K207), "Review")</f>
        <v>Good</v>
      </c>
      <c r="M207" s="2" t="b">
        <f>IF(Raw_Data!L207="", "",
    IF(ISLOGICAL(Raw_Data!L207), Raw_Data!L207,
        IF(OR(UPPER(Raw_Data!L207)="TRUE", UPPER(Raw_Data!L207)="YES", UPPER(Raw_Data!L207)="1"), TRUE,
            IF(OR(UPPER(Raw_Data!L207)="FALSE", UPPER(Raw_Data!L207)="NO", UPPER(Raw_Data!L207)="0"), FALSE, "Review")
        )
    )
)</f>
        <v>0</v>
      </c>
    </row>
    <row r="208" spans="1:13" x14ac:dyDescent="0.4">
      <c r="A208" s="2" t="str">
        <f>IFERROR(TRIM(Raw_Data!A208), "Review")</f>
        <v>EMP1206</v>
      </c>
      <c r="B208" s="2" t="str">
        <f>IFERROR(TRIM(Raw_Data!B208), "Review")</f>
        <v>Alice</v>
      </c>
      <c r="C208" s="2" t="str">
        <f>IFERROR(TRIM(Raw_Data!C208), "Review")</f>
        <v>Garcia</v>
      </c>
      <c r="D208" s="2">
        <f>IF(Raw_Data!D208="", "", IFERROR(VALUE(Raw_Data!D208), ""))</f>
        <v>35</v>
      </c>
      <c r="E208" s="2" t="str">
        <f>IFERROR(LEFT(Raw_Data!E208,SEARCH("-",Raw_Data!E208)-1),"Review")</f>
        <v>Sales</v>
      </c>
      <c r="F208" s="2" t="str">
        <f>IFERROR(_xlfn.TEXTAFTER(Raw_Data!E208,"-"),"Review")</f>
        <v>New York</v>
      </c>
      <c r="G208" s="2" t="str">
        <f>IFERROR(TRIM(Raw_Data!F208), "Review")</f>
        <v>Pending</v>
      </c>
      <c r="H208" s="3" t="str">
        <f>IFERROR(TEXT(Raw_Data!G208, "YYYY-MM-DD"),"Review")</f>
        <v>2022-02-10</v>
      </c>
      <c r="I208" s="4">
        <f>IF(Raw_Data!H208="", "", IFERROR(VALUE(Raw_Data!H208), ""))</f>
        <v>60797.69</v>
      </c>
      <c r="J208" s="2" t="str">
        <f>IF(Raw_Data!I208="", "", IF(ISNUMBER(FIND("@", Raw_Data!I208)), Raw_Data!I208, "Review"))</f>
        <v>alice.garcia@example.com</v>
      </c>
      <c r="K208" s="5" t="str">
        <f>IFERROR(TEXT(ABS(Raw_Data!J208), "0"), "Review")</f>
        <v>4090138068</v>
      </c>
      <c r="L208" s="2" t="str">
        <f>IFERROR(TRIM(Raw_Data!K208), "Review")</f>
        <v>Average</v>
      </c>
      <c r="M208" s="2" t="b">
        <f>IF(Raw_Data!L208="", "",
    IF(ISLOGICAL(Raw_Data!L208), Raw_Data!L208,
        IF(OR(UPPER(Raw_Data!L208)="TRUE", UPPER(Raw_Data!L208)="YES", UPPER(Raw_Data!L208)="1"), TRUE,
            IF(OR(UPPER(Raw_Data!L208)="FALSE", UPPER(Raw_Data!L208)="NO", UPPER(Raw_Data!L208)="0"), FALSE, "Review")
        )
    )
)</f>
        <v>1</v>
      </c>
    </row>
    <row r="209" spans="1:13" x14ac:dyDescent="0.4">
      <c r="A209" s="2" t="str">
        <f>IFERROR(TRIM(Raw_Data!A209), "Review")</f>
        <v>EMP1207</v>
      </c>
      <c r="B209" s="2" t="str">
        <f>IFERROR(TRIM(Raw_Data!B209), "Review")</f>
        <v>Charlie</v>
      </c>
      <c r="C209" s="2" t="str">
        <f>IFERROR(TRIM(Raw_Data!C209), "Review")</f>
        <v>Brown</v>
      </c>
      <c r="D209" s="2">
        <f>IF(Raw_Data!D209="", "", IFERROR(VALUE(Raw_Data!D209), ""))</f>
        <v>40</v>
      </c>
      <c r="E209" s="2" t="str">
        <f>IFERROR(LEFT(Raw_Data!E209,SEARCH("-",Raw_Data!E209)-1),"Review")</f>
        <v>Cloud Tech</v>
      </c>
      <c r="F209" s="2" t="str">
        <f>IFERROR(_xlfn.TEXTAFTER(Raw_Data!E209,"-"),"Review")</f>
        <v>Florida</v>
      </c>
      <c r="G209" s="2" t="str">
        <f>IFERROR(TRIM(Raw_Data!F209), "Review")</f>
        <v>Inactive</v>
      </c>
      <c r="H209" s="3" t="str">
        <f>IFERROR(TEXT(Raw_Data!G209, "YYYY-MM-DD"),"Review")</f>
        <v>2023-10-17</v>
      </c>
      <c r="I209" s="4">
        <f>IF(Raw_Data!H209="", "", IFERROR(VALUE(Raw_Data!H209), ""))</f>
        <v>100371</v>
      </c>
      <c r="J209" s="2" t="str">
        <f>IF(Raw_Data!I209="", "", IF(ISNUMBER(FIND("@", Raw_Data!I209)), Raw_Data!I209, "Review"))</f>
        <v>charlie.brown@example.com</v>
      </c>
      <c r="K209" s="5" t="str">
        <f>IFERROR(TEXT(ABS(Raw_Data!J209), "0"), "Review")</f>
        <v>8477596554</v>
      </c>
      <c r="L209" s="2" t="str">
        <f>IFERROR(TRIM(Raw_Data!K209), "Review")</f>
        <v>Poor</v>
      </c>
      <c r="M209" s="2" t="b">
        <f>IF(Raw_Data!L209="", "",
    IF(ISLOGICAL(Raw_Data!L209), Raw_Data!L209,
        IF(OR(UPPER(Raw_Data!L209)="TRUE", UPPER(Raw_Data!L209)="YES", UPPER(Raw_Data!L209)="1"), TRUE,
            IF(OR(UPPER(Raw_Data!L209)="FALSE", UPPER(Raw_Data!L209)="NO", UPPER(Raw_Data!L209)="0"), FALSE, "Review")
        )
    )
)</f>
        <v>1</v>
      </c>
    </row>
    <row r="210" spans="1:13" x14ac:dyDescent="0.4">
      <c r="A210" s="2" t="str">
        <f>IFERROR(TRIM(Raw_Data!A210), "Review")</f>
        <v>EMP1208</v>
      </c>
      <c r="B210" s="2" t="str">
        <f>IFERROR(TRIM(Raw_Data!B210), "Review")</f>
        <v>Eva</v>
      </c>
      <c r="C210" s="2" t="str">
        <f>IFERROR(TRIM(Raw_Data!C210), "Review")</f>
        <v>Miller</v>
      </c>
      <c r="D210" s="2">
        <f>IF(Raw_Data!D210="", "", IFERROR(VALUE(Raw_Data!D210), ""))</f>
        <v>40</v>
      </c>
      <c r="E210" s="2" t="str">
        <f>IFERROR(LEFT(Raw_Data!E210,SEARCH("-",Raw_Data!E210)-1),"Review")</f>
        <v>Admin</v>
      </c>
      <c r="F210" s="2" t="str">
        <f>IFERROR(_xlfn.TEXTAFTER(Raw_Data!E210,"-"),"Review")</f>
        <v>Illinois</v>
      </c>
      <c r="G210" s="2" t="str">
        <f>IFERROR(TRIM(Raw_Data!F210), "Review")</f>
        <v>Active</v>
      </c>
      <c r="H210" s="3" t="str">
        <f>IFERROR(TEXT(Raw_Data!G210, "YYYY-MM-DD"),"Review")</f>
        <v>2021-09-25</v>
      </c>
      <c r="I210" s="4">
        <f>IF(Raw_Data!H210="", "", IFERROR(VALUE(Raw_Data!H210), ""))</f>
        <v>117591.76</v>
      </c>
      <c r="J210" s="2" t="str">
        <f>IF(Raw_Data!I210="", "", IF(ISNUMBER(FIND("@", Raw_Data!I210)), Raw_Data!I210, "Review"))</f>
        <v>eva.miller@example.com</v>
      </c>
      <c r="K210" s="5" t="str">
        <f>IFERROR(TEXT(ABS(Raw_Data!J210), "0"), "Review")</f>
        <v>5356690550</v>
      </c>
      <c r="L210" s="2" t="str">
        <f>IFERROR(TRIM(Raw_Data!K210), "Review")</f>
        <v>Good</v>
      </c>
      <c r="M210" s="2" t="b">
        <f>IF(Raw_Data!L210="", "",
    IF(ISLOGICAL(Raw_Data!L210), Raw_Data!L210,
        IF(OR(UPPER(Raw_Data!L210)="TRUE", UPPER(Raw_Data!L210)="YES", UPPER(Raw_Data!L210)="1"), TRUE,
            IF(OR(UPPER(Raw_Data!L210)="FALSE", UPPER(Raw_Data!L210)="NO", UPPER(Raw_Data!L210)="0"), FALSE, "Review")
        )
    )
)</f>
        <v>0</v>
      </c>
    </row>
    <row r="211" spans="1:13" x14ac:dyDescent="0.4">
      <c r="A211" s="2" t="str">
        <f>IFERROR(TRIM(Raw_Data!A211), "Review")</f>
        <v>EMP1209</v>
      </c>
      <c r="B211" s="2" t="str">
        <f>IFERROR(TRIM(Raw_Data!B211), "Review")</f>
        <v>David</v>
      </c>
      <c r="C211" s="2" t="str">
        <f>IFERROR(TRIM(Raw_Data!C211), "Review")</f>
        <v>Jones</v>
      </c>
      <c r="D211" s="2">
        <f>IF(Raw_Data!D211="", "", IFERROR(VALUE(Raw_Data!D211), ""))</f>
        <v>35</v>
      </c>
      <c r="E211" s="2" t="str">
        <f>IFERROR(LEFT(Raw_Data!E211,SEARCH("-",Raw_Data!E211)-1),"Review")</f>
        <v>DevOps</v>
      </c>
      <c r="F211" s="2" t="str">
        <f>IFERROR(_xlfn.TEXTAFTER(Raw_Data!E211,"-"),"Review")</f>
        <v>Illinois</v>
      </c>
      <c r="G211" s="2" t="str">
        <f>IFERROR(TRIM(Raw_Data!F211), "Review")</f>
        <v>Inactive</v>
      </c>
      <c r="H211" s="3" t="str">
        <f>IFERROR(TEXT(Raw_Data!G211, "YYYY-MM-DD"),"Review")</f>
        <v>2022-08-03</v>
      </c>
      <c r="I211" s="4">
        <f>IF(Raw_Data!H211="", "", IFERROR(VALUE(Raw_Data!H211), ""))</f>
        <v>103860.7</v>
      </c>
      <c r="J211" s="2" t="str">
        <f>IF(Raw_Data!I211="", "", IF(ISNUMBER(FIND("@", Raw_Data!I211)), Raw_Data!I211, "Review"))</f>
        <v>david.jones@example.com</v>
      </c>
      <c r="K211" s="5" t="str">
        <f>IFERROR(TEXT(ABS(Raw_Data!J211), "0"), "Review")</f>
        <v>762091842</v>
      </c>
      <c r="L211" s="2" t="str">
        <f>IFERROR(TRIM(Raw_Data!K211), "Review")</f>
        <v>Average</v>
      </c>
      <c r="M211" s="2" t="b">
        <f>IF(Raw_Data!L211="", "",
    IF(ISLOGICAL(Raw_Data!L211), Raw_Data!L211,
        IF(OR(UPPER(Raw_Data!L211)="TRUE", UPPER(Raw_Data!L211)="YES", UPPER(Raw_Data!L211)="1"), TRUE,
            IF(OR(UPPER(Raw_Data!L211)="FALSE", UPPER(Raw_Data!L211)="NO", UPPER(Raw_Data!L211)="0"), FALSE, "Review")
        )
    )
)</f>
        <v>1</v>
      </c>
    </row>
    <row r="212" spans="1:13" x14ac:dyDescent="0.4">
      <c r="A212" s="2" t="str">
        <f>IFERROR(TRIM(Raw_Data!A212), "Review")</f>
        <v>EMP1210</v>
      </c>
      <c r="B212" s="2" t="str">
        <f>IFERROR(TRIM(Raw_Data!B212), "Review")</f>
        <v>Grace</v>
      </c>
      <c r="C212" s="2" t="str">
        <f>IFERROR(TRIM(Raw_Data!C212), "Review")</f>
        <v>Davis</v>
      </c>
      <c r="D212" s="2">
        <f>IF(Raw_Data!D212="", "", IFERROR(VALUE(Raw_Data!D212), ""))</f>
        <v>30</v>
      </c>
      <c r="E212" s="2" t="str">
        <f>IFERROR(LEFT(Raw_Data!E212,SEARCH("-",Raw_Data!E212)-1),"Review")</f>
        <v>Admin</v>
      </c>
      <c r="F212" s="2" t="str">
        <f>IFERROR(_xlfn.TEXTAFTER(Raw_Data!E212,"-"),"Review")</f>
        <v>Illinois</v>
      </c>
      <c r="G212" s="2" t="str">
        <f>IFERROR(TRIM(Raw_Data!F212), "Review")</f>
        <v>Active</v>
      </c>
      <c r="H212" s="3" t="str">
        <f>IFERROR(TEXT(Raw_Data!G212, "YYYY-MM-DD"),"Review")</f>
        <v>2024-11-22</v>
      </c>
      <c r="I212" s="4">
        <f>IF(Raw_Data!H212="", "", IFERROR(VALUE(Raw_Data!H212), ""))</f>
        <v>67500.22</v>
      </c>
      <c r="J212" s="2" t="str">
        <f>IF(Raw_Data!I212="", "", IF(ISNUMBER(FIND("@", Raw_Data!I212)), Raw_Data!I212, "Review"))</f>
        <v>grace.davis@example.com</v>
      </c>
      <c r="K212" s="5" t="str">
        <f>IFERROR(TEXT(ABS(Raw_Data!J212), "0"), "Review")</f>
        <v>5797863049</v>
      </c>
      <c r="L212" s="2" t="str">
        <f>IFERROR(TRIM(Raw_Data!K212), "Review")</f>
        <v>Average</v>
      </c>
      <c r="M212" s="2" t="b">
        <f>IF(Raw_Data!L212="", "",
    IF(ISLOGICAL(Raw_Data!L212), Raw_Data!L212,
        IF(OR(UPPER(Raw_Data!L212)="TRUE", UPPER(Raw_Data!L212)="YES", UPPER(Raw_Data!L212)="1"), TRUE,
            IF(OR(UPPER(Raw_Data!L212)="FALSE", UPPER(Raw_Data!L212)="NO", UPPER(Raw_Data!L212)="0"), FALSE, "Review")
        )
    )
)</f>
        <v>1</v>
      </c>
    </row>
    <row r="213" spans="1:13" x14ac:dyDescent="0.4">
      <c r="A213" s="2" t="str">
        <f>IFERROR(TRIM(Raw_Data!A213), "Review")</f>
        <v>EMP1211</v>
      </c>
      <c r="B213" s="2" t="str">
        <f>IFERROR(TRIM(Raw_Data!B213), "Review")</f>
        <v>Frank</v>
      </c>
      <c r="C213" s="2" t="str">
        <f>IFERROR(TRIM(Raw_Data!C213), "Review")</f>
        <v>Davis</v>
      </c>
      <c r="D213" s="2" t="str">
        <f>IF(Raw_Data!D213="", "", IFERROR(VALUE(Raw_Data!D213), ""))</f>
        <v/>
      </c>
      <c r="E213" s="2" t="str">
        <f>IFERROR(LEFT(Raw_Data!E213,SEARCH("-",Raw_Data!E213)-1),"Review")</f>
        <v>Cloud Tech</v>
      </c>
      <c r="F213" s="2" t="str">
        <f>IFERROR(_xlfn.TEXTAFTER(Raw_Data!E213,"-"),"Review")</f>
        <v>Nevada</v>
      </c>
      <c r="G213" s="2" t="str">
        <f>IFERROR(TRIM(Raw_Data!F213), "Review")</f>
        <v>Pending</v>
      </c>
      <c r="H213" s="3" t="str">
        <f>IFERROR(TEXT(Raw_Data!G213, "YYYY-MM-DD"),"Review")</f>
        <v>2024-10-09</v>
      </c>
      <c r="I213" s="4">
        <f>IF(Raw_Data!H213="", "", IFERROR(VALUE(Raw_Data!H213), ""))</f>
        <v>58727.44</v>
      </c>
      <c r="J213" s="2" t="str">
        <f>IF(Raw_Data!I213="", "", IF(ISNUMBER(FIND("@", Raw_Data!I213)), Raw_Data!I213, "Review"))</f>
        <v>frank.davis@example.com</v>
      </c>
      <c r="K213" s="5" t="str">
        <f>IFERROR(TEXT(ABS(Raw_Data!J213), "0"), "Review")</f>
        <v>5057397690</v>
      </c>
      <c r="L213" s="2" t="str">
        <f>IFERROR(TRIM(Raw_Data!K213), "Review")</f>
        <v>Poor</v>
      </c>
      <c r="M213" s="2" t="b">
        <f>IF(Raw_Data!L213="", "",
    IF(ISLOGICAL(Raw_Data!L213), Raw_Data!L213,
        IF(OR(UPPER(Raw_Data!L213)="TRUE", UPPER(Raw_Data!L213)="YES", UPPER(Raw_Data!L213)="1"), TRUE,
            IF(OR(UPPER(Raw_Data!L213)="FALSE", UPPER(Raw_Data!L213)="NO", UPPER(Raw_Data!L213)="0"), FALSE, "Review")
        )
    )
)</f>
        <v>1</v>
      </c>
    </row>
    <row r="214" spans="1:13" x14ac:dyDescent="0.4">
      <c r="A214" s="2" t="str">
        <f>IFERROR(TRIM(Raw_Data!A214), "Review")</f>
        <v>EMP1212</v>
      </c>
      <c r="B214" s="2" t="str">
        <f>IFERROR(TRIM(Raw_Data!B214), "Review")</f>
        <v>Charlie</v>
      </c>
      <c r="C214" s="2" t="str">
        <f>IFERROR(TRIM(Raw_Data!C214), "Review")</f>
        <v>Jones</v>
      </c>
      <c r="D214" s="2">
        <f>IF(Raw_Data!D214="", "", IFERROR(VALUE(Raw_Data!D214), ""))</f>
        <v>35</v>
      </c>
      <c r="E214" s="2" t="str">
        <f>IFERROR(LEFT(Raw_Data!E214,SEARCH("-",Raw_Data!E214)-1),"Review")</f>
        <v>Finance</v>
      </c>
      <c r="F214" s="2" t="str">
        <f>IFERROR(_xlfn.TEXTAFTER(Raw_Data!E214,"-"),"Review")</f>
        <v>Illinois</v>
      </c>
      <c r="G214" s="2" t="str">
        <f>IFERROR(TRIM(Raw_Data!F214), "Review")</f>
        <v>Active</v>
      </c>
      <c r="H214" s="3" t="str">
        <f>IFERROR(TEXT(Raw_Data!G214, "YYYY-MM-DD"),"Review")</f>
        <v>2024-08-28</v>
      </c>
      <c r="I214" s="4">
        <f>IF(Raw_Data!H214="", "", IFERROR(VALUE(Raw_Data!H214), ""))</f>
        <v>80623.08</v>
      </c>
      <c r="J214" s="2" t="str">
        <f>IF(Raw_Data!I214="", "", IF(ISNUMBER(FIND("@", Raw_Data!I214)), Raw_Data!I214, "Review"))</f>
        <v>charlie.jones@example.com</v>
      </c>
      <c r="K214" s="5" t="str">
        <f>IFERROR(TEXT(ABS(Raw_Data!J214), "0"), "Review")</f>
        <v>5671649327</v>
      </c>
      <c r="L214" s="2" t="str">
        <f>IFERROR(TRIM(Raw_Data!K214), "Review")</f>
        <v>Excellent</v>
      </c>
      <c r="M214" s="2" t="b">
        <f>IF(Raw_Data!L214="", "",
    IF(ISLOGICAL(Raw_Data!L214), Raw_Data!L214,
        IF(OR(UPPER(Raw_Data!L214)="TRUE", UPPER(Raw_Data!L214)="YES", UPPER(Raw_Data!L214)="1"), TRUE,
            IF(OR(UPPER(Raw_Data!L214)="FALSE", UPPER(Raw_Data!L214)="NO", UPPER(Raw_Data!L214)="0"), FALSE, "Review")
        )
    )
)</f>
        <v>1</v>
      </c>
    </row>
    <row r="215" spans="1:13" x14ac:dyDescent="0.4">
      <c r="A215" s="2" t="str">
        <f>IFERROR(TRIM(Raw_Data!A215), "Review")</f>
        <v>EMP1213</v>
      </c>
      <c r="B215" s="2" t="str">
        <f>IFERROR(TRIM(Raw_Data!B215), "Review")</f>
        <v>David</v>
      </c>
      <c r="C215" s="2" t="str">
        <f>IFERROR(TRIM(Raw_Data!C215), "Review")</f>
        <v>Davis</v>
      </c>
      <c r="D215" s="2">
        <f>IF(Raw_Data!D215="", "", IFERROR(VALUE(Raw_Data!D215), ""))</f>
        <v>40</v>
      </c>
      <c r="E215" s="2" t="str">
        <f>IFERROR(LEFT(Raw_Data!E215,SEARCH("-",Raw_Data!E215)-1),"Review")</f>
        <v>HR</v>
      </c>
      <c r="F215" s="2" t="str">
        <f>IFERROR(_xlfn.TEXTAFTER(Raw_Data!E215,"-"),"Review")</f>
        <v>Texas</v>
      </c>
      <c r="G215" s="2" t="str">
        <f>IFERROR(TRIM(Raw_Data!F215), "Review")</f>
        <v>Inactive</v>
      </c>
      <c r="H215" s="3" t="str">
        <f>IFERROR(TEXT(Raw_Data!G215, "YYYY-MM-DD"),"Review")</f>
        <v>2020-04-19</v>
      </c>
      <c r="I215" s="4">
        <f>IF(Raw_Data!H215="", "", IFERROR(VALUE(Raw_Data!H215), ""))</f>
        <v>77751.78</v>
      </c>
      <c r="J215" s="2" t="str">
        <f>IF(Raw_Data!I215="", "", IF(ISNUMBER(FIND("@", Raw_Data!I215)), Raw_Data!I215, "Review"))</f>
        <v>david.davis@example.com</v>
      </c>
      <c r="K215" s="5" t="str">
        <f>IFERROR(TEXT(ABS(Raw_Data!J215), "0"), "Review")</f>
        <v>9802714871</v>
      </c>
      <c r="L215" s="2" t="str">
        <f>IFERROR(TRIM(Raw_Data!K215), "Review")</f>
        <v>Excellent</v>
      </c>
      <c r="M215" s="2" t="b">
        <f>IF(Raw_Data!L215="", "",
    IF(ISLOGICAL(Raw_Data!L215), Raw_Data!L215,
        IF(OR(UPPER(Raw_Data!L215)="TRUE", UPPER(Raw_Data!L215)="YES", UPPER(Raw_Data!L215)="1"), TRUE,
            IF(OR(UPPER(Raw_Data!L215)="FALSE", UPPER(Raw_Data!L215)="NO", UPPER(Raw_Data!L215)="0"), FALSE, "Review")
        )
    )
)</f>
        <v>0</v>
      </c>
    </row>
    <row r="216" spans="1:13" x14ac:dyDescent="0.4">
      <c r="A216" s="2" t="str">
        <f>IFERROR(TRIM(Raw_Data!A216), "Review")</f>
        <v>EMP1214</v>
      </c>
      <c r="B216" s="2" t="str">
        <f>IFERROR(TRIM(Raw_Data!B216), "Review")</f>
        <v>Grace</v>
      </c>
      <c r="C216" s="2" t="str">
        <f>IFERROR(TRIM(Raw_Data!C216), "Review")</f>
        <v>Williams</v>
      </c>
      <c r="D216" s="2">
        <f>IF(Raw_Data!D216="", "", IFERROR(VALUE(Raw_Data!D216), ""))</f>
        <v>25</v>
      </c>
      <c r="E216" s="2" t="str">
        <f>IFERROR(LEFT(Raw_Data!E216,SEARCH("-",Raw_Data!E216)-1),"Review")</f>
        <v>HR</v>
      </c>
      <c r="F216" s="2" t="str">
        <f>IFERROR(_xlfn.TEXTAFTER(Raw_Data!E216,"-"),"Review")</f>
        <v>New York</v>
      </c>
      <c r="G216" s="2" t="str">
        <f>IFERROR(TRIM(Raw_Data!F216), "Review")</f>
        <v>Active</v>
      </c>
      <c r="H216" s="3" t="str">
        <f>IFERROR(TEXT(Raw_Data!G216, "YYYY-MM-DD"),"Review")</f>
        <v>2021-10-14</v>
      </c>
      <c r="I216" s="4">
        <f>IF(Raw_Data!H216="", "", IFERROR(VALUE(Raw_Data!H216), ""))</f>
        <v>115157.81</v>
      </c>
      <c r="J216" s="2" t="str">
        <f>IF(Raw_Data!I216="", "", IF(ISNUMBER(FIND("@", Raw_Data!I216)), Raw_Data!I216, "Review"))</f>
        <v>grace.williams@example.com</v>
      </c>
      <c r="K216" s="5" t="str">
        <f>IFERROR(TEXT(ABS(Raw_Data!J216), "0"), "Review")</f>
        <v>7178333210</v>
      </c>
      <c r="L216" s="2" t="str">
        <f>IFERROR(TRIM(Raw_Data!K216), "Review")</f>
        <v>Good</v>
      </c>
      <c r="M216" s="2" t="b">
        <f>IF(Raw_Data!L216="", "",
    IF(ISLOGICAL(Raw_Data!L216), Raw_Data!L216,
        IF(OR(UPPER(Raw_Data!L216)="TRUE", UPPER(Raw_Data!L216)="YES", UPPER(Raw_Data!L216)="1"), TRUE,
            IF(OR(UPPER(Raw_Data!L216)="FALSE", UPPER(Raw_Data!L216)="NO", UPPER(Raw_Data!L216)="0"), FALSE, "Review")
        )
    )
)</f>
        <v>0</v>
      </c>
    </row>
    <row r="217" spans="1:13" x14ac:dyDescent="0.4">
      <c r="A217" s="2" t="str">
        <f>IFERROR(TRIM(Raw_Data!A217), "Review")</f>
        <v>EMP1215</v>
      </c>
      <c r="B217" s="2" t="str">
        <f>IFERROR(TRIM(Raw_Data!B217), "Review")</f>
        <v>Frank</v>
      </c>
      <c r="C217" s="2" t="str">
        <f>IFERROR(TRIM(Raw_Data!C217), "Review")</f>
        <v>Jones</v>
      </c>
      <c r="D217" s="2">
        <f>IF(Raw_Data!D217="", "", IFERROR(VALUE(Raw_Data!D217), ""))</f>
        <v>30</v>
      </c>
      <c r="E217" s="2" t="str">
        <f>IFERROR(LEFT(Raw_Data!E217,SEARCH("-",Raw_Data!E217)-1),"Review")</f>
        <v>Admin</v>
      </c>
      <c r="F217" s="2" t="str">
        <f>IFERROR(_xlfn.TEXTAFTER(Raw_Data!E217,"-"),"Review")</f>
        <v>Texas</v>
      </c>
      <c r="G217" s="2" t="str">
        <f>IFERROR(TRIM(Raw_Data!F217), "Review")</f>
        <v>Inactive</v>
      </c>
      <c r="H217" s="3" t="str">
        <f>IFERROR(TEXT(Raw_Data!G217, "YYYY-MM-DD"),"Review")</f>
        <v>2024-08-26</v>
      </c>
      <c r="I217" s="4">
        <f>IF(Raw_Data!H217="", "", IFERROR(VALUE(Raw_Data!H217), ""))</f>
        <v>83071.850000000006</v>
      </c>
      <c r="J217" s="2" t="str">
        <f>IF(Raw_Data!I217="", "", IF(ISNUMBER(FIND("@", Raw_Data!I217)), Raw_Data!I217, "Review"))</f>
        <v>frank.jones@example.com</v>
      </c>
      <c r="K217" s="5" t="str">
        <f>IFERROR(TEXT(ABS(Raw_Data!J217), "0"), "Review")</f>
        <v>6025643470</v>
      </c>
      <c r="L217" s="2" t="str">
        <f>IFERROR(TRIM(Raw_Data!K217), "Review")</f>
        <v>Poor</v>
      </c>
      <c r="M217" s="2" t="b">
        <f>IF(Raw_Data!L217="", "",
    IF(ISLOGICAL(Raw_Data!L217), Raw_Data!L217,
        IF(OR(UPPER(Raw_Data!L217)="TRUE", UPPER(Raw_Data!L217)="YES", UPPER(Raw_Data!L217)="1"), TRUE,
            IF(OR(UPPER(Raw_Data!L217)="FALSE", UPPER(Raw_Data!L217)="NO", UPPER(Raw_Data!L217)="0"), FALSE, "Review")
        )
    )
)</f>
        <v>0</v>
      </c>
    </row>
    <row r="218" spans="1:13" x14ac:dyDescent="0.4">
      <c r="A218" s="2" t="str">
        <f>IFERROR(TRIM(Raw_Data!A218), "Review")</f>
        <v>EMP1216</v>
      </c>
      <c r="B218" s="2" t="str">
        <f>IFERROR(TRIM(Raw_Data!B218), "Review")</f>
        <v>Heidi</v>
      </c>
      <c r="C218" s="2" t="str">
        <f>IFERROR(TRIM(Raw_Data!C218), "Review")</f>
        <v>Brown</v>
      </c>
      <c r="D218" s="2">
        <f>IF(Raw_Data!D218="", "", IFERROR(VALUE(Raw_Data!D218), ""))</f>
        <v>40</v>
      </c>
      <c r="E218" s="2" t="str">
        <f>IFERROR(LEFT(Raw_Data!E218,SEARCH("-",Raw_Data!E218)-1),"Review")</f>
        <v>Sales</v>
      </c>
      <c r="F218" s="2" t="str">
        <f>IFERROR(_xlfn.TEXTAFTER(Raw_Data!E218,"-"),"Review")</f>
        <v>Texas</v>
      </c>
      <c r="G218" s="2" t="str">
        <f>IFERROR(TRIM(Raw_Data!F218), "Review")</f>
        <v>Active</v>
      </c>
      <c r="H218" s="3" t="str">
        <f>IFERROR(TEXT(Raw_Data!G218, "YYYY-MM-DD"),"Review")</f>
        <v>2020-02-08</v>
      </c>
      <c r="I218" s="4">
        <f>IF(Raw_Data!H218="", "", IFERROR(VALUE(Raw_Data!H218), ""))</f>
        <v>67914.67</v>
      </c>
      <c r="J218" s="2" t="str">
        <f>IF(Raw_Data!I218="", "", IF(ISNUMBER(FIND("@", Raw_Data!I218)), Raw_Data!I218, "Review"))</f>
        <v>heidi.brown@example.com</v>
      </c>
      <c r="K218" s="5" t="str">
        <f>IFERROR(TEXT(ABS(Raw_Data!J218), "0"), "Review")</f>
        <v>2871539914</v>
      </c>
      <c r="L218" s="2" t="str">
        <f>IFERROR(TRIM(Raw_Data!K218), "Review")</f>
        <v>Excellent</v>
      </c>
      <c r="M218" s="2" t="b">
        <f>IF(Raw_Data!L218="", "",
    IF(ISLOGICAL(Raw_Data!L218), Raw_Data!L218,
        IF(OR(UPPER(Raw_Data!L218)="TRUE", UPPER(Raw_Data!L218)="YES", UPPER(Raw_Data!L218)="1"), TRUE,
            IF(OR(UPPER(Raw_Data!L218)="FALSE", UPPER(Raw_Data!L218)="NO", UPPER(Raw_Data!L218)="0"), FALSE, "Review")
        )
    )
)</f>
        <v>1</v>
      </c>
    </row>
    <row r="219" spans="1:13" x14ac:dyDescent="0.4">
      <c r="A219" s="2" t="str">
        <f>IFERROR(TRIM(Raw_Data!A219), "Review")</f>
        <v>EMP1217</v>
      </c>
      <c r="B219" s="2" t="str">
        <f>IFERROR(TRIM(Raw_Data!B219), "Review")</f>
        <v>Grace</v>
      </c>
      <c r="C219" s="2" t="str">
        <f>IFERROR(TRIM(Raw_Data!C219), "Review")</f>
        <v>Jones</v>
      </c>
      <c r="D219" s="2">
        <f>IF(Raw_Data!D219="", "", IFERROR(VALUE(Raw_Data!D219), ""))</f>
        <v>25</v>
      </c>
      <c r="E219" s="2" t="str">
        <f>IFERROR(LEFT(Raw_Data!E219,SEARCH("-",Raw_Data!E219)-1),"Review")</f>
        <v>HR</v>
      </c>
      <c r="F219" s="2" t="str">
        <f>IFERROR(_xlfn.TEXTAFTER(Raw_Data!E219,"-"),"Review")</f>
        <v>New York</v>
      </c>
      <c r="G219" s="2" t="str">
        <f>IFERROR(TRIM(Raw_Data!F219), "Review")</f>
        <v>Inactive</v>
      </c>
      <c r="H219" s="3" t="str">
        <f>IFERROR(TEXT(Raw_Data!G219, "YYYY-MM-DD"),"Review")</f>
        <v>2020-09-06</v>
      </c>
      <c r="I219" s="4">
        <f>IF(Raw_Data!H219="", "", IFERROR(VALUE(Raw_Data!H219), ""))</f>
        <v>53342.46</v>
      </c>
      <c r="J219" s="2" t="str">
        <f>IF(Raw_Data!I219="", "", IF(ISNUMBER(FIND("@", Raw_Data!I219)), Raw_Data!I219, "Review"))</f>
        <v>grace.jones@example.com</v>
      </c>
      <c r="K219" s="5" t="str">
        <f>IFERROR(TEXT(ABS(Raw_Data!J219), "0"), "Review")</f>
        <v>6686334140</v>
      </c>
      <c r="L219" s="2" t="str">
        <f>IFERROR(TRIM(Raw_Data!K219), "Review")</f>
        <v>Poor</v>
      </c>
      <c r="M219" s="2" t="b">
        <f>IF(Raw_Data!L219="", "",
    IF(ISLOGICAL(Raw_Data!L219), Raw_Data!L219,
        IF(OR(UPPER(Raw_Data!L219)="TRUE", UPPER(Raw_Data!L219)="YES", UPPER(Raw_Data!L219)="1"), TRUE,
            IF(OR(UPPER(Raw_Data!L219)="FALSE", UPPER(Raw_Data!L219)="NO", UPPER(Raw_Data!L219)="0"), FALSE, "Review")
        )
    )
)</f>
        <v>0</v>
      </c>
    </row>
    <row r="220" spans="1:13" x14ac:dyDescent="0.4">
      <c r="A220" s="2" t="str">
        <f>IFERROR(TRIM(Raw_Data!A220), "Review")</f>
        <v>EMP1218</v>
      </c>
      <c r="B220" s="2" t="str">
        <f>IFERROR(TRIM(Raw_Data!B220), "Review")</f>
        <v>Heidi</v>
      </c>
      <c r="C220" s="2" t="str">
        <f>IFERROR(TRIM(Raw_Data!C220), "Review")</f>
        <v>Garcia</v>
      </c>
      <c r="D220" s="2">
        <f>IF(Raw_Data!D220="", "", IFERROR(VALUE(Raw_Data!D220), ""))</f>
        <v>25</v>
      </c>
      <c r="E220" s="2" t="str">
        <f>IFERROR(LEFT(Raw_Data!E220,SEARCH("-",Raw_Data!E220)-1),"Review")</f>
        <v>Cloud Tech</v>
      </c>
      <c r="F220" s="2" t="str">
        <f>IFERROR(_xlfn.TEXTAFTER(Raw_Data!E220,"-"),"Review")</f>
        <v>Florida</v>
      </c>
      <c r="G220" s="2" t="str">
        <f>IFERROR(TRIM(Raw_Data!F220), "Review")</f>
        <v>Pending</v>
      </c>
      <c r="H220" s="3" t="str">
        <f>IFERROR(TEXT(Raw_Data!G220, "YYYY-MM-DD"),"Review")</f>
        <v>2023-01-02</v>
      </c>
      <c r="I220" s="4">
        <f>IF(Raw_Data!H220="", "", IFERROR(VALUE(Raw_Data!H220), ""))</f>
        <v>51150.47</v>
      </c>
      <c r="J220" s="2" t="str">
        <f>IF(Raw_Data!I220="", "", IF(ISNUMBER(FIND("@", Raw_Data!I220)), Raw_Data!I220, "Review"))</f>
        <v>heidi.garcia@example.com</v>
      </c>
      <c r="K220" s="5" t="str">
        <f>IFERROR(TEXT(ABS(Raw_Data!J220), "0"), "Review")</f>
        <v>1159319524</v>
      </c>
      <c r="L220" s="2" t="str">
        <f>IFERROR(TRIM(Raw_Data!K220), "Review")</f>
        <v>Excellent</v>
      </c>
      <c r="M220" s="2" t="b">
        <f>IF(Raw_Data!L220="", "",
    IF(ISLOGICAL(Raw_Data!L220), Raw_Data!L220,
        IF(OR(UPPER(Raw_Data!L220)="TRUE", UPPER(Raw_Data!L220)="YES", UPPER(Raw_Data!L220)="1"), TRUE,
            IF(OR(UPPER(Raw_Data!L220)="FALSE", UPPER(Raw_Data!L220)="NO", UPPER(Raw_Data!L220)="0"), FALSE, "Review")
        )
    )
)</f>
        <v>0</v>
      </c>
    </row>
    <row r="221" spans="1:13" x14ac:dyDescent="0.4">
      <c r="A221" s="2" t="str">
        <f>IFERROR(TRIM(Raw_Data!A221), "Review")</f>
        <v>EMP1219</v>
      </c>
      <c r="B221" s="2" t="str">
        <f>IFERROR(TRIM(Raw_Data!B221), "Review")</f>
        <v>David</v>
      </c>
      <c r="C221" s="2" t="str">
        <f>IFERROR(TRIM(Raw_Data!C221), "Review")</f>
        <v>Davis</v>
      </c>
      <c r="D221" s="2">
        <f>IF(Raw_Data!D221="", "", IFERROR(VALUE(Raw_Data!D221), ""))</f>
        <v>30</v>
      </c>
      <c r="E221" s="2" t="str">
        <f>IFERROR(LEFT(Raw_Data!E221,SEARCH("-",Raw_Data!E221)-1),"Review")</f>
        <v>HR</v>
      </c>
      <c r="F221" s="2" t="str">
        <f>IFERROR(_xlfn.TEXTAFTER(Raw_Data!E221,"-"),"Review")</f>
        <v>Florida</v>
      </c>
      <c r="G221" s="2" t="str">
        <f>IFERROR(TRIM(Raw_Data!F221), "Review")</f>
        <v>Active</v>
      </c>
      <c r="H221" s="3" t="str">
        <f>IFERROR(TEXT(Raw_Data!G221, "YYYY-MM-DD"),"Review")</f>
        <v>2023-06-13</v>
      </c>
      <c r="I221" s="4">
        <f>IF(Raw_Data!H221="", "", IFERROR(VALUE(Raw_Data!H221), ""))</f>
        <v>74697.119999999995</v>
      </c>
      <c r="J221" s="2" t="str">
        <f>IF(Raw_Data!I221="", "", IF(ISNUMBER(FIND("@", Raw_Data!I221)), Raw_Data!I221, "Review"))</f>
        <v>david.davis@example.com</v>
      </c>
      <c r="K221" s="5" t="str">
        <f>IFERROR(TEXT(ABS(Raw_Data!J221), "0"), "Review")</f>
        <v>6904098365</v>
      </c>
      <c r="L221" s="2" t="str">
        <f>IFERROR(TRIM(Raw_Data!K221), "Review")</f>
        <v>Average</v>
      </c>
      <c r="M221" s="2" t="b">
        <f>IF(Raw_Data!L221="", "",
    IF(ISLOGICAL(Raw_Data!L221), Raw_Data!L221,
        IF(OR(UPPER(Raw_Data!L221)="TRUE", UPPER(Raw_Data!L221)="YES", UPPER(Raw_Data!L221)="1"), TRUE,
            IF(OR(UPPER(Raw_Data!L221)="FALSE", UPPER(Raw_Data!L221)="NO", UPPER(Raw_Data!L221)="0"), FALSE, "Review")
        )
    )
)</f>
        <v>1</v>
      </c>
    </row>
    <row r="222" spans="1:13" x14ac:dyDescent="0.4">
      <c r="A222" s="2" t="str">
        <f>IFERROR(TRIM(Raw_Data!A222), "Review")</f>
        <v>EMP1220</v>
      </c>
      <c r="B222" s="2" t="str">
        <f>IFERROR(TRIM(Raw_Data!B222), "Review")</f>
        <v>Charlie</v>
      </c>
      <c r="C222" s="2" t="str">
        <f>IFERROR(TRIM(Raw_Data!C222), "Review")</f>
        <v>Williams</v>
      </c>
      <c r="D222" s="2">
        <f>IF(Raw_Data!D222="", "", IFERROR(VALUE(Raw_Data!D222), ""))</f>
        <v>25</v>
      </c>
      <c r="E222" s="2" t="str">
        <f>IFERROR(LEFT(Raw_Data!E222,SEARCH("-",Raw_Data!E222)-1),"Review")</f>
        <v>Sales</v>
      </c>
      <c r="F222" s="2" t="str">
        <f>IFERROR(_xlfn.TEXTAFTER(Raw_Data!E222,"-"),"Review")</f>
        <v>California</v>
      </c>
      <c r="G222" s="2" t="str">
        <f>IFERROR(TRIM(Raw_Data!F222), "Review")</f>
        <v>Active</v>
      </c>
      <c r="H222" s="3" t="str">
        <f>IFERROR(TEXT(Raw_Data!G222, "YYYY-MM-DD"),"Review")</f>
        <v>2022-12-13</v>
      </c>
      <c r="I222" s="4">
        <f>IF(Raw_Data!H222="", "", IFERROR(VALUE(Raw_Data!H222), ""))</f>
        <v>88085.74</v>
      </c>
      <c r="J222" s="2" t="str">
        <f>IF(Raw_Data!I222="", "", IF(ISNUMBER(FIND("@", Raw_Data!I222)), Raw_Data!I222, "Review"))</f>
        <v>charlie.williams@example.com</v>
      </c>
      <c r="K222" s="5" t="str">
        <f>IFERROR(TEXT(ABS(Raw_Data!J222), "0"), "Review")</f>
        <v>5528993159</v>
      </c>
      <c r="L222" s="2" t="str">
        <f>IFERROR(TRIM(Raw_Data!K222), "Review")</f>
        <v>Excellent</v>
      </c>
      <c r="M222" s="2" t="b">
        <f>IF(Raw_Data!L222="", "",
    IF(ISLOGICAL(Raw_Data!L222), Raw_Data!L222,
        IF(OR(UPPER(Raw_Data!L222)="TRUE", UPPER(Raw_Data!L222)="YES", UPPER(Raw_Data!L222)="1"), TRUE,
            IF(OR(UPPER(Raw_Data!L222)="FALSE", UPPER(Raw_Data!L222)="NO", UPPER(Raw_Data!L222)="0"), FALSE, "Review")
        )
    )
)</f>
        <v>1</v>
      </c>
    </row>
    <row r="223" spans="1:13" x14ac:dyDescent="0.4">
      <c r="A223" s="2" t="str">
        <f>IFERROR(TRIM(Raw_Data!A223), "Review")</f>
        <v>EMP1221</v>
      </c>
      <c r="B223" s="2" t="str">
        <f>IFERROR(TRIM(Raw_Data!B223), "Review")</f>
        <v>Alice</v>
      </c>
      <c r="C223" s="2" t="str">
        <f>IFERROR(TRIM(Raw_Data!C223), "Review")</f>
        <v>Williams</v>
      </c>
      <c r="D223" s="2">
        <f>IF(Raw_Data!D223="", "", IFERROR(VALUE(Raw_Data!D223), ""))</f>
        <v>40</v>
      </c>
      <c r="E223" s="2" t="str">
        <f>IFERROR(LEFT(Raw_Data!E223,SEARCH("-",Raw_Data!E223)-1),"Review")</f>
        <v>Finance</v>
      </c>
      <c r="F223" s="2" t="str">
        <f>IFERROR(_xlfn.TEXTAFTER(Raw_Data!E223,"-"),"Review")</f>
        <v>Texas</v>
      </c>
      <c r="G223" s="2" t="str">
        <f>IFERROR(TRIM(Raw_Data!F223), "Review")</f>
        <v>Pending</v>
      </c>
      <c r="H223" s="3" t="str">
        <f>IFERROR(TEXT(Raw_Data!G223, "YYYY-MM-DD"),"Review")</f>
        <v>2022-03-03</v>
      </c>
      <c r="I223" s="4">
        <f>IF(Raw_Data!H223="", "", IFERROR(VALUE(Raw_Data!H223), ""))</f>
        <v>118672.76</v>
      </c>
      <c r="J223" s="2" t="str">
        <f>IF(Raw_Data!I223="", "", IF(ISNUMBER(FIND("@", Raw_Data!I223)), Raw_Data!I223, "Review"))</f>
        <v>alice.williams@example.com</v>
      </c>
      <c r="K223" s="5" t="str">
        <f>IFERROR(TEXT(ABS(Raw_Data!J223), "0"), "Review")</f>
        <v>8752437728</v>
      </c>
      <c r="L223" s="2" t="str">
        <f>IFERROR(TRIM(Raw_Data!K223), "Review")</f>
        <v>Poor</v>
      </c>
      <c r="M223" s="2" t="b">
        <f>IF(Raw_Data!L223="", "",
    IF(ISLOGICAL(Raw_Data!L223), Raw_Data!L223,
        IF(OR(UPPER(Raw_Data!L223)="TRUE", UPPER(Raw_Data!L223)="YES", UPPER(Raw_Data!L223)="1"), TRUE,
            IF(OR(UPPER(Raw_Data!L223)="FALSE", UPPER(Raw_Data!L223)="NO", UPPER(Raw_Data!L223)="0"), FALSE, "Review")
        )
    )
)</f>
        <v>0</v>
      </c>
    </row>
    <row r="224" spans="1:13" x14ac:dyDescent="0.4">
      <c r="A224" s="2" t="str">
        <f>IFERROR(TRIM(Raw_Data!A224), "Review")</f>
        <v>EMP1222</v>
      </c>
      <c r="B224" s="2" t="str">
        <f>IFERROR(TRIM(Raw_Data!B224), "Review")</f>
        <v>Alice</v>
      </c>
      <c r="C224" s="2" t="str">
        <f>IFERROR(TRIM(Raw_Data!C224), "Review")</f>
        <v>Miller</v>
      </c>
      <c r="D224" s="2">
        <f>IF(Raw_Data!D224="", "", IFERROR(VALUE(Raw_Data!D224), ""))</f>
        <v>35</v>
      </c>
      <c r="E224" s="2" t="str">
        <f>IFERROR(LEFT(Raw_Data!E224,SEARCH("-",Raw_Data!E224)-1),"Review")</f>
        <v>Cloud Tech</v>
      </c>
      <c r="F224" s="2" t="str">
        <f>IFERROR(_xlfn.TEXTAFTER(Raw_Data!E224,"-"),"Review")</f>
        <v>California</v>
      </c>
      <c r="G224" s="2" t="str">
        <f>IFERROR(TRIM(Raw_Data!F224), "Review")</f>
        <v>Active</v>
      </c>
      <c r="H224" s="3" t="str">
        <f>IFERROR(TEXT(Raw_Data!G224, "YYYY-MM-DD"),"Review")</f>
        <v>2024-02-10</v>
      </c>
      <c r="I224" s="4">
        <f>IF(Raw_Data!H224="", "", IFERROR(VALUE(Raw_Data!H224), ""))</f>
        <v>95997.31</v>
      </c>
      <c r="J224" s="2" t="str">
        <f>IF(Raw_Data!I224="", "", IF(ISNUMBER(FIND("@", Raw_Data!I224)), Raw_Data!I224, "Review"))</f>
        <v>alice.miller@example.com</v>
      </c>
      <c r="K224" s="5" t="str">
        <f>IFERROR(TEXT(ABS(Raw_Data!J224), "0"), "Review")</f>
        <v>4209548148</v>
      </c>
      <c r="L224" s="2" t="str">
        <f>IFERROR(TRIM(Raw_Data!K224), "Review")</f>
        <v>Average</v>
      </c>
      <c r="M224" s="2" t="b">
        <f>IF(Raw_Data!L224="", "",
    IF(ISLOGICAL(Raw_Data!L224), Raw_Data!L224,
        IF(OR(UPPER(Raw_Data!L224)="TRUE", UPPER(Raw_Data!L224)="YES", UPPER(Raw_Data!L224)="1"), TRUE,
            IF(OR(UPPER(Raw_Data!L224)="FALSE", UPPER(Raw_Data!L224)="NO", UPPER(Raw_Data!L224)="0"), FALSE, "Review")
        )
    )
)</f>
        <v>0</v>
      </c>
    </row>
    <row r="225" spans="1:13" x14ac:dyDescent="0.4">
      <c r="A225" s="2" t="str">
        <f>IFERROR(TRIM(Raw_Data!A225), "Review")</f>
        <v>EMP1223</v>
      </c>
      <c r="B225" s="2" t="str">
        <f>IFERROR(TRIM(Raw_Data!B225), "Review")</f>
        <v>Frank</v>
      </c>
      <c r="C225" s="2" t="str">
        <f>IFERROR(TRIM(Raw_Data!C225), "Review")</f>
        <v>Brown</v>
      </c>
      <c r="D225" s="2">
        <f>IF(Raw_Data!D225="", "", IFERROR(VALUE(Raw_Data!D225), ""))</f>
        <v>30</v>
      </c>
      <c r="E225" s="2" t="str">
        <f>IFERROR(LEFT(Raw_Data!E225,SEARCH("-",Raw_Data!E225)-1),"Review")</f>
        <v>Cloud Tech</v>
      </c>
      <c r="F225" s="2" t="str">
        <f>IFERROR(_xlfn.TEXTAFTER(Raw_Data!E225,"-"),"Review")</f>
        <v>California</v>
      </c>
      <c r="G225" s="2" t="str">
        <f>IFERROR(TRIM(Raw_Data!F225), "Review")</f>
        <v>Pending</v>
      </c>
      <c r="H225" s="3" t="str">
        <f>IFERROR(TEXT(Raw_Data!G225, "YYYY-MM-DD"),"Review")</f>
        <v>2021-11-24</v>
      </c>
      <c r="I225" s="4">
        <f>IF(Raw_Data!H225="", "", IFERROR(VALUE(Raw_Data!H225), ""))</f>
        <v>106945.62</v>
      </c>
      <c r="J225" s="2" t="str">
        <f>IF(Raw_Data!I225="", "", IF(ISNUMBER(FIND("@", Raw_Data!I225)), Raw_Data!I225, "Review"))</f>
        <v>frank.brown@example.com</v>
      </c>
      <c r="K225" s="5" t="str">
        <f>IFERROR(TEXT(ABS(Raw_Data!J225), "0"), "Review")</f>
        <v>7374605232</v>
      </c>
      <c r="L225" s="2" t="str">
        <f>IFERROR(TRIM(Raw_Data!K225), "Review")</f>
        <v>Average</v>
      </c>
      <c r="M225" s="2" t="b">
        <f>IF(Raw_Data!L225="", "",
    IF(ISLOGICAL(Raw_Data!L225), Raw_Data!L225,
        IF(OR(UPPER(Raw_Data!L225)="TRUE", UPPER(Raw_Data!L225)="YES", UPPER(Raw_Data!L225)="1"), TRUE,
            IF(OR(UPPER(Raw_Data!L225)="FALSE", UPPER(Raw_Data!L225)="NO", UPPER(Raw_Data!L225)="0"), FALSE, "Review")
        )
    )
)</f>
        <v>0</v>
      </c>
    </row>
    <row r="226" spans="1:13" x14ac:dyDescent="0.4">
      <c r="A226" s="2" t="str">
        <f>IFERROR(TRIM(Raw_Data!A226), "Review")</f>
        <v>EMP1224</v>
      </c>
      <c r="B226" s="2" t="str">
        <f>IFERROR(TRIM(Raw_Data!B226), "Review")</f>
        <v>Heidi</v>
      </c>
      <c r="C226" s="2" t="str">
        <f>IFERROR(TRIM(Raw_Data!C226), "Review")</f>
        <v>Johnson</v>
      </c>
      <c r="D226" s="2">
        <f>IF(Raw_Data!D226="", "", IFERROR(VALUE(Raw_Data!D226), ""))</f>
        <v>40</v>
      </c>
      <c r="E226" s="2" t="str">
        <f>IFERROR(LEFT(Raw_Data!E226,SEARCH("-",Raw_Data!E226)-1),"Review")</f>
        <v>DevOps</v>
      </c>
      <c r="F226" s="2" t="str">
        <f>IFERROR(_xlfn.TEXTAFTER(Raw_Data!E226,"-"),"Review")</f>
        <v>New York</v>
      </c>
      <c r="G226" s="2" t="str">
        <f>IFERROR(TRIM(Raw_Data!F226), "Review")</f>
        <v>Active</v>
      </c>
      <c r="H226" s="3" t="str">
        <f>IFERROR(TEXT(Raw_Data!G226, "YYYY-MM-DD"),"Review")</f>
        <v>2020-05-09</v>
      </c>
      <c r="I226" s="4">
        <f>IF(Raw_Data!H226="", "", IFERROR(VALUE(Raw_Data!H226), ""))</f>
        <v>100123.15</v>
      </c>
      <c r="J226" s="2" t="str">
        <f>IF(Raw_Data!I226="", "", IF(ISNUMBER(FIND("@", Raw_Data!I226)), Raw_Data!I226, "Review"))</f>
        <v>heidi.johnson@example.com</v>
      </c>
      <c r="K226" s="5" t="str">
        <f>IFERROR(TEXT(ABS(Raw_Data!J226), "0"), "Review")</f>
        <v>276420864</v>
      </c>
      <c r="L226" s="2" t="str">
        <f>IFERROR(TRIM(Raw_Data!K226), "Review")</f>
        <v>Average</v>
      </c>
      <c r="M226" s="2" t="b">
        <f>IF(Raw_Data!L226="", "",
    IF(ISLOGICAL(Raw_Data!L226), Raw_Data!L226,
        IF(OR(UPPER(Raw_Data!L226)="TRUE", UPPER(Raw_Data!L226)="YES", UPPER(Raw_Data!L226)="1"), TRUE,
            IF(OR(UPPER(Raw_Data!L226)="FALSE", UPPER(Raw_Data!L226)="NO", UPPER(Raw_Data!L226)="0"), FALSE, "Review")
        )
    )
)</f>
        <v>0</v>
      </c>
    </row>
    <row r="227" spans="1:13" x14ac:dyDescent="0.4">
      <c r="A227" s="2" t="str">
        <f>IFERROR(TRIM(Raw_Data!A227), "Review")</f>
        <v>EMP1225</v>
      </c>
      <c r="B227" s="2" t="str">
        <f>IFERROR(TRIM(Raw_Data!B227), "Review")</f>
        <v>Alice</v>
      </c>
      <c r="C227" s="2" t="str">
        <f>IFERROR(TRIM(Raw_Data!C227), "Review")</f>
        <v>Johnson</v>
      </c>
      <c r="D227" s="2">
        <f>IF(Raw_Data!D227="", "", IFERROR(VALUE(Raw_Data!D227), ""))</f>
        <v>35</v>
      </c>
      <c r="E227" s="2" t="str">
        <f>IFERROR(LEFT(Raw_Data!E227,SEARCH("-",Raw_Data!E227)-1),"Review")</f>
        <v>Admin</v>
      </c>
      <c r="F227" s="2" t="str">
        <f>IFERROR(_xlfn.TEXTAFTER(Raw_Data!E227,"-"),"Review")</f>
        <v>Texas</v>
      </c>
      <c r="G227" s="2" t="str">
        <f>IFERROR(TRIM(Raw_Data!F227), "Review")</f>
        <v>Active</v>
      </c>
      <c r="H227" s="3" t="str">
        <f>IFERROR(TEXT(Raw_Data!G227, "YYYY-MM-DD"),"Review")</f>
        <v>2024-12-19</v>
      </c>
      <c r="I227" s="4">
        <f>IF(Raw_Data!H227="", "", IFERROR(VALUE(Raw_Data!H227), ""))</f>
        <v>52933.42</v>
      </c>
      <c r="J227" s="2" t="str">
        <f>IF(Raw_Data!I227="", "", IF(ISNUMBER(FIND("@", Raw_Data!I227)), Raw_Data!I227, "Review"))</f>
        <v>alice.johnson@example.com</v>
      </c>
      <c r="K227" s="5" t="str">
        <f>IFERROR(TEXT(ABS(Raw_Data!J227), "0"), "Review")</f>
        <v>6756618442</v>
      </c>
      <c r="L227" s="2" t="str">
        <f>IFERROR(TRIM(Raw_Data!K227), "Review")</f>
        <v>Poor</v>
      </c>
      <c r="M227" s="2" t="b">
        <f>IF(Raw_Data!L227="", "",
    IF(ISLOGICAL(Raw_Data!L227), Raw_Data!L227,
        IF(OR(UPPER(Raw_Data!L227)="TRUE", UPPER(Raw_Data!L227)="YES", UPPER(Raw_Data!L227)="1"), TRUE,
            IF(OR(UPPER(Raw_Data!L227)="FALSE", UPPER(Raw_Data!L227)="NO", UPPER(Raw_Data!L227)="0"), FALSE, "Review")
        )
    )
)</f>
        <v>1</v>
      </c>
    </row>
    <row r="228" spans="1:13" x14ac:dyDescent="0.4">
      <c r="A228" s="2" t="str">
        <f>IFERROR(TRIM(Raw_Data!A228), "Review")</f>
        <v>EMP1226</v>
      </c>
      <c r="B228" s="2" t="str">
        <f>IFERROR(TRIM(Raw_Data!B228), "Review")</f>
        <v>Grace</v>
      </c>
      <c r="C228" s="2" t="str">
        <f>IFERROR(TRIM(Raw_Data!C228), "Review")</f>
        <v>Jones</v>
      </c>
      <c r="D228" s="2" t="str">
        <f>IF(Raw_Data!D228="", "", IFERROR(VALUE(Raw_Data!D228), ""))</f>
        <v/>
      </c>
      <c r="E228" s="2" t="str">
        <f>IFERROR(LEFT(Raw_Data!E228,SEARCH("-",Raw_Data!E228)-1),"Review")</f>
        <v>Finance</v>
      </c>
      <c r="F228" s="2" t="str">
        <f>IFERROR(_xlfn.TEXTAFTER(Raw_Data!E228,"-"),"Review")</f>
        <v>California</v>
      </c>
      <c r="G228" s="2" t="str">
        <f>IFERROR(TRIM(Raw_Data!F228), "Review")</f>
        <v>Active</v>
      </c>
      <c r="H228" s="3" t="str">
        <f>IFERROR(TEXT(Raw_Data!G228, "YYYY-MM-DD"),"Review")</f>
        <v>2024-03-22</v>
      </c>
      <c r="I228" s="4">
        <f>IF(Raw_Data!H228="", "", IFERROR(VALUE(Raw_Data!H228), ""))</f>
        <v>95283.03</v>
      </c>
      <c r="J228" s="2" t="str">
        <f>IF(Raw_Data!I228="", "", IF(ISNUMBER(FIND("@", Raw_Data!I228)), Raw_Data!I228, "Review"))</f>
        <v>grace.jones@example.com</v>
      </c>
      <c r="K228" s="5" t="str">
        <f>IFERROR(TEXT(ABS(Raw_Data!J228), "0"), "Review")</f>
        <v>8612590471</v>
      </c>
      <c r="L228" s="2" t="str">
        <f>IFERROR(TRIM(Raw_Data!K228), "Review")</f>
        <v>Good</v>
      </c>
      <c r="M228" s="2" t="b">
        <f>IF(Raw_Data!L228="", "",
    IF(ISLOGICAL(Raw_Data!L228), Raw_Data!L228,
        IF(OR(UPPER(Raw_Data!L228)="TRUE", UPPER(Raw_Data!L228)="YES", UPPER(Raw_Data!L228)="1"), TRUE,
            IF(OR(UPPER(Raw_Data!L228)="FALSE", UPPER(Raw_Data!L228)="NO", UPPER(Raw_Data!L228)="0"), FALSE, "Review")
        )
    )
)</f>
        <v>0</v>
      </c>
    </row>
    <row r="229" spans="1:13" x14ac:dyDescent="0.4">
      <c r="A229" s="2" t="str">
        <f>IFERROR(TRIM(Raw_Data!A229), "Review")</f>
        <v>EMP1227</v>
      </c>
      <c r="B229" s="2" t="str">
        <f>IFERROR(TRIM(Raw_Data!B229), "Review")</f>
        <v>Alice</v>
      </c>
      <c r="C229" s="2" t="str">
        <f>IFERROR(TRIM(Raw_Data!C229), "Review")</f>
        <v>Miller</v>
      </c>
      <c r="D229" s="2">
        <f>IF(Raw_Data!D229="", "", IFERROR(VALUE(Raw_Data!D229), ""))</f>
        <v>35</v>
      </c>
      <c r="E229" s="2" t="str">
        <f>IFERROR(LEFT(Raw_Data!E229,SEARCH("-",Raw_Data!E229)-1),"Review")</f>
        <v>HR</v>
      </c>
      <c r="F229" s="2" t="str">
        <f>IFERROR(_xlfn.TEXTAFTER(Raw_Data!E229,"-"),"Review")</f>
        <v>Texas</v>
      </c>
      <c r="G229" s="2" t="str">
        <f>IFERROR(TRIM(Raw_Data!F229), "Review")</f>
        <v>Inactive</v>
      </c>
      <c r="H229" s="3" t="str">
        <f>IFERROR(TEXT(Raw_Data!G229, "YYYY-MM-DD"),"Review")</f>
        <v>2022-06-13</v>
      </c>
      <c r="I229" s="4">
        <f>IF(Raw_Data!H229="", "", IFERROR(VALUE(Raw_Data!H229), ""))</f>
        <v>112264.06</v>
      </c>
      <c r="J229" s="2" t="str">
        <f>IF(Raw_Data!I229="", "", IF(ISNUMBER(FIND("@", Raw_Data!I229)), Raw_Data!I229, "Review"))</f>
        <v>alice.miller@example.com</v>
      </c>
      <c r="K229" s="5" t="str">
        <f>IFERROR(TEXT(ABS(Raw_Data!J229), "0"), "Review")</f>
        <v>9277423329</v>
      </c>
      <c r="L229" s="2" t="str">
        <f>IFERROR(TRIM(Raw_Data!K229), "Review")</f>
        <v>Good</v>
      </c>
      <c r="M229" s="2" t="b">
        <f>IF(Raw_Data!L229="", "",
    IF(ISLOGICAL(Raw_Data!L229), Raw_Data!L229,
        IF(OR(UPPER(Raw_Data!L229)="TRUE", UPPER(Raw_Data!L229)="YES", UPPER(Raw_Data!L229)="1"), TRUE,
            IF(OR(UPPER(Raw_Data!L229)="FALSE", UPPER(Raw_Data!L229)="NO", UPPER(Raw_Data!L229)="0"), FALSE, "Review")
        )
    )
)</f>
        <v>0</v>
      </c>
    </row>
    <row r="230" spans="1:13" x14ac:dyDescent="0.4">
      <c r="A230" s="2" t="str">
        <f>IFERROR(TRIM(Raw_Data!A230), "Review")</f>
        <v>EMP1228</v>
      </c>
      <c r="B230" s="2" t="str">
        <f>IFERROR(TRIM(Raw_Data!B230), "Review")</f>
        <v>Grace</v>
      </c>
      <c r="C230" s="2" t="str">
        <f>IFERROR(TRIM(Raw_Data!C230), "Review")</f>
        <v>Smith</v>
      </c>
      <c r="D230" s="2">
        <f>IF(Raw_Data!D230="", "", IFERROR(VALUE(Raw_Data!D230), ""))</f>
        <v>35</v>
      </c>
      <c r="E230" s="2" t="str">
        <f>IFERROR(LEFT(Raw_Data!E230,SEARCH("-",Raw_Data!E230)-1),"Review")</f>
        <v>Admin</v>
      </c>
      <c r="F230" s="2" t="str">
        <f>IFERROR(_xlfn.TEXTAFTER(Raw_Data!E230,"-"),"Review")</f>
        <v>Florida</v>
      </c>
      <c r="G230" s="2" t="str">
        <f>IFERROR(TRIM(Raw_Data!F230), "Review")</f>
        <v>Pending</v>
      </c>
      <c r="H230" s="3" t="str">
        <f>IFERROR(TEXT(Raw_Data!G230, "YYYY-MM-DD"),"Review")</f>
        <v>2022-10-15</v>
      </c>
      <c r="I230" s="4">
        <f>IF(Raw_Data!H230="", "", IFERROR(VALUE(Raw_Data!H230), ""))</f>
        <v>75714.28</v>
      </c>
      <c r="J230" s="2" t="str">
        <f>IF(Raw_Data!I230="", "", IF(ISNUMBER(FIND("@", Raw_Data!I230)), Raw_Data!I230, "Review"))</f>
        <v>grace.smith@example.com</v>
      </c>
      <c r="K230" s="5" t="str">
        <f>IFERROR(TEXT(ABS(Raw_Data!J230), "0"), "Review")</f>
        <v>5912662014</v>
      </c>
      <c r="L230" s="2" t="str">
        <f>IFERROR(TRIM(Raw_Data!K230), "Review")</f>
        <v>Good</v>
      </c>
      <c r="M230" s="2" t="b">
        <f>IF(Raw_Data!L230="", "",
    IF(ISLOGICAL(Raw_Data!L230), Raw_Data!L230,
        IF(OR(UPPER(Raw_Data!L230)="TRUE", UPPER(Raw_Data!L230)="YES", UPPER(Raw_Data!L230)="1"), TRUE,
            IF(OR(UPPER(Raw_Data!L230)="FALSE", UPPER(Raw_Data!L230)="NO", UPPER(Raw_Data!L230)="0"), FALSE, "Review")
        )
    )
)</f>
        <v>1</v>
      </c>
    </row>
    <row r="231" spans="1:13" x14ac:dyDescent="0.4">
      <c r="A231" s="2" t="str">
        <f>IFERROR(TRIM(Raw_Data!A231), "Review")</f>
        <v>EMP1229</v>
      </c>
      <c r="B231" s="2" t="str">
        <f>IFERROR(TRIM(Raw_Data!B231), "Review")</f>
        <v>Eva</v>
      </c>
      <c r="C231" s="2" t="str">
        <f>IFERROR(TRIM(Raw_Data!C231), "Review")</f>
        <v>Jones</v>
      </c>
      <c r="D231" s="2">
        <f>IF(Raw_Data!D231="", "", IFERROR(VALUE(Raw_Data!D231), ""))</f>
        <v>25</v>
      </c>
      <c r="E231" s="2" t="str">
        <f>IFERROR(LEFT(Raw_Data!E231,SEARCH("-",Raw_Data!E231)-1),"Review")</f>
        <v>DevOps</v>
      </c>
      <c r="F231" s="2" t="str">
        <f>IFERROR(_xlfn.TEXTAFTER(Raw_Data!E231,"-"),"Review")</f>
        <v>Florida</v>
      </c>
      <c r="G231" s="2" t="str">
        <f>IFERROR(TRIM(Raw_Data!F231), "Review")</f>
        <v>Active</v>
      </c>
      <c r="H231" s="3" t="str">
        <f>IFERROR(TEXT(Raw_Data!G231, "YYYY-MM-DD"),"Review")</f>
        <v>2022-05-31</v>
      </c>
      <c r="I231" s="4">
        <f>IF(Raw_Data!H231="", "", IFERROR(VALUE(Raw_Data!H231), ""))</f>
        <v>92171.73</v>
      </c>
      <c r="J231" s="2" t="str">
        <f>IF(Raw_Data!I231="", "", IF(ISNUMBER(FIND("@", Raw_Data!I231)), Raw_Data!I231, "Review"))</f>
        <v>eva.jones@example.com</v>
      </c>
      <c r="K231" s="5" t="str">
        <f>IFERROR(TEXT(ABS(Raw_Data!J231), "0"), "Review")</f>
        <v>7201859625</v>
      </c>
      <c r="L231" s="2" t="str">
        <f>IFERROR(TRIM(Raw_Data!K231), "Review")</f>
        <v>Poor</v>
      </c>
      <c r="M231" s="2" t="b">
        <f>IF(Raw_Data!L231="", "",
    IF(ISLOGICAL(Raw_Data!L231), Raw_Data!L231,
        IF(OR(UPPER(Raw_Data!L231)="TRUE", UPPER(Raw_Data!L231)="YES", UPPER(Raw_Data!L231)="1"), TRUE,
            IF(OR(UPPER(Raw_Data!L231)="FALSE", UPPER(Raw_Data!L231)="NO", UPPER(Raw_Data!L231)="0"), FALSE, "Review")
        )
    )
)</f>
        <v>0</v>
      </c>
    </row>
    <row r="232" spans="1:13" x14ac:dyDescent="0.4">
      <c r="A232" s="2" t="str">
        <f>IFERROR(TRIM(Raw_Data!A232), "Review")</f>
        <v>EMP1230</v>
      </c>
      <c r="B232" s="2" t="str">
        <f>IFERROR(TRIM(Raw_Data!B232), "Review")</f>
        <v>Eva</v>
      </c>
      <c r="C232" s="2" t="str">
        <f>IFERROR(TRIM(Raw_Data!C232), "Review")</f>
        <v>Miller</v>
      </c>
      <c r="D232" s="2">
        <f>IF(Raw_Data!D232="", "", IFERROR(VALUE(Raw_Data!D232), ""))</f>
        <v>35</v>
      </c>
      <c r="E232" s="2" t="str">
        <f>IFERROR(LEFT(Raw_Data!E232,SEARCH("-",Raw_Data!E232)-1),"Review")</f>
        <v>Cloud Tech</v>
      </c>
      <c r="F232" s="2" t="str">
        <f>IFERROR(_xlfn.TEXTAFTER(Raw_Data!E232,"-"),"Review")</f>
        <v>Texas</v>
      </c>
      <c r="G232" s="2" t="str">
        <f>IFERROR(TRIM(Raw_Data!F232), "Review")</f>
        <v>Inactive</v>
      </c>
      <c r="H232" s="3" t="str">
        <f>IFERROR(TEXT(Raw_Data!G232, "YYYY-MM-DD"),"Review")</f>
        <v>2023-09-15</v>
      </c>
      <c r="I232" s="4">
        <f>IF(Raw_Data!H232="", "", IFERROR(VALUE(Raw_Data!H232), ""))</f>
        <v>70694.8</v>
      </c>
      <c r="J232" s="2" t="str">
        <f>IF(Raw_Data!I232="", "", IF(ISNUMBER(FIND("@", Raw_Data!I232)), Raw_Data!I232, "Review"))</f>
        <v>eva.miller@example.com</v>
      </c>
      <c r="K232" s="5" t="str">
        <f>IFERROR(TEXT(ABS(Raw_Data!J232), "0"), "Review")</f>
        <v>3013674925</v>
      </c>
      <c r="L232" s="2" t="str">
        <f>IFERROR(TRIM(Raw_Data!K232), "Review")</f>
        <v>Average</v>
      </c>
      <c r="M232" s="2" t="b">
        <f>IF(Raw_Data!L232="", "",
    IF(ISLOGICAL(Raw_Data!L232), Raw_Data!L232,
        IF(OR(UPPER(Raw_Data!L232)="TRUE", UPPER(Raw_Data!L232)="YES", UPPER(Raw_Data!L232)="1"), TRUE,
            IF(OR(UPPER(Raw_Data!L232)="FALSE", UPPER(Raw_Data!L232)="NO", UPPER(Raw_Data!L232)="0"), FALSE, "Review")
        )
    )
)</f>
        <v>1</v>
      </c>
    </row>
    <row r="233" spans="1:13" x14ac:dyDescent="0.4">
      <c r="A233" s="2" t="str">
        <f>IFERROR(TRIM(Raw_Data!A233), "Review")</f>
        <v>EMP1231</v>
      </c>
      <c r="B233" s="2" t="str">
        <f>IFERROR(TRIM(Raw_Data!B233), "Review")</f>
        <v>Grace</v>
      </c>
      <c r="C233" s="2" t="str">
        <f>IFERROR(TRIM(Raw_Data!C233), "Review")</f>
        <v>Brown</v>
      </c>
      <c r="D233" s="2">
        <f>IF(Raw_Data!D233="", "", IFERROR(VALUE(Raw_Data!D233), ""))</f>
        <v>30</v>
      </c>
      <c r="E233" s="2" t="str">
        <f>IFERROR(LEFT(Raw_Data!E233,SEARCH("-",Raw_Data!E233)-1),"Review")</f>
        <v>DevOps</v>
      </c>
      <c r="F233" s="2" t="str">
        <f>IFERROR(_xlfn.TEXTAFTER(Raw_Data!E233,"-"),"Review")</f>
        <v>Florida</v>
      </c>
      <c r="G233" s="2" t="str">
        <f>IFERROR(TRIM(Raw_Data!F233), "Review")</f>
        <v>Inactive</v>
      </c>
      <c r="H233" s="3" t="str">
        <f>IFERROR(TEXT(Raw_Data!G233, "YYYY-MM-DD"),"Review")</f>
        <v>2022-07-04</v>
      </c>
      <c r="I233" s="4">
        <f>IF(Raw_Data!H233="", "", IFERROR(VALUE(Raw_Data!H233), ""))</f>
        <v>52964.86</v>
      </c>
      <c r="J233" s="2" t="str">
        <f>IF(Raw_Data!I233="", "", IF(ISNUMBER(FIND("@", Raw_Data!I233)), Raw_Data!I233, "Review"))</f>
        <v>grace.brown@example.com</v>
      </c>
      <c r="K233" s="5" t="str">
        <f>IFERROR(TEXT(ABS(Raw_Data!J233), "0"), "Review")</f>
        <v>1764750110</v>
      </c>
      <c r="L233" s="2" t="str">
        <f>IFERROR(TRIM(Raw_Data!K233), "Review")</f>
        <v>Good</v>
      </c>
      <c r="M233" s="2" t="b">
        <f>IF(Raw_Data!L233="", "",
    IF(ISLOGICAL(Raw_Data!L233), Raw_Data!L233,
        IF(OR(UPPER(Raw_Data!L233)="TRUE", UPPER(Raw_Data!L233)="YES", UPPER(Raw_Data!L233)="1"), TRUE,
            IF(OR(UPPER(Raw_Data!L233)="FALSE", UPPER(Raw_Data!L233)="NO", UPPER(Raw_Data!L233)="0"), FALSE, "Review")
        )
    )
)</f>
        <v>1</v>
      </c>
    </row>
    <row r="234" spans="1:13" x14ac:dyDescent="0.4">
      <c r="A234" s="2" t="str">
        <f>IFERROR(TRIM(Raw_Data!A234), "Review")</f>
        <v>EMP1232</v>
      </c>
      <c r="B234" s="2" t="str">
        <f>IFERROR(TRIM(Raw_Data!B234), "Review")</f>
        <v>Frank</v>
      </c>
      <c r="C234" s="2" t="str">
        <f>IFERROR(TRIM(Raw_Data!C234), "Review")</f>
        <v>Brown</v>
      </c>
      <c r="D234" s="2" t="str">
        <f>IF(Raw_Data!D234="", "", IFERROR(VALUE(Raw_Data!D234), ""))</f>
        <v/>
      </c>
      <c r="E234" s="2" t="str">
        <f>IFERROR(LEFT(Raw_Data!E234,SEARCH("-",Raw_Data!E234)-1),"Review")</f>
        <v>Finance</v>
      </c>
      <c r="F234" s="2" t="str">
        <f>IFERROR(_xlfn.TEXTAFTER(Raw_Data!E234,"-"),"Review")</f>
        <v>California</v>
      </c>
      <c r="G234" s="2" t="str">
        <f>IFERROR(TRIM(Raw_Data!F234), "Review")</f>
        <v>Pending</v>
      </c>
      <c r="H234" s="3" t="str">
        <f>IFERROR(TEXT(Raw_Data!G234, "YYYY-MM-DD"),"Review")</f>
        <v>2024-06-08</v>
      </c>
      <c r="I234" s="4">
        <f>IF(Raw_Data!H234="", "", IFERROR(VALUE(Raw_Data!H234), ""))</f>
        <v>116353.31</v>
      </c>
      <c r="J234" s="2" t="str">
        <f>IF(Raw_Data!I234="", "", IF(ISNUMBER(FIND("@", Raw_Data!I234)), Raw_Data!I234, "Review"))</f>
        <v>frank.brown@example.com</v>
      </c>
      <c r="K234" s="5" t="str">
        <f>IFERROR(TEXT(ABS(Raw_Data!J234), "0"), "Review")</f>
        <v>1783099973</v>
      </c>
      <c r="L234" s="2" t="str">
        <f>IFERROR(TRIM(Raw_Data!K234), "Review")</f>
        <v>Poor</v>
      </c>
      <c r="M234" s="2" t="b">
        <f>IF(Raw_Data!L234="", "",
    IF(ISLOGICAL(Raw_Data!L234), Raw_Data!L234,
        IF(OR(UPPER(Raw_Data!L234)="TRUE", UPPER(Raw_Data!L234)="YES", UPPER(Raw_Data!L234)="1"), TRUE,
            IF(OR(UPPER(Raw_Data!L234)="FALSE", UPPER(Raw_Data!L234)="NO", UPPER(Raw_Data!L234)="0"), FALSE, "Review")
        )
    )
)</f>
        <v>1</v>
      </c>
    </row>
    <row r="235" spans="1:13" x14ac:dyDescent="0.4">
      <c r="A235" s="2" t="str">
        <f>IFERROR(TRIM(Raw_Data!A235), "Review")</f>
        <v>EMP1233</v>
      </c>
      <c r="B235" s="2" t="str">
        <f>IFERROR(TRIM(Raw_Data!B235), "Review")</f>
        <v>Grace</v>
      </c>
      <c r="C235" s="2" t="str">
        <f>IFERROR(TRIM(Raw_Data!C235), "Review")</f>
        <v>Brown</v>
      </c>
      <c r="D235" s="2">
        <f>IF(Raw_Data!D235="", "", IFERROR(VALUE(Raw_Data!D235), ""))</f>
        <v>35</v>
      </c>
      <c r="E235" s="2" t="str">
        <f>IFERROR(LEFT(Raw_Data!E235,SEARCH("-",Raw_Data!E235)-1),"Review")</f>
        <v>Sales</v>
      </c>
      <c r="F235" s="2" t="str">
        <f>IFERROR(_xlfn.TEXTAFTER(Raw_Data!E235,"-"),"Review")</f>
        <v>Nevada</v>
      </c>
      <c r="G235" s="2" t="str">
        <f>IFERROR(TRIM(Raw_Data!F235), "Review")</f>
        <v>Pending</v>
      </c>
      <c r="H235" s="3" t="str">
        <f>IFERROR(TEXT(Raw_Data!G235, "YYYY-MM-DD"),"Review")</f>
        <v>2020-11-23</v>
      </c>
      <c r="I235" s="4">
        <f>IF(Raw_Data!H235="", "", IFERROR(VALUE(Raw_Data!H235), ""))</f>
        <v>116695.26</v>
      </c>
      <c r="J235" s="2" t="str">
        <f>IF(Raw_Data!I235="", "", IF(ISNUMBER(FIND("@", Raw_Data!I235)), Raw_Data!I235, "Review"))</f>
        <v>grace.brown@example.com</v>
      </c>
      <c r="K235" s="5" t="str">
        <f>IFERROR(TEXT(ABS(Raw_Data!J235), "0"), "Review")</f>
        <v>1926764920</v>
      </c>
      <c r="L235" s="2" t="str">
        <f>IFERROR(TRIM(Raw_Data!K235), "Review")</f>
        <v>Good</v>
      </c>
      <c r="M235" s="2" t="b">
        <f>IF(Raw_Data!L235="", "",
    IF(ISLOGICAL(Raw_Data!L235), Raw_Data!L235,
        IF(OR(UPPER(Raw_Data!L235)="TRUE", UPPER(Raw_Data!L235)="YES", UPPER(Raw_Data!L235)="1"), TRUE,
            IF(OR(UPPER(Raw_Data!L235)="FALSE", UPPER(Raw_Data!L235)="NO", UPPER(Raw_Data!L235)="0"), FALSE, "Review")
        )
    )
)</f>
        <v>0</v>
      </c>
    </row>
    <row r="236" spans="1:13" x14ac:dyDescent="0.4">
      <c r="A236" s="2" t="str">
        <f>IFERROR(TRIM(Raw_Data!A236), "Review")</f>
        <v>EMP1234</v>
      </c>
      <c r="B236" s="2" t="str">
        <f>IFERROR(TRIM(Raw_Data!B236), "Review")</f>
        <v>Heidi</v>
      </c>
      <c r="C236" s="2" t="str">
        <f>IFERROR(TRIM(Raw_Data!C236), "Review")</f>
        <v>Brown</v>
      </c>
      <c r="D236" s="2">
        <f>IF(Raw_Data!D236="", "", IFERROR(VALUE(Raw_Data!D236), ""))</f>
        <v>25</v>
      </c>
      <c r="E236" s="2" t="str">
        <f>IFERROR(LEFT(Raw_Data!E236,SEARCH("-",Raw_Data!E236)-1),"Review")</f>
        <v>Admin</v>
      </c>
      <c r="F236" s="2" t="str">
        <f>IFERROR(_xlfn.TEXTAFTER(Raw_Data!E236,"-"),"Review")</f>
        <v>Texas</v>
      </c>
      <c r="G236" s="2" t="str">
        <f>IFERROR(TRIM(Raw_Data!F236), "Review")</f>
        <v>Active</v>
      </c>
      <c r="H236" s="3" t="str">
        <f>IFERROR(TEXT(Raw_Data!G236, "YYYY-MM-DD"),"Review")</f>
        <v>2024-05-13</v>
      </c>
      <c r="I236" s="4">
        <f>IF(Raw_Data!H236="", "", IFERROR(VALUE(Raw_Data!H236), ""))</f>
        <v>95161.4</v>
      </c>
      <c r="J236" s="2" t="str">
        <f>IF(Raw_Data!I236="", "", IF(ISNUMBER(FIND("@", Raw_Data!I236)), Raw_Data!I236, "Review"))</f>
        <v>heidi.brown@example.com</v>
      </c>
      <c r="K236" s="5" t="str">
        <f>IFERROR(TEXT(ABS(Raw_Data!J236), "0"), "Review")</f>
        <v>5182606887</v>
      </c>
      <c r="L236" s="2" t="str">
        <f>IFERROR(TRIM(Raw_Data!K236), "Review")</f>
        <v>Excellent</v>
      </c>
      <c r="M236" s="2" t="b">
        <f>IF(Raw_Data!L236="", "",
    IF(ISLOGICAL(Raw_Data!L236), Raw_Data!L236,
        IF(OR(UPPER(Raw_Data!L236)="TRUE", UPPER(Raw_Data!L236)="YES", UPPER(Raw_Data!L236)="1"), TRUE,
            IF(OR(UPPER(Raw_Data!L236)="FALSE", UPPER(Raw_Data!L236)="NO", UPPER(Raw_Data!L236)="0"), FALSE, "Review")
        )
    )
)</f>
        <v>0</v>
      </c>
    </row>
    <row r="237" spans="1:13" x14ac:dyDescent="0.4">
      <c r="A237" s="2" t="str">
        <f>IFERROR(TRIM(Raw_Data!A237), "Review")</f>
        <v>EMP1235</v>
      </c>
      <c r="B237" s="2" t="str">
        <f>IFERROR(TRIM(Raw_Data!B237), "Review")</f>
        <v>Alice</v>
      </c>
      <c r="C237" s="2" t="str">
        <f>IFERROR(TRIM(Raw_Data!C237), "Review")</f>
        <v>Brown</v>
      </c>
      <c r="D237" s="2" t="str">
        <f>IF(Raw_Data!D237="", "", IFERROR(VALUE(Raw_Data!D237), ""))</f>
        <v/>
      </c>
      <c r="E237" s="2" t="str">
        <f>IFERROR(LEFT(Raw_Data!E237,SEARCH("-",Raw_Data!E237)-1),"Review")</f>
        <v>Admin</v>
      </c>
      <c r="F237" s="2" t="str">
        <f>IFERROR(_xlfn.TEXTAFTER(Raw_Data!E237,"-"),"Review")</f>
        <v>Nevada</v>
      </c>
      <c r="G237" s="2" t="str">
        <f>IFERROR(TRIM(Raw_Data!F237), "Review")</f>
        <v>Inactive</v>
      </c>
      <c r="H237" s="3" t="str">
        <f>IFERROR(TEXT(Raw_Data!G237, "YYYY-MM-DD"),"Review")</f>
        <v>2022-01-29</v>
      </c>
      <c r="I237" s="4">
        <f>IF(Raw_Data!H237="", "", IFERROR(VALUE(Raw_Data!H237), ""))</f>
        <v>76040.94</v>
      </c>
      <c r="J237" s="2" t="str">
        <f>IF(Raw_Data!I237="", "", IF(ISNUMBER(FIND("@", Raw_Data!I237)), Raw_Data!I237, "Review"))</f>
        <v>alice.brown@example.com</v>
      </c>
      <c r="K237" s="5" t="str">
        <f>IFERROR(TEXT(ABS(Raw_Data!J237), "0"), "Review")</f>
        <v>7189813128</v>
      </c>
      <c r="L237" s="2" t="str">
        <f>IFERROR(TRIM(Raw_Data!K237), "Review")</f>
        <v>Good</v>
      </c>
      <c r="M237" s="2" t="b">
        <f>IF(Raw_Data!L237="", "",
    IF(ISLOGICAL(Raw_Data!L237), Raw_Data!L237,
        IF(OR(UPPER(Raw_Data!L237)="TRUE", UPPER(Raw_Data!L237)="YES", UPPER(Raw_Data!L237)="1"), TRUE,
            IF(OR(UPPER(Raw_Data!L237)="FALSE", UPPER(Raw_Data!L237)="NO", UPPER(Raw_Data!L237)="0"), FALSE, "Review")
        )
    )
)</f>
        <v>1</v>
      </c>
    </row>
    <row r="238" spans="1:13" x14ac:dyDescent="0.4">
      <c r="A238" s="2" t="str">
        <f>IFERROR(TRIM(Raw_Data!A238), "Review")</f>
        <v>EMP1236</v>
      </c>
      <c r="B238" s="2" t="str">
        <f>IFERROR(TRIM(Raw_Data!B238), "Review")</f>
        <v>Charlie</v>
      </c>
      <c r="C238" s="2" t="str">
        <f>IFERROR(TRIM(Raw_Data!C238), "Review")</f>
        <v>Miller</v>
      </c>
      <c r="D238" s="2" t="str">
        <f>IF(Raw_Data!D238="", "", IFERROR(VALUE(Raw_Data!D238), ""))</f>
        <v/>
      </c>
      <c r="E238" s="2" t="str">
        <f>IFERROR(LEFT(Raw_Data!E238,SEARCH("-",Raw_Data!E238)-1),"Review")</f>
        <v>HR</v>
      </c>
      <c r="F238" s="2" t="str">
        <f>IFERROR(_xlfn.TEXTAFTER(Raw_Data!E238,"-"),"Review")</f>
        <v>Florida</v>
      </c>
      <c r="G238" s="2" t="str">
        <f>IFERROR(TRIM(Raw_Data!F238), "Review")</f>
        <v>Inactive</v>
      </c>
      <c r="H238" s="3" t="str">
        <f>IFERROR(TEXT(Raw_Data!G238, "YYYY-MM-DD"),"Review")</f>
        <v>2023-08-23</v>
      </c>
      <c r="I238" s="4">
        <f>IF(Raw_Data!H238="", "", IFERROR(VALUE(Raw_Data!H238), ""))</f>
        <v>69508.28</v>
      </c>
      <c r="J238" s="2" t="str">
        <f>IF(Raw_Data!I238="", "", IF(ISNUMBER(FIND("@", Raw_Data!I238)), Raw_Data!I238, "Review"))</f>
        <v>charlie.miller@example.com</v>
      </c>
      <c r="K238" s="5" t="str">
        <f>IFERROR(TEXT(ABS(Raw_Data!J238), "0"), "Review")</f>
        <v>2087510292</v>
      </c>
      <c r="L238" s="2" t="str">
        <f>IFERROR(TRIM(Raw_Data!K238), "Review")</f>
        <v>Good</v>
      </c>
      <c r="M238" s="2" t="b">
        <f>IF(Raw_Data!L238="", "",
    IF(ISLOGICAL(Raw_Data!L238), Raw_Data!L238,
        IF(OR(UPPER(Raw_Data!L238)="TRUE", UPPER(Raw_Data!L238)="YES", UPPER(Raw_Data!L238)="1"), TRUE,
            IF(OR(UPPER(Raw_Data!L238)="FALSE", UPPER(Raw_Data!L238)="NO", UPPER(Raw_Data!L238)="0"), FALSE, "Review")
        )
    )
)</f>
        <v>0</v>
      </c>
    </row>
    <row r="239" spans="1:13" x14ac:dyDescent="0.4">
      <c r="A239" s="2" t="str">
        <f>IFERROR(TRIM(Raw_Data!A239), "Review")</f>
        <v>EMP1237</v>
      </c>
      <c r="B239" s="2" t="str">
        <f>IFERROR(TRIM(Raw_Data!B239), "Review")</f>
        <v>Alice</v>
      </c>
      <c r="C239" s="2" t="str">
        <f>IFERROR(TRIM(Raw_Data!C239), "Review")</f>
        <v>Miller</v>
      </c>
      <c r="D239" s="2">
        <f>IF(Raw_Data!D239="", "", IFERROR(VALUE(Raw_Data!D239), ""))</f>
        <v>30</v>
      </c>
      <c r="E239" s="2" t="str">
        <f>IFERROR(LEFT(Raw_Data!E239,SEARCH("-",Raw_Data!E239)-1),"Review")</f>
        <v>Finance</v>
      </c>
      <c r="F239" s="2" t="str">
        <f>IFERROR(_xlfn.TEXTAFTER(Raw_Data!E239,"-"),"Review")</f>
        <v>Illinois</v>
      </c>
      <c r="G239" s="2" t="str">
        <f>IFERROR(TRIM(Raw_Data!F239), "Review")</f>
        <v>Inactive</v>
      </c>
      <c r="H239" s="3" t="str">
        <f>IFERROR(TEXT(Raw_Data!G239, "YYYY-MM-DD"),"Review")</f>
        <v>2023-02-24</v>
      </c>
      <c r="I239" s="4">
        <f>IF(Raw_Data!H239="", "", IFERROR(VALUE(Raw_Data!H239), ""))</f>
        <v>58243.27</v>
      </c>
      <c r="J239" s="2" t="str">
        <f>IF(Raw_Data!I239="", "", IF(ISNUMBER(FIND("@", Raw_Data!I239)), Raw_Data!I239, "Review"))</f>
        <v>alice.miller@example.com</v>
      </c>
      <c r="K239" s="5" t="str">
        <f>IFERROR(TEXT(ABS(Raw_Data!J239), "0"), "Review")</f>
        <v>2184011844</v>
      </c>
      <c r="L239" s="2" t="str">
        <f>IFERROR(TRIM(Raw_Data!K239), "Review")</f>
        <v>Average</v>
      </c>
      <c r="M239" s="2" t="b">
        <f>IF(Raw_Data!L239="", "",
    IF(ISLOGICAL(Raw_Data!L239), Raw_Data!L239,
        IF(OR(UPPER(Raw_Data!L239)="TRUE", UPPER(Raw_Data!L239)="YES", UPPER(Raw_Data!L239)="1"), TRUE,
            IF(OR(UPPER(Raw_Data!L239)="FALSE", UPPER(Raw_Data!L239)="NO", UPPER(Raw_Data!L239)="0"), FALSE, "Review")
        )
    )
)</f>
        <v>0</v>
      </c>
    </row>
    <row r="240" spans="1:13" x14ac:dyDescent="0.4">
      <c r="A240" s="2" t="str">
        <f>IFERROR(TRIM(Raw_Data!A240), "Review")</f>
        <v>EMP1238</v>
      </c>
      <c r="B240" s="2" t="str">
        <f>IFERROR(TRIM(Raw_Data!B240), "Review")</f>
        <v>Heidi</v>
      </c>
      <c r="C240" s="2" t="str">
        <f>IFERROR(TRIM(Raw_Data!C240), "Review")</f>
        <v>Williams</v>
      </c>
      <c r="D240" s="2">
        <f>IF(Raw_Data!D240="", "", IFERROR(VALUE(Raw_Data!D240), ""))</f>
        <v>30</v>
      </c>
      <c r="E240" s="2" t="str">
        <f>IFERROR(LEFT(Raw_Data!E240,SEARCH("-",Raw_Data!E240)-1),"Review")</f>
        <v>Sales</v>
      </c>
      <c r="F240" s="2" t="str">
        <f>IFERROR(_xlfn.TEXTAFTER(Raw_Data!E240,"-"),"Review")</f>
        <v>California</v>
      </c>
      <c r="G240" s="2" t="str">
        <f>IFERROR(TRIM(Raw_Data!F240), "Review")</f>
        <v>Pending</v>
      </c>
      <c r="H240" s="3" t="str">
        <f>IFERROR(TEXT(Raw_Data!G240, "YYYY-MM-DD"),"Review")</f>
        <v>2022-10-02</v>
      </c>
      <c r="I240" s="4">
        <f>IF(Raw_Data!H240="", "", IFERROR(VALUE(Raw_Data!H240), ""))</f>
        <v>64012.480000000003</v>
      </c>
      <c r="J240" s="2" t="str">
        <f>IF(Raw_Data!I240="", "", IF(ISNUMBER(FIND("@", Raw_Data!I240)), Raw_Data!I240, "Review"))</f>
        <v>heidi.williams@example.com</v>
      </c>
      <c r="K240" s="5" t="str">
        <f>IFERROR(TEXT(ABS(Raw_Data!J240), "0"), "Review")</f>
        <v>8260340847</v>
      </c>
      <c r="L240" s="2" t="str">
        <f>IFERROR(TRIM(Raw_Data!K240), "Review")</f>
        <v>Poor</v>
      </c>
      <c r="M240" s="2" t="b">
        <f>IF(Raw_Data!L240="", "",
    IF(ISLOGICAL(Raw_Data!L240), Raw_Data!L240,
        IF(OR(UPPER(Raw_Data!L240)="TRUE", UPPER(Raw_Data!L240)="YES", UPPER(Raw_Data!L240)="1"), TRUE,
            IF(OR(UPPER(Raw_Data!L240)="FALSE", UPPER(Raw_Data!L240)="NO", UPPER(Raw_Data!L240)="0"), FALSE, "Review")
        )
    )
)</f>
        <v>1</v>
      </c>
    </row>
    <row r="241" spans="1:13" x14ac:dyDescent="0.4">
      <c r="A241" s="2" t="str">
        <f>IFERROR(TRIM(Raw_Data!A241), "Review")</f>
        <v>EMP1239</v>
      </c>
      <c r="B241" s="2" t="str">
        <f>IFERROR(TRIM(Raw_Data!B241), "Review")</f>
        <v>Bob</v>
      </c>
      <c r="C241" s="2" t="str">
        <f>IFERROR(TRIM(Raw_Data!C241), "Review")</f>
        <v>Garcia</v>
      </c>
      <c r="D241" s="2">
        <f>IF(Raw_Data!D241="", "", IFERROR(VALUE(Raw_Data!D241), ""))</f>
        <v>40</v>
      </c>
      <c r="E241" s="2" t="str">
        <f>IFERROR(LEFT(Raw_Data!E241,SEARCH("-",Raw_Data!E241)-1),"Review")</f>
        <v>Admin</v>
      </c>
      <c r="F241" s="2" t="str">
        <f>IFERROR(_xlfn.TEXTAFTER(Raw_Data!E241,"-"),"Review")</f>
        <v>Nevada</v>
      </c>
      <c r="G241" s="2" t="str">
        <f>IFERROR(TRIM(Raw_Data!F241), "Review")</f>
        <v>Inactive</v>
      </c>
      <c r="H241" s="3" t="str">
        <f>IFERROR(TEXT(Raw_Data!G241, "YYYY-MM-DD"),"Review")</f>
        <v>2020-06-28</v>
      </c>
      <c r="I241" s="4">
        <f>IF(Raw_Data!H241="", "", IFERROR(VALUE(Raw_Data!H241), ""))</f>
        <v>106735.93</v>
      </c>
      <c r="J241" s="2" t="str">
        <f>IF(Raw_Data!I241="", "", IF(ISNUMBER(FIND("@", Raw_Data!I241)), Raw_Data!I241, "Review"))</f>
        <v>bob.garcia@example.com</v>
      </c>
      <c r="K241" s="5" t="str">
        <f>IFERROR(TEXT(ABS(Raw_Data!J241), "0"), "Review")</f>
        <v>7297585987</v>
      </c>
      <c r="L241" s="2" t="str">
        <f>IFERROR(TRIM(Raw_Data!K241), "Review")</f>
        <v>Average</v>
      </c>
      <c r="M241" s="2" t="b">
        <f>IF(Raw_Data!L241="", "",
    IF(ISLOGICAL(Raw_Data!L241), Raw_Data!L241,
        IF(OR(UPPER(Raw_Data!L241)="TRUE", UPPER(Raw_Data!L241)="YES", UPPER(Raw_Data!L241)="1"), TRUE,
            IF(OR(UPPER(Raw_Data!L241)="FALSE", UPPER(Raw_Data!L241)="NO", UPPER(Raw_Data!L241)="0"), FALSE, "Review")
        )
    )
)</f>
        <v>1</v>
      </c>
    </row>
    <row r="242" spans="1:13" x14ac:dyDescent="0.4">
      <c r="A242" s="2" t="str">
        <f>IFERROR(TRIM(Raw_Data!A242), "Review")</f>
        <v>EMP1240</v>
      </c>
      <c r="B242" s="2" t="str">
        <f>IFERROR(TRIM(Raw_Data!B242), "Review")</f>
        <v>Frank</v>
      </c>
      <c r="C242" s="2" t="str">
        <f>IFERROR(TRIM(Raw_Data!C242), "Review")</f>
        <v>Johnson</v>
      </c>
      <c r="D242" s="2">
        <f>IF(Raw_Data!D242="", "", IFERROR(VALUE(Raw_Data!D242), ""))</f>
        <v>35</v>
      </c>
      <c r="E242" s="2" t="str">
        <f>IFERROR(LEFT(Raw_Data!E242,SEARCH("-",Raw_Data!E242)-1),"Review")</f>
        <v>DevOps</v>
      </c>
      <c r="F242" s="2" t="str">
        <f>IFERROR(_xlfn.TEXTAFTER(Raw_Data!E242,"-"),"Review")</f>
        <v>Texas</v>
      </c>
      <c r="G242" s="2" t="str">
        <f>IFERROR(TRIM(Raw_Data!F242), "Review")</f>
        <v>Pending</v>
      </c>
      <c r="H242" s="3" t="str">
        <f>IFERROR(TEXT(Raw_Data!G242, "YYYY-MM-DD"),"Review")</f>
        <v>2023-01-15</v>
      </c>
      <c r="I242" s="4">
        <f>IF(Raw_Data!H242="", "", IFERROR(VALUE(Raw_Data!H242), ""))</f>
        <v>70325.36</v>
      </c>
      <c r="J242" s="2" t="str">
        <f>IF(Raw_Data!I242="", "", IF(ISNUMBER(FIND("@", Raw_Data!I242)), Raw_Data!I242, "Review"))</f>
        <v>frank.johnson@example.com</v>
      </c>
      <c r="K242" s="5" t="str">
        <f>IFERROR(TEXT(ABS(Raw_Data!J242), "0"), "Review")</f>
        <v>3103032431</v>
      </c>
      <c r="L242" s="2" t="str">
        <f>IFERROR(TRIM(Raw_Data!K242), "Review")</f>
        <v>Average</v>
      </c>
      <c r="M242" s="2" t="b">
        <f>IF(Raw_Data!L242="", "",
    IF(ISLOGICAL(Raw_Data!L242), Raw_Data!L242,
        IF(OR(UPPER(Raw_Data!L242)="TRUE", UPPER(Raw_Data!L242)="YES", UPPER(Raw_Data!L242)="1"), TRUE,
            IF(OR(UPPER(Raw_Data!L242)="FALSE", UPPER(Raw_Data!L242)="NO", UPPER(Raw_Data!L242)="0"), FALSE, "Review")
        )
    )
)</f>
        <v>0</v>
      </c>
    </row>
    <row r="243" spans="1:13" x14ac:dyDescent="0.4">
      <c r="A243" s="2" t="str">
        <f>IFERROR(TRIM(Raw_Data!A243), "Review")</f>
        <v>EMP1241</v>
      </c>
      <c r="B243" s="2" t="str">
        <f>IFERROR(TRIM(Raw_Data!B243), "Review")</f>
        <v>Charlie</v>
      </c>
      <c r="C243" s="2" t="str">
        <f>IFERROR(TRIM(Raw_Data!C243), "Review")</f>
        <v>Davis</v>
      </c>
      <c r="D243" s="2">
        <f>IF(Raw_Data!D243="", "", IFERROR(VALUE(Raw_Data!D243), ""))</f>
        <v>30</v>
      </c>
      <c r="E243" s="2" t="str">
        <f>IFERROR(LEFT(Raw_Data!E243,SEARCH("-",Raw_Data!E243)-1),"Review")</f>
        <v>HR</v>
      </c>
      <c r="F243" s="2" t="str">
        <f>IFERROR(_xlfn.TEXTAFTER(Raw_Data!E243,"-"),"Review")</f>
        <v>Illinois</v>
      </c>
      <c r="G243" s="2" t="str">
        <f>IFERROR(TRIM(Raw_Data!F243), "Review")</f>
        <v>Active</v>
      </c>
      <c r="H243" s="3" t="str">
        <f>IFERROR(TEXT(Raw_Data!G243, "YYYY-MM-DD"),"Review")</f>
        <v>2020-09-05</v>
      </c>
      <c r="I243" s="4">
        <f>IF(Raw_Data!H243="", "", IFERROR(VALUE(Raw_Data!H243), ""))</f>
        <v>118959.28</v>
      </c>
      <c r="J243" s="2" t="str">
        <f>IF(Raw_Data!I243="", "", IF(ISNUMBER(FIND("@", Raw_Data!I243)), Raw_Data!I243, "Review"))</f>
        <v>charlie.davis@example.com</v>
      </c>
      <c r="K243" s="5" t="str">
        <f>IFERROR(TEXT(ABS(Raw_Data!J243), "0"), "Review")</f>
        <v>9839542960</v>
      </c>
      <c r="L243" s="2" t="str">
        <f>IFERROR(TRIM(Raw_Data!K243), "Review")</f>
        <v>Average</v>
      </c>
      <c r="M243" s="2" t="b">
        <f>IF(Raw_Data!L243="", "",
    IF(ISLOGICAL(Raw_Data!L243), Raw_Data!L243,
        IF(OR(UPPER(Raw_Data!L243)="TRUE", UPPER(Raw_Data!L243)="YES", UPPER(Raw_Data!L243)="1"), TRUE,
            IF(OR(UPPER(Raw_Data!L243)="FALSE", UPPER(Raw_Data!L243)="NO", UPPER(Raw_Data!L243)="0"), FALSE, "Review")
        )
    )
)</f>
        <v>1</v>
      </c>
    </row>
    <row r="244" spans="1:13" x14ac:dyDescent="0.4">
      <c r="A244" s="2" t="str">
        <f>IFERROR(TRIM(Raw_Data!A244), "Review")</f>
        <v>EMP1242</v>
      </c>
      <c r="B244" s="2" t="str">
        <f>IFERROR(TRIM(Raw_Data!B244), "Review")</f>
        <v>David</v>
      </c>
      <c r="C244" s="2" t="str">
        <f>IFERROR(TRIM(Raw_Data!C244), "Review")</f>
        <v>Brown</v>
      </c>
      <c r="D244" s="2">
        <f>IF(Raw_Data!D244="", "", IFERROR(VALUE(Raw_Data!D244), ""))</f>
        <v>40</v>
      </c>
      <c r="E244" s="2" t="str">
        <f>IFERROR(LEFT(Raw_Data!E244,SEARCH("-",Raw_Data!E244)-1),"Review")</f>
        <v>Cloud Tech</v>
      </c>
      <c r="F244" s="2" t="str">
        <f>IFERROR(_xlfn.TEXTAFTER(Raw_Data!E244,"-"),"Review")</f>
        <v>California</v>
      </c>
      <c r="G244" s="2" t="str">
        <f>IFERROR(TRIM(Raw_Data!F244), "Review")</f>
        <v>Pending</v>
      </c>
      <c r="H244" s="3" t="str">
        <f>IFERROR(TEXT(Raw_Data!G244, "YYYY-MM-DD"),"Review")</f>
        <v>2023-03-18</v>
      </c>
      <c r="I244" s="4">
        <f>IF(Raw_Data!H244="", "", IFERROR(VALUE(Raw_Data!H244), ""))</f>
        <v>75823.78</v>
      </c>
      <c r="J244" s="2" t="str">
        <f>IF(Raw_Data!I244="", "", IF(ISNUMBER(FIND("@", Raw_Data!I244)), Raw_Data!I244, "Review"))</f>
        <v>david.brown@example.com</v>
      </c>
      <c r="K244" s="5" t="str">
        <f>IFERROR(TEXT(ABS(Raw_Data!J244), "0"), "Review")</f>
        <v>8446267145</v>
      </c>
      <c r="L244" s="2" t="str">
        <f>IFERROR(TRIM(Raw_Data!K244), "Review")</f>
        <v>Average</v>
      </c>
      <c r="M244" s="2" t="b">
        <f>IF(Raw_Data!L244="", "",
    IF(ISLOGICAL(Raw_Data!L244), Raw_Data!L244,
        IF(OR(UPPER(Raw_Data!L244)="TRUE", UPPER(Raw_Data!L244)="YES", UPPER(Raw_Data!L244)="1"), TRUE,
            IF(OR(UPPER(Raw_Data!L244)="FALSE", UPPER(Raw_Data!L244)="NO", UPPER(Raw_Data!L244)="0"), FALSE, "Review")
        )
    )
)</f>
        <v>0</v>
      </c>
    </row>
    <row r="245" spans="1:13" x14ac:dyDescent="0.4">
      <c r="A245" s="2" t="str">
        <f>IFERROR(TRIM(Raw_Data!A245), "Review")</f>
        <v>EMP1243</v>
      </c>
      <c r="B245" s="2" t="str">
        <f>IFERROR(TRIM(Raw_Data!B245), "Review")</f>
        <v>Charlie</v>
      </c>
      <c r="C245" s="2" t="str">
        <f>IFERROR(TRIM(Raw_Data!C245), "Review")</f>
        <v>Smith</v>
      </c>
      <c r="D245" s="2" t="str">
        <f>IF(Raw_Data!D245="", "", IFERROR(VALUE(Raw_Data!D245), ""))</f>
        <v/>
      </c>
      <c r="E245" s="2" t="str">
        <f>IFERROR(LEFT(Raw_Data!E245,SEARCH("-",Raw_Data!E245)-1),"Review")</f>
        <v>Cloud Tech</v>
      </c>
      <c r="F245" s="2" t="str">
        <f>IFERROR(_xlfn.TEXTAFTER(Raw_Data!E245,"-"),"Review")</f>
        <v>Texas</v>
      </c>
      <c r="G245" s="2" t="str">
        <f>IFERROR(TRIM(Raw_Data!F245), "Review")</f>
        <v>Inactive</v>
      </c>
      <c r="H245" s="3" t="str">
        <f>IFERROR(TEXT(Raw_Data!G245, "YYYY-MM-DD"),"Review")</f>
        <v>2022-03-26</v>
      </c>
      <c r="I245" s="4">
        <f>IF(Raw_Data!H245="", "", IFERROR(VALUE(Raw_Data!H245), ""))</f>
        <v>119971.65</v>
      </c>
      <c r="J245" s="2" t="str">
        <f>IF(Raw_Data!I245="", "", IF(ISNUMBER(FIND("@", Raw_Data!I245)), Raw_Data!I245, "Review"))</f>
        <v>charlie.smith@example.com</v>
      </c>
      <c r="K245" s="5" t="str">
        <f>IFERROR(TEXT(ABS(Raw_Data!J245), "0"), "Review")</f>
        <v>2831435988</v>
      </c>
      <c r="L245" s="2" t="str">
        <f>IFERROR(TRIM(Raw_Data!K245), "Review")</f>
        <v>Average</v>
      </c>
      <c r="M245" s="2" t="b">
        <f>IF(Raw_Data!L245="", "",
    IF(ISLOGICAL(Raw_Data!L245), Raw_Data!L245,
        IF(OR(UPPER(Raw_Data!L245)="TRUE", UPPER(Raw_Data!L245)="YES", UPPER(Raw_Data!L245)="1"), TRUE,
            IF(OR(UPPER(Raw_Data!L245)="FALSE", UPPER(Raw_Data!L245)="NO", UPPER(Raw_Data!L245)="0"), FALSE, "Review")
        )
    )
)</f>
        <v>0</v>
      </c>
    </row>
    <row r="246" spans="1:13" x14ac:dyDescent="0.4">
      <c r="A246" s="2" t="str">
        <f>IFERROR(TRIM(Raw_Data!A246), "Review")</f>
        <v>EMP1244</v>
      </c>
      <c r="B246" s="2" t="str">
        <f>IFERROR(TRIM(Raw_Data!B246), "Review")</f>
        <v>Grace</v>
      </c>
      <c r="C246" s="2" t="str">
        <f>IFERROR(TRIM(Raw_Data!C246), "Review")</f>
        <v>Davis</v>
      </c>
      <c r="D246" s="2">
        <f>IF(Raw_Data!D246="", "", IFERROR(VALUE(Raw_Data!D246), ""))</f>
        <v>40</v>
      </c>
      <c r="E246" s="2" t="str">
        <f>IFERROR(LEFT(Raw_Data!E246,SEARCH("-",Raw_Data!E246)-1),"Review")</f>
        <v>Sales</v>
      </c>
      <c r="F246" s="2" t="str">
        <f>IFERROR(_xlfn.TEXTAFTER(Raw_Data!E246,"-"),"Review")</f>
        <v>Texas</v>
      </c>
      <c r="G246" s="2" t="str">
        <f>IFERROR(TRIM(Raw_Data!F246), "Review")</f>
        <v>Active</v>
      </c>
      <c r="H246" s="3" t="str">
        <f>IFERROR(TEXT(Raw_Data!G246, "YYYY-MM-DD"),"Review")</f>
        <v>2021-10-11</v>
      </c>
      <c r="I246" s="4">
        <f>IF(Raw_Data!H246="", "", IFERROR(VALUE(Raw_Data!H246), ""))</f>
        <v>94963.7</v>
      </c>
      <c r="J246" s="2" t="str">
        <f>IF(Raw_Data!I246="", "", IF(ISNUMBER(FIND("@", Raw_Data!I246)), Raw_Data!I246, "Review"))</f>
        <v>grace.davis@example.com</v>
      </c>
      <c r="K246" s="5" t="str">
        <f>IFERROR(TEXT(ABS(Raw_Data!J246), "0"), "Review")</f>
        <v>2625660930</v>
      </c>
      <c r="L246" s="2" t="str">
        <f>IFERROR(TRIM(Raw_Data!K246), "Review")</f>
        <v>Good</v>
      </c>
      <c r="M246" s="2" t="b">
        <f>IF(Raw_Data!L246="", "",
    IF(ISLOGICAL(Raw_Data!L246), Raw_Data!L246,
        IF(OR(UPPER(Raw_Data!L246)="TRUE", UPPER(Raw_Data!L246)="YES", UPPER(Raw_Data!L246)="1"), TRUE,
            IF(OR(UPPER(Raw_Data!L246)="FALSE", UPPER(Raw_Data!L246)="NO", UPPER(Raw_Data!L246)="0"), FALSE, "Review")
        )
    )
)</f>
        <v>0</v>
      </c>
    </row>
    <row r="247" spans="1:13" x14ac:dyDescent="0.4">
      <c r="A247" s="2" t="str">
        <f>IFERROR(TRIM(Raw_Data!A247), "Review")</f>
        <v>EMP1245</v>
      </c>
      <c r="B247" s="2" t="str">
        <f>IFERROR(TRIM(Raw_Data!B247), "Review")</f>
        <v>Frank</v>
      </c>
      <c r="C247" s="2" t="str">
        <f>IFERROR(TRIM(Raw_Data!C247), "Review")</f>
        <v>Miller</v>
      </c>
      <c r="D247" s="2">
        <f>IF(Raw_Data!D247="", "", IFERROR(VALUE(Raw_Data!D247), ""))</f>
        <v>30</v>
      </c>
      <c r="E247" s="2" t="str">
        <f>IFERROR(LEFT(Raw_Data!E247,SEARCH("-",Raw_Data!E247)-1),"Review")</f>
        <v>Sales</v>
      </c>
      <c r="F247" s="2" t="str">
        <f>IFERROR(_xlfn.TEXTAFTER(Raw_Data!E247,"-"),"Review")</f>
        <v>Nevada</v>
      </c>
      <c r="G247" s="2" t="str">
        <f>IFERROR(TRIM(Raw_Data!F247), "Review")</f>
        <v>Pending</v>
      </c>
      <c r="H247" s="3" t="str">
        <f>IFERROR(TEXT(Raw_Data!G247, "YYYY-MM-DD"),"Review")</f>
        <v>2021-01-07</v>
      </c>
      <c r="I247" s="4">
        <f>IF(Raw_Data!H247="", "", IFERROR(VALUE(Raw_Data!H247), ""))</f>
        <v>103744.71</v>
      </c>
      <c r="J247" s="2" t="str">
        <f>IF(Raw_Data!I247="", "", IF(ISNUMBER(FIND("@", Raw_Data!I247)), Raw_Data!I247, "Review"))</f>
        <v>frank.miller@example.com</v>
      </c>
      <c r="K247" s="5" t="str">
        <f>IFERROR(TEXT(ABS(Raw_Data!J247), "0"), "Review")</f>
        <v>4181861514</v>
      </c>
      <c r="L247" s="2" t="str">
        <f>IFERROR(TRIM(Raw_Data!K247), "Review")</f>
        <v>Average</v>
      </c>
      <c r="M247" s="2" t="b">
        <f>IF(Raw_Data!L247="", "",
    IF(ISLOGICAL(Raw_Data!L247), Raw_Data!L247,
        IF(OR(UPPER(Raw_Data!L247)="TRUE", UPPER(Raw_Data!L247)="YES", UPPER(Raw_Data!L247)="1"), TRUE,
            IF(OR(UPPER(Raw_Data!L247)="FALSE", UPPER(Raw_Data!L247)="NO", UPPER(Raw_Data!L247)="0"), FALSE, "Review")
        )
    )
)</f>
        <v>0</v>
      </c>
    </row>
    <row r="248" spans="1:13" x14ac:dyDescent="0.4">
      <c r="A248" s="2" t="str">
        <f>IFERROR(TRIM(Raw_Data!A248), "Review")</f>
        <v>EMP1246</v>
      </c>
      <c r="B248" s="2" t="str">
        <f>IFERROR(TRIM(Raw_Data!B248), "Review")</f>
        <v>Alice</v>
      </c>
      <c r="C248" s="2" t="str">
        <f>IFERROR(TRIM(Raw_Data!C248), "Review")</f>
        <v>Smith</v>
      </c>
      <c r="D248" s="2">
        <f>IF(Raw_Data!D248="", "", IFERROR(VALUE(Raw_Data!D248), ""))</f>
        <v>25</v>
      </c>
      <c r="E248" s="2" t="str">
        <f>IFERROR(LEFT(Raw_Data!E248,SEARCH("-",Raw_Data!E248)-1),"Review")</f>
        <v>Sales</v>
      </c>
      <c r="F248" s="2" t="str">
        <f>IFERROR(_xlfn.TEXTAFTER(Raw_Data!E248,"-"),"Review")</f>
        <v>New York</v>
      </c>
      <c r="G248" s="2" t="str">
        <f>IFERROR(TRIM(Raw_Data!F248), "Review")</f>
        <v>Inactive</v>
      </c>
      <c r="H248" s="3" t="str">
        <f>IFERROR(TEXT(Raw_Data!G248, "YYYY-MM-DD"),"Review")</f>
        <v>2020-12-03</v>
      </c>
      <c r="I248" s="4">
        <f>IF(Raw_Data!H248="", "", IFERROR(VALUE(Raw_Data!H248), ""))</f>
        <v>61337.69</v>
      </c>
      <c r="J248" s="2" t="str">
        <f>IF(Raw_Data!I248="", "", IF(ISNUMBER(FIND("@", Raw_Data!I248)), Raw_Data!I248, "Review"))</f>
        <v>alice.smith@example.com</v>
      </c>
      <c r="K248" s="5" t="str">
        <f>IFERROR(TEXT(ABS(Raw_Data!J248), "0"), "Review")</f>
        <v>5423401635</v>
      </c>
      <c r="L248" s="2" t="str">
        <f>IFERROR(TRIM(Raw_Data!K248), "Review")</f>
        <v>Average</v>
      </c>
      <c r="M248" s="2" t="b">
        <f>IF(Raw_Data!L248="", "",
    IF(ISLOGICAL(Raw_Data!L248), Raw_Data!L248,
        IF(OR(UPPER(Raw_Data!L248)="TRUE", UPPER(Raw_Data!L248)="YES", UPPER(Raw_Data!L248)="1"), TRUE,
            IF(OR(UPPER(Raw_Data!L248)="FALSE", UPPER(Raw_Data!L248)="NO", UPPER(Raw_Data!L248)="0"), FALSE, "Review")
        )
    )
)</f>
        <v>1</v>
      </c>
    </row>
    <row r="249" spans="1:13" x14ac:dyDescent="0.4">
      <c r="A249" s="2" t="str">
        <f>IFERROR(TRIM(Raw_Data!A249), "Review")</f>
        <v>EMP1247</v>
      </c>
      <c r="B249" s="2" t="str">
        <f>IFERROR(TRIM(Raw_Data!B249), "Review")</f>
        <v>David</v>
      </c>
      <c r="C249" s="2" t="str">
        <f>IFERROR(TRIM(Raw_Data!C249), "Review")</f>
        <v>Smith</v>
      </c>
      <c r="D249" s="2">
        <f>IF(Raw_Data!D249="", "", IFERROR(VALUE(Raw_Data!D249), ""))</f>
        <v>35</v>
      </c>
      <c r="E249" s="2" t="str">
        <f>IFERROR(LEFT(Raw_Data!E249,SEARCH("-",Raw_Data!E249)-1),"Review")</f>
        <v>Sales</v>
      </c>
      <c r="F249" s="2" t="str">
        <f>IFERROR(_xlfn.TEXTAFTER(Raw_Data!E249,"-"),"Review")</f>
        <v>California</v>
      </c>
      <c r="G249" s="2" t="str">
        <f>IFERROR(TRIM(Raw_Data!F249), "Review")</f>
        <v>Active</v>
      </c>
      <c r="H249" s="3" t="str">
        <f>IFERROR(TEXT(Raw_Data!G249, "YYYY-MM-DD"),"Review")</f>
        <v>2021-05-28</v>
      </c>
      <c r="I249" s="4">
        <f>IF(Raw_Data!H249="", "", IFERROR(VALUE(Raw_Data!H249), ""))</f>
        <v>63741.13</v>
      </c>
      <c r="J249" s="2" t="str">
        <f>IF(Raw_Data!I249="", "", IF(ISNUMBER(FIND("@", Raw_Data!I249)), Raw_Data!I249, "Review"))</f>
        <v>david.smith@example.com</v>
      </c>
      <c r="K249" s="5" t="str">
        <f>IFERROR(TEXT(ABS(Raw_Data!J249), "0"), "Review")</f>
        <v>1128497184</v>
      </c>
      <c r="L249" s="2" t="str">
        <f>IFERROR(TRIM(Raw_Data!K249), "Review")</f>
        <v>Poor</v>
      </c>
      <c r="M249" s="2" t="b">
        <f>IF(Raw_Data!L249="", "",
    IF(ISLOGICAL(Raw_Data!L249), Raw_Data!L249,
        IF(OR(UPPER(Raw_Data!L249)="TRUE", UPPER(Raw_Data!L249)="YES", UPPER(Raw_Data!L249)="1"), TRUE,
            IF(OR(UPPER(Raw_Data!L249)="FALSE", UPPER(Raw_Data!L249)="NO", UPPER(Raw_Data!L249)="0"), FALSE, "Review")
        )
    )
)</f>
        <v>1</v>
      </c>
    </row>
    <row r="250" spans="1:13" x14ac:dyDescent="0.4">
      <c r="A250" s="2" t="str">
        <f>IFERROR(TRIM(Raw_Data!A250), "Review")</f>
        <v>EMP1248</v>
      </c>
      <c r="B250" s="2" t="str">
        <f>IFERROR(TRIM(Raw_Data!B250), "Review")</f>
        <v>Eva</v>
      </c>
      <c r="C250" s="2" t="str">
        <f>IFERROR(TRIM(Raw_Data!C250), "Review")</f>
        <v>Smith</v>
      </c>
      <c r="D250" s="2">
        <f>IF(Raw_Data!D250="", "", IFERROR(VALUE(Raw_Data!D250), ""))</f>
        <v>30</v>
      </c>
      <c r="E250" s="2" t="str">
        <f>IFERROR(LEFT(Raw_Data!E250,SEARCH("-",Raw_Data!E250)-1),"Review")</f>
        <v>DevOps</v>
      </c>
      <c r="F250" s="2" t="str">
        <f>IFERROR(_xlfn.TEXTAFTER(Raw_Data!E250,"-"),"Review")</f>
        <v>California</v>
      </c>
      <c r="G250" s="2" t="str">
        <f>IFERROR(TRIM(Raw_Data!F250), "Review")</f>
        <v>Pending</v>
      </c>
      <c r="H250" s="3" t="str">
        <f>IFERROR(TEXT(Raw_Data!G250, "YYYY-MM-DD"),"Review")</f>
        <v>2022-12-28</v>
      </c>
      <c r="I250" s="4">
        <f>IF(Raw_Data!H250="", "", IFERROR(VALUE(Raw_Data!H250), ""))</f>
        <v>56539.99</v>
      </c>
      <c r="J250" s="2" t="str">
        <f>IF(Raw_Data!I250="", "", IF(ISNUMBER(FIND("@", Raw_Data!I250)), Raw_Data!I250, "Review"))</f>
        <v>eva.smith@example.com</v>
      </c>
      <c r="K250" s="5" t="str">
        <f>IFERROR(TEXT(ABS(Raw_Data!J250), "0"), "Review")</f>
        <v>9484910255</v>
      </c>
      <c r="L250" s="2" t="str">
        <f>IFERROR(TRIM(Raw_Data!K250), "Review")</f>
        <v>Excellent</v>
      </c>
      <c r="M250" s="2" t="b">
        <f>IF(Raw_Data!L250="", "",
    IF(ISLOGICAL(Raw_Data!L250), Raw_Data!L250,
        IF(OR(UPPER(Raw_Data!L250)="TRUE", UPPER(Raw_Data!L250)="YES", UPPER(Raw_Data!L250)="1"), TRUE,
            IF(OR(UPPER(Raw_Data!L250)="FALSE", UPPER(Raw_Data!L250)="NO", UPPER(Raw_Data!L250)="0"), FALSE, "Review")
        )
    )
)</f>
        <v>1</v>
      </c>
    </row>
    <row r="251" spans="1:13" x14ac:dyDescent="0.4">
      <c r="A251" s="2" t="str">
        <f>IFERROR(TRIM(Raw_Data!A251), "Review")</f>
        <v>EMP1249</v>
      </c>
      <c r="B251" s="2" t="str">
        <f>IFERROR(TRIM(Raw_Data!B251), "Review")</f>
        <v>Charlie</v>
      </c>
      <c r="C251" s="2" t="str">
        <f>IFERROR(TRIM(Raw_Data!C251), "Review")</f>
        <v>Williams</v>
      </c>
      <c r="D251" s="2">
        <f>IF(Raw_Data!D251="", "", IFERROR(VALUE(Raw_Data!D251), ""))</f>
        <v>30</v>
      </c>
      <c r="E251" s="2" t="str">
        <f>IFERROR(LEFT(Raw_Data!E251,SEARCH("-",Raw_Data!E251)-1),"Review")</f>
        <v>DevOps</v>
      </c>
      <c r="F251" s="2" t="str">
        <f>IFERROR(_xlfn.TEXTAFTER(Raw_Data!E251,"-"),"Review")</f>
        <v>Illinois</v>
      </c>
      <c r="G251" s="2" t="str">
        <f>IFERROR(TRIM(Raw_Data!F251), "Review")</f>
        <v>Pending</v>
      </c>
      <c r="H251" s="3" t="str">
        <f>IFERROR(TEXT(Raw_Data!G251, "YYYY-MM-DD"),"Review")</f>
        <v>2023-05-24</v>
      </c>
      <c r="I251" s="4">
        <f>IF(Raw_Data!H251="", "", IFERROR(VALUE(Raw_Data!H251), ""))</f>
        <v>73633.37</v>
      </c>
      <c r="J251" s="2" t="str">
        <f>IF(Raw_Data!I251="", "", IF(ISNUMBER(FIND("@", Raw_Data!I251)), Raw_Data!I251, "Review"))</f>
        <v>charlie.williams@example.com</v>
      </c>
      <c r="K251" s="5" t="str">
        <f>IFERROR(TEXT(ABS(Raw_Data!J251), "0"), "Review")</f>
        <v>2588967923</v>
      </c>
      <c r="L251" s="2" t="str">
        <f>IFERROR(TRIM(Raw_Data!K251), "Review")</f>
        <v>Good</v>
      </c>
      <c r="M251" s="2" t="b">
        <f>IF(Raw_Data!L251="", "",
    IF(ISLOGICAL(Raw_Data!L251), Raw_Data!L251,
        IF(OR(UPPER(Raw_Data!L251)="TRUE", UPPER(Raw_Data!L251)="YES", UPPER(Raw_Data!L251)="1"), TRUE,
            IF(OR(UPPER(Raw_Data!L251)="FALSE", UPPER(Raw_Data!L251)="NO", UPPER(Raw_Data!L251)="0"), FALSE, "Review")
        )
    )
)</f>
        <v>1</v>
      </c>
    </row>
    <row r="252" spans="1:13" x14ac:dyDescent="0.4">
      <c r="A252" s="2" t="str">
        <f>IFERROR(TRIM(Raw_Data!A252), "Review")</f>
        <v>EMP1250</v>
      </c>
      <c r="B252" s="2" t="str">
        <f>IFERROR(TRIM(Raw_Data!B252), "Review")</f>
        <v>Alice</v>
      </c>
      <c r="C252" s="2" t="str">
        <f>IFERROR(TRIM(Raw_Data!C252), "Review")</f>
        <v>Miller</v>
      </c>
      <c r="D252" s="2">
        <f>IF(Raw_Data!D252="", "", IFERROR(VALUE(Raw_Data!D252), ""))</f>
        <v>25</v>
      </c>
      <c r="E252" s="2" t="str">
        <f>IFERROR(LEFT(Raw_Data!E252,SEARCH("-",Raw_Data!E252)-1),"Review")</f>
        <v>Cloud Tech</v>
      </c>
      <c r="F252" s="2" t="str">
        <f>IFERROR(_xlfn.TEXTAFTER(Raw_Data!E252,"-"),"Review")</f>
        <v>Texas</v>
      </c>
      <c r="G252" s="2" t="str">
        <f>IFERROR(TRIM(Raw_Data!F252), "Review")</f>
        <v>Pending</v>
      </c>
      <c r="H252" s="3" t="str">
        <f>IFERROR(TEXT(Raw_Data!G252, "YYYY-MM-DD"),"Review")</f>
        <v>2024-04-28</v>
      </c>
      <c r="I252" s="4">
        <f>IF(Raw_Data!H252="", "", IFERROR(VALUE(Raw_Data!H252), ""))</f>
        <v>90373.99</v>
      </c>
      <c r="J252" s="2" t="str">
        <f>IF(Raw_Data!I252="", "", IF(ISNUMBER(FIND("@", Raw_Data!I252)), Raw_Data!I252, "Review"))</f>
        <v>alice.miller@example.com</v>
      </c>
      <c r="K252" s="5" t="str">
        <f>IFERROR(TEXT(ABS(Raw_Data!J252), "0"), "Review")</f>
        <v>822269404</v>
      </c>
      <c r="L252" s="2" t="str">
        <f>IFERROR(TRIM(Raw_Data!K252), "Review")</f>
        <v>Good</v>
      </c>
      <c r="M252" s="2" t="b">
        <f>IF(Raw_Data!L252="", "",
    IF(ISLOGICAL(Raw_Data!L252), Raw_Data!L252,
        IF(OR(UPPER(Raw_Data!L252)="TRUE", UPPER(Raw_Data!L252)="YES", UPPER(Raw_Data!L252)="1"), TRUE,
            IF(OR(UPPER(Raw_Data!L252)="FALSE", UPPER(Raw_Data!L252)="NO", UPPER(Raw_Data!L252)="0"), FALSE, "Review")
        )
    )
)</f>
        <v>0</v>
      </c>
    </row>
    <row r="253" spans="1:13" x14ac:dyDescent="0.4">
      <c r="A253" s="2" t="str">
        <f>IFERROR(TRIM(Raw_Data!A253), "Review")</f>
        <v>EMP1251</v>
      </c>
      <c r="B253" s="2" t="str">
        <f>IFERROR(TRIM(Raw_Data!B253), "Review")</f>
        <v>Grace</v>
      </c>
      <c r="C253" s="2" t="str">
        <f>IFERROR(TRIM(Raw_Data!C253), "Review")</f>
        <v>Smith</v>
      </c>
      <c r="D253" s="2" t="str">
        <f>IF(Raw_Data!D253="", "", IFERROR(VALUE(Raw_Data!D253), ""))</f>
        <v/>
      </c>
      <c r="E253" s="2" t="str">
        <f>IFERROR(LEFT(Raw_Data!E253,SEARCH("-",Raw_Data!E253)-1),"Review")</f>
        <v>DevOps</v>
      </c>
      <c r="F253" s="2" t="str">
        <f>IFERROR(_xlfn.TEXTAFTER(Raw_Data!E253,"-"),"Review")</f>
        <v>Texas</v>
      </c>
      <c r="G253" s="2" t="str">
        <f>IFERROR(TRIM(Raw_Data!F253), "Review")</f>
        <v>Inactive</v>
      </c>
      <c r="H253" s="3" t="str">
        <f>IFERROR(TEXT(Raw_Data!G253, "YYYY-MM-DD"),"Review")</f>
        <v>2024-12-25</v>
      </c>
      <c r="I253" s="4">
        <f>IF(Raw_Data!H253="", "", IFERROR(VALUE(Raw_Data!H253), ""))</f>
        <v>93901.48</v>
      </c>
      <c r="J253" s="2" t="str">
        <f>IF(Raw_Data!I253="", "", IF(ISNUMBER(FIND("@", Raw_Data!I253)), Raw_Data!I253, "Review"))</f>
        <v>grace.smith@example.com</v>
      </c>
      <c r="K253" s="5" t="str">
        <f>IFERROR(TEXT(ABS(Raw_Data!J253), "0"), "Review")</f>
        <v>3967275783</v>
      </c>
      <c r="L253" s="2" t="str">
        <f>IFERROR(TRIM(Raw_Data!K253), "Review")</f>
        <v>Good</v>
      </c>
      <c r="M253" s="2" t="b">
        <f>IF(Raw_Data!L253="", "",
    IF(ISLOGICAL(Raw_Data!L253), Raw_Data!L253,
        IF(OR(UPPER(Raw_Data!L253)="TRUE", UPPER(Raw_Data!L253)="YES", UPPER(Raw_Data!L253)="1"), TRUE,
            IF(OR(UPPER(Raw_Data!L253)="FALSE", UPPER(Raw_Data!L253)="NO", UPPER(Raw_Data!L253)="0"), FALSE, "Review")
        )
    )
)</f>
        <v>0</v>
      </c>
    </row>
    <row r="254" spans="1:13" x14ac:dyDescent="0.4">
      <c r="A254" s="2" t="str">
        <f>IFERROR(TRIM(Raw_Data!A254), "Review")</f>
        <v>EMP1252</v>
      </c>
      <c r="B254" s="2" t="str">
        <f>IFERROR(TRIM(Raw_Data!B254), "Review")</f>
        <v>Eva</v>
      </c>
      <c r="C254" s="2" t="str">
        <f>IFERROR(TRIM(Raw_Data!C254), "Review")</f>
        <v>Brown</v>
      </c>
      <c r="D254" s="2">
        <f>IF(Raw_Data!D254="", "", IFERROR(VALUE(Raw_Data!D254), ""))</f>
        <v>40</v>
      </c>
      <c r="E254" s="2" t="str">
        <f>IFERROR(LEFT(Raw_Data!E254,SEARCH("-",Raw_Data!E254)-1),"Review")</f>
        <v>Admin</v>
      </c>
      <c r="F254" s="2" t="str">
        <f>IFERROR(_xlfn.TEXTAFTER(Raw_Data!E254,"-"),"Review")</f>
        <v>Nevada</v>
      </c>
      <c r="G254" s="2" t="str">
        <f>IFERROR(TRIM(Raw_Data!F254), "Review")</f>
        <v>Inactive</v>
      </c>
      <c r="H254" s="3" t="str">
        <f>IFERROR(TEXT(Raw_Data!G254, "YYYY-MM-DD"),"Review")</f>
        <v>2021-09-01</v>
      </c>
      <c r="I254" s="4">
        <f>IF(Raw_Data!H254="", "", IFERROR(VALUE(Raw_Data!H254), ""))</f>
        <v>81748.09</v>
      </c>
      <c r="J254" s="2" t="str">
        <f>IF(Raw_Data!I254="", "", IF(ISNUMBER(FIND("@", Raw_Data!I254)), Raw_Data!I254, "Review"))</f>
        <v>eva.brown@example.com</v>
      </c>
      <c r="K254" s="5" t="str">
        <f>IFERROR(TEXT(ABS(Raw_Data!J254), "0"), "Review")</f>
        <v>4683414650</v>
      </c>
      <c r="L254" s="2" t="str">
        <f>IFERROR(TRIM(Raw_Data!K254), "Review")</f>
        <v>Average</v>
      </c>
      <c r="M254" s="2" t="b">
        <f>IF(Raw_Data!L254="", "",
    IF(ISLOGICAL(Raw_Data!L254), Raw_Data!L254,
        IF(OR(UPPER(Raw_Data!L254)="TRUE", UPPER(Raw_Data!L254)="YES", UPPER(Raw_Data!L254)="1"), TRUE,
            IF(OR(UPPER(Raw_Data!L254)="FALSE", UPPER(Raw_Data!L254)="NO", UPPER(Raw_Data!L254)="0"), FALSE, "Review")
        )
    )
)</f>
        <v>1</v>
      </c>
    </row>
    <row r="255" spans="1:13" x14ac:dyDescent="0.4">
      <c r="A255" s="2" t="str">
        <f>IFERROR(TRIM(Raw_Data!A255), "Review")</f>
        <v>EMP1253</v>
      </c>
      <c r="B255" s="2" t="str">
        <f>IFERROR(TRIM(Raw_Data!B255), "Review")</f>
        <v>Charlie</v>
      </c>
      <c r="C255" s="2" t="str">
        <f>IFERROR(TRIM(Raw_Data!C255), "Review")</f>
        <v>Jones</v>
      </c>
      <c r="D255" s="2">
        <f>IF(Raw_Data!D255="", "", IFERROR(VALUE(Raw_Data!D255), ""))</f>
        <v>40</v>
      </c>
      <c r="E255" s="2" t="str">
        <f>IFERROR(LEFT(Raw_Data!E255,SEARCH("-",Raw_Data!E255)-1),"Review")</f>
        <v>Finance</v>
      </c>
      <c r="F255" s="2" t="str">
        <f>IFERROR(_xlfn.TEXTAFTER(Raw_Data!E255,"-"),"Review")</f>
        <v>Florida</v>
      </c>
      <c r="G255" s="2" t="str">
        <f>IFERROR(TRIM(Raw_Data!F255), "Review")</f>
        <v>Inactive</v>
      </c>
      <c r="H255" s="3" t="str">
        <f>IFERROR(TEXT(Raw_Data!G255, "YYYY-MM-DD"),"Review")</f>
        <v>2021-02-21</v>
      </c>
      <c r="I255" s="4">
        <f>IF(Raw_Data!H255="", "", IFERROR(VALUE(Raw_Data!H255), ""))</f>
        <v>73813.48</v>
      </c>
      <c r="J255" s="2" t="str">
        <f>IF(Raw_Data!I255="", "", IF(ISNUMBER(FIND("@", Raw_Data!I255)), Raw_Data!I255, "Review"))</f>
        <v>charlie.jones@example.com</v>
      </c>
      <c r="K255" s="5" t="str">
        <f>IFERROR(TEXT(ABS(Raw_Data!J255), "0"), "Review")</f>
        <v>1131290147</v>
      </c>
      <c r="L255" s="2" t="str">
        <f>IFERROR(TRIM(Raw_Data!K255), "Review")</f>
        <v>Average</v>
      </c>
      <c r="M255" s="2" t="b">
        <f>IF(Raw_Data!L255="", "",
    IF(ISLOGICAL(Raw_Data!L255), Raw_Data!L255,
        IF(OR(UPPER(Raw_Data!L255)="TRUE", UPPER(Raw_Data!L255)="YES", UPPER(Raw_Data!L255)="1"), TRUE,
            IF(OR(UPPER(Raw_Data!L255)="FALSE", UPPER(Raw_Data!L255)="NO", UPPER(Raw_Data!L255)="0"), FALSE, "Review")
        )
    )
)</f>
        <v>0</v>
      </c>
    </row>
    <row r="256" spans="1:13" x14ac:dyDescent="0.4">
      <c r="A256" s="2" t="str">
        <f>IFERROR(TRIM(Raw_Data!A256), "Review")</f>
        <v>EMP1254</v>
      </c>
      <c r="B256" s="2" t="str">
        <f>IFERROR(TRIM(Raw_Data!B256), "Review")</f>
        <v>Frank</v>
      </c>
      <c r="C256" s="2" t="str">
        <f>IFERROR(TRIM(Raw_Data!C256), "Review")</f>
        <v>Smith</v>
      </c>
      <c r="D256" s="2">
        <f>IF(Raw_Data!D256="", "", IFERROR(VALUE(Raw_Data!D256), ""))</f>
        <v>35</v>
      </c>
      <c r="E256" s="2" t="str">
        <f>IFERROR(LEFT(Raw_Data!E256,SEARCH("-",Raw_Data!E256)-1),"Review")</f>
        <v>Finance</v>
      </c>
      <c r="F256" s="2" t="str">
        <f>IFERROR(_xlfn.TEXTAFTER(Raw_Data!E256,"-"),"Review")</f>
        <v>New York</v>
      </c>
      <c r="G256" s="2" t="str">
        <f>IFERROR(TRIM(Raw_Data!F256), "Review")</f>
        <v>Inactive</v>
      </c>
      <c r="H256" s="3" t="str">
        <f>IFERROR(TEXT(Raw_Data!G256, "YYYY-MM-DD"),"Review")</f>
        <v>2022-11-20</v>
      </c>
      <c r="I256" s="4">
        <f>IF(Raw_Data!H256="", "", IFERROR(VALUE(Raw_Data!H256), ""))</f>
        <v>89315.59</v>
      </c>
      <c r="J256" s="2" t="str">
        <f>IF(Raw_Data!I256="", "", IF(ISNUMBER(FIND("@", Raw_Data!I256)), Raw_Data!I256, "Review"))</f>
        <v>frank.smith@example.com</v>
      </c>
      <c r="K256" s="5" t="str">
        <f>IFERROR(TEXT(ABS(Raw_Data!J256), "0"), "Review")</f>
        <v>7068277880</v>
      </c>
      <c r="L256" s="2" t="str">
        <f>IFERROR(TRIM(Raw_Data!K256), "Review")</f>
        <v>Average</v>
      </c>
      <c r="M256" s="2" t="b">
        <f>IF(Raw_Data!L256="", "",
    IF(ISLOGICAL(Raw_Data!L256), Raw_Data!L256,
        IF(OR(UPPER(Raw_Data!L256)="TRUE", UPPER(Raw_Data!L256)="YES", UPPER(Raw_Data!L256)="1"), TRUE,
            IF(OR(UPPER(Raw_Data!L256)="FALSE", UPPER(Raw_Data!L256)="NO", UPPER(Raw_Data!L256)="0"), FALSE, "Review")
        )
    )
)</f>
        <v>0</v>
      </c>
    </row>
    <row r="257" spans="1:13" x14ac:dyDescent="0.4">
      <c r="A257" s="2" t="str">
        <f>IFERROR(TRIM(Raw_Data!A257), "Review")</f>
        <v>EMP1255</v>
      </c>
      <c r="B257" s="2" t="str">
        <f>IFERROR(TRIM(Raw_Data!B257), "Review")</f>
        <v>Heidi</v>
      </c>
      <c r="C257" s="2" t="str">
        <f>IFERROR(TRIM(Raw_Data!C257), "Review")</f>
        <v>Williams</v>
      </c>
      <c r="D257" s="2">
        <f>IF(Raw_Data!D257="", "", IFERROR(VALUE(Raw_Data!D257), ""))</f>
        <v>25</v>
      </c>
      <c r="E257" s="2" t="str">
        <f>IFERROR(LEFT(Raw_Data!E257,SEARCH("-",Raw_Data!E257)-1),"Review")</f>
        <v>HR</v>
      </c>
      <c r="F257" s="2" t="str">
        <f>IFERROR(_xlfn.TEXTAFTER(Raw_Data!E257,"-"),"Review")</f>
        <v>Florida</v>
      </c>
      <c r="G257" s="2" t="str">
        <f>IFERROR(TRIM(Raw_Data!F257), "Review")</f>
        <v>Active</v>
      </c>
      <c r="H257" s="3" t="str">
        <f>IFERROR(TEXT(Raw_Data!G257, "YYYY-MM-DD"),"Review")</f>
        <v>2020-10-15</v>
      </c>
      <c r="I257" s="4">
        <f>IF(Raw_Data!H257="", "", IFERROR(VALUE(Raw_Data!H257), ""))</f>
        <v>56776.82</v>
      </c>
      <c r="J257" s="2" t="str">
        <f>IF(Raw_Data!I257="", "", IF(ISNUMBER(FIND("@", Raw_Data!I257)), Raw_Data!I257, "Review"))</f>
        <v>heidi.williams@example.com</v>
      </c>
      <c r="K257" s="5" t="str">
        <f>IFERROR(TEXT(ABS(Raw_Data!J257), "0"), "Review")</f>
        <v>6093068537</v>
      </c>
      <c r="L257" s="2" t="str">
        <f>IFERROR(TRIM(Raw_Data!K257), "Review")</f>
        <v>Poor</v>
      </c>
      <c r="M257" s="2" t="b">
        <f>IF(Raw_Data!L257="", "",
    IF(ISLOGICAL(Raw_Data!L257), Raw_Data!L257,
        IF(OR(UPPER(Raw_Data!L257)="TRUE", UPPER(Raw_Data!L257)="YES", UPPER(Raw_Data!L257)="1"), TRUE,
            IF(OR(UPPER(Raw_Data!L257)="FALSE", UPPER(Raw_Data!L257)="NO", UPPER(Raw_Data!L257)="0"), FALSE, "Review")
        )
    )
)</f>
        <v>0</v>
      </c>
    </row>
    <row r="258" spans="1:13" x14ac:dyDescent="0.4">
      <c r="A258" s="2" t="str">
        <f>IFERROR(TRIM(Raw_Data!A258), "Review")</f>
        <v>EMP1256</v>
      </c>
      <c r="B258" s="2" t="str">
        <f>IFERROR(TRIM(Raw_Data!B258), "Review")</f>
        <v>Grace</v>
      </c>
      <c r="C258" s="2" t="str">
        <f>IFERROR(TRIM(Raw_Data!C258), "Review")</f>
        <v>Davis</v>
      </c>
      <c r="D258" s="2" t="str">
        <f>IF(Raw_Data!D258="", "", IFERROR(VALUE(Raw_Data!D258), ""))</f>
        <v/>
      </c>
      <c r="E258" s="2" t="str">
        <f>IFERROR(LEFT(Raw_Data!E258,SEARCH("-",Raw_Data!E258)-1),"Review")</f>
        <v>Finance</v>
      </c>
      <c r="F258" s="2" t="str">
        <f>IFERROR(_xlfn.TEXTAFTER(Raw_Data!E258,"-"),"Review")</f>
        <v>New York</v>
      </c>
      <c r="G258" s="2" t="str">
        <f>IFERROR(TRIM(Raw_Data!F258), "Review")</f>
        <v>Active</v>
      </c>
      <c r="H258" s="3" t="str">
        <f>IFERROR(TEXT(Raw_Data!G258, "YYYY-MM-DD"),"Review")</f>
        <v>2024-07-24</v>
      </c>
      <c r="I258" s="4">
        <f>IF(Raw_Data!H258="", "", IFERROR(VALUE(Raw_Data!H258), ""))</f>
        <v>72920.509999999995</v>
      </c>
      <c r="J258" s="2" t="str">
        <f>IF(Raw_Data!I258="", "", IF(ISNUMBER(FIND("@", Raw_Data!I258)), Raw_Data!I258, "Review"))</f>
        <v>grace.davis@example.com</v>
      </c>
      <c r="K258" s="5" t="str">
        <f>IFERROR(TEXT(ABS(Raw_Data!J258), "0"), "Review")</f>
        <v>9097283214</v>
      </c>
      <c r="L258" s="2" t="str">
        <f>IFERROR(TRIM(Raw_Data!K258), "Review")</f>
        <v>Excellent</v>
      </c>
      <c r="M258" s="2" t="b">
        <f>IF(Raw_Data!L258="", "",
    IF(ISLOGICAL(Raw_Data!L258), Raw_Data!L258,
        IF(OR(UPPER(Raw_Data!L258)="TRUE", UPPER(Raw_Data!L258)="YES", UPPER(Raw_Data!L258)="1"), TRUE,
            IF(OR(UPPER(Raw_Data!L258)="FALSE", UPPER(Raw_Data!L258)="NO", UPPER(Raw_Data!L258)="0"), FALSE, "Review")
        )
    )
)</f>
        <v>1</v>
      </c>
    </row>
    <row r="259" spans="1:13" x14ac:dyDescent="0.4">
      <c r="A259" s="2" t="str">
        <f>IFERROR(TRIM(Raw_Data!A259), "Review")</f>
        <v>EMP1257</v>
      </c>
      <c r="B259" s="2" t="str">
        <f>IFERROR(TRIM(Raw_Data!B259), "Review")</f>
        <v>Frank</v>
      </c>
      <c r="C259" s="2" t="str">
        <f>IFERROR(TRIM(Raw_Data!C259), "Review")</f>
        <v>Miller</v>
      </c>
      <c r="D259" s="2">
        <f>IF(Raw_Data!D259="", "", IFERROR(VALUE(Raw_Data!D259), ""))</f>
        <v>30</v>
      </c>
      <c r="E259" s="2" t="str">
        <f>IFERROR(LEFT(Raw_Data!E259,SEARCH("-",Raw_Data!E259)-1),"Review")</f>
        <v>Admin</v>
      </c>
      <c r="F259" s="2" t="str">
        <f>IFERROR(_xlfn.TEXTAFTER(Raw_Data!E259,"-"),"Review")</f>
        <v>Florida</v>
      </c>
      <c r="G259" s="2" t="str">
        <f>IFERROR(TRIM(Raw_Data!F259), "Review")</f>
        <v>Pending</v>
      </c>
      <c r="H259" s="3" t="str">
        <f>IFERROR(TEXT(Raw_Data!G259, "YYYY-MM-DD"),"Review")</f>
        <v>2022-08-14</v>
      </c>
      <c r="I259" s="4">
        <f>IF(Raw_Data!H259="", "", IFERROR(VALUE(Raw_Data!H259), ""))</f>
        <v>84913.18</v>
      </c>
      <c r="J259" s="2" t="str">
        <f>IF(Raw_Data!I259="", "", IF(ISNUMBER(FIND("@", Raw_Data!I259)), Raw_Data!I259, "Review"))</f>
        <v>frank.miller@example.com</v>
      </c>
      <c r="K259" s="5" t="str">
        <f>IFERROR(TEXT(ABS(Raw_Data!J259), "0"), "Review")</f>
        <v>2850676250</v>
      </c>
      <c r="L259" s="2" t="str">
        <f>IFERROR(TRIM(Raw_Data!K259), "Review")</f>
        <v>Average</v>
      </c>
      <c r="M259" s="2" t="b">
        <f>IF(Raw_Data!L259="", "",
    IF(ISLOGICAL(Raw_Data!L259), Raw_Data!L259,
        IF(OR(UPPER(Raw_Data!L259)="TRUE", UPPER(Raw_Data!L259)="YES", UPPER(Raw_Data!L259)="1"), TRUE,
            IF(OR(UPPER(Raw_Data!L259)="FALSE", UPPER(Raw_Data!L259)="NO", UPPER(Raw_Data!L259)="0"), FALSE, "Review")
        )
    )
)</f>
        <v>1</v>
      </c>
    </row>
    <row r="260" spans="1:13" x14ac:dyDescent="0.4">
      <c r="A260" s="2" t="str">
        <f>IFERROR(TRIM(Raw_Data!A260), "Review")</f>
        <v>EMP1258</v>
      </c>
      <c r="B260" s="2" t="str">
        <f>IFERROR(TRIM(Raw_Data!B260), "Review")</f>
        <v>Alice</v>
      </c>
      <c r="C260" s="2" t="str">
        <f>IFERROR(TRIM(Raw_Data!C260), "Review")</f>
        <v>Garcia</v>
      </c>
      <c r="D260" s="2">
        <f>IF(Raw_Data!D260="", "", IFERROR(VALUE(Raw_Data!D260), ""))</f>
        <v>25</v>
      </c>
      <c r="E260" s="2" t="str">
        <f>IFERROR(LEFT(Raw_Data!E260,SEARCH("-",Raw_Data!E260)-1),"Review")</f>
        <v>Finance</v>
      </c>
      <c r="F260" s="2" t="str">
        <f>IFERROR(_xlfn.TEXTAFTER(Raw_Data!E260,"-"),"Review")</f>
        <v>Illinois</v>
      </c>
      <c r="G260" s="2" t="str">
        <f>IFERROR(TRIM(Raw_Data!F260), "Review")</f>
        <v>Inactive</v>
      </c>
      <c r="H260" s="3" t="str">
        <f>IFERROR(TEXT(Raw_Data!G260, "YYYY-MM-DD"),"Review")</f>
        <v>2021-05-08</v>
      </c>
      <c r="I260" s="4">
        <f>IF(Raw_Data!H260="", "", IFERROR(VALUE(Raw_Data!H260), ""))</f>
        <v>65060.11</v>
      </c>
      <c r="J260" s="2" t="str">
        <f>IF(Raw_Data!I260="", "", IF(ISNUMBER(FIND("@", Raw_Data!I260)), Raw_Data!I260, "Review"))</f>
        <v>alice.garcia@example.com</v>
      </c>
      <c r="K260" s="5" t="str">
        <f>IFERROR(TEXT(ABS(Raw_Data!J260), "0"), "Review")</f>
        <v>5381447442</v>
      </c>
      <c r="L260" s="2" t="str">
        <f>IFERROR(TRIM(Raw_Data!K260), "Review")</f>
        <v>Excellent</v>
      </c>
      <c r="M260" s="2" t="b">
        <f>IF(Raw_Data!L260="", "",
    IF(ISLOGICAL(Raw_Data!L260), Raw_Data!L260,
        IF(OR(UPPER(Raw_Data!L260)="TRUE", UPPER(Raw_Data!L260)="YES", UPPER(Raw_Data!L260)="1"), TRUE,
            IF(OR(UPPER(Raw_Data!L260)="FALSE", UPPER(Raw_Data!L260)="NO", UPPER(Raw_Data!L260)="0"), FALSE, "Review")
        )
    )
)</f>
        <v>1</v>
      </c>
    </row>
    <row r="261" spans="1:13" x14ac:dyDescent="0.4">
      <c r="A261" s="2" t="str">
        <f>IFERROR(TRIM(Raw_Data!A261), "Review")</f>
        <v>EMP1259</v>
      </c>
      <c r="B261" s="2" t="str">
        <f>IFERROR(TRIM(Raw_Data!B261), "Review")</f>
        <v>Alice</v>
      </c>
      <c r="C261" s="2" t="str">
        <f>IFERROR(TRIM(Raw_Data!C261), "Review")</f>
        <v>Williams</v>
      </c>
      <c r="D261" s="2">
        <f>IF(Raw_Data!D261="", "", IFERROR(VALUE(Raw_Data!D261), ""))</f>
        <v>35</v>
      </c>
      <c r="E261" s="2" t="str">
        <f>IFERROR(LEFT(Raw_Data!E261,SEARCH("-",Raw_Data!E261)-1),"Review")</f>
        <v>Finance</v>
      </c>
      <c r="F261" s="2" t="str">
        <f>IFERROR(_xlfn.TEXTAFTER(Raw_Data!E261,"-"),"Review")</f>
        <v>Illinois</v>
      </c>
      <c r="G261" s="2" t="str">
        <f>IFERROR(TRIM(Raw_Data!F261), "Review")</f>
        <v>Pending</v>
      </c>
      <c r="H261" s="3" t="str">
        <f>IFERROR(TEXT(Raw_Data!G261, "YYYY-MM-DD"),"Review")</f>
        <v>2023-10-09</v>
      </c>
      <c r="I261" s="4">
        <f>IF(Raw_Data!H261="", "", IFERROR(VALUE(Raw_Data!H261), ""))</f>
        <v>82941.08</v>
      </c>
      <c r="J261" s="2" t="str">
        <f>IF(Raw_Data!I261="", "", IF(ISNUMBER(FIND("@", Raw_Data!I261)), Raw_Data!I261, "Review"))</f>
        <v>alice.williams@example.com</v>
      </c>
      <c r="K261" s="5" t="str">
        <f>IFERROR(TEXT(ABS(Raw_Data!J261), "0"), "Review")</f>
        <v>963480796</v>
      </c>
      <c r="L261" s="2" t="str">
        <f>IFERROR(TRIM(Raw_Data!K261), "Review")</f>
        <v>Poor</v>
      </c>
      <c r="M261" s="2" t="b">
        <f>IF(Raw_Data!L261="", "",
    IF(ISLOGICAL(Raw_Data!L261), Raw_Data!L261,
        IF(OR(UPPER(Raw_Data!L261)="TRUE", UPPER(Raw_Data!L261)="YES", UPPER(Raw_Data!L261)="1"), TRUE,
            IF(OR(UPPER(Raw_Data!L261)="FALSE", UPPER(Raw_Data!L261)="NO", UPPER(Raw_Data!L261)="0"), FALSE, "Review")
        )
    )
)</f>
        <v>0</v>
      </c>
    </row>
    <row r="262" spans="1:13" x14ac:dyDescent="0.4">
      <c r="A262" s="2" t="str">
        <f>IFERROR(TRIM(Raw_Data!A262), "Review")</f>
        <v>EMP1260</v>
      </c>
      <c r="B262" s="2" t="str">
        <f>IFERROR(TRIM(Raw_Data!B262), "Review")</f>
        <v>Bob</v>
      </c>
      <c r="C262" s="2" t="str">
        <f>IFERROR(TRIM(Raw_Data!C262), "Review")</f>
        <v>Smith</v>
      </c>
      <c r="D262" s="2">
        <f>IF(Raw_Data!D262="", "", IFERROR(VALUE(Raw_Data!D262), ""))</f>
        <v>40</v>
      </c>
      <c r="E262" s="2" t="str">
        <f>IFERROR(LEFT(Raw_Data!E262,SEARCH("-",Raw_Data!E262)-1),"Review")</f>
        <v>Admin</v>
      </c>
      <c r="F262" s="2" t="str">
        <f>IFERROR(_xlfn.TEXTAFTER(Raw_Data!E262,"-"),"Review")</f>
        <v>California</v>
      </c>
      <c r="G262" s="2" t="str">
        <f>IFERROR(TRIM(Raw_Data!F262), "Review")</f>
        <v>Pending</v>
      </c>
      <c r="H262" s="3" t="str">
        <f>IFERROR(TEXT(Raw_Data!G262, "YYYY-MM-DD"),"Review")</f>
        <v>2022-01-19</v>
      </c>
      <c r="I262" s="4">
        <f>IF(Raw_Data!H262="", "", IFERROR(VALUE(Raw_Data!H262), ""))</f>
        <v>103469.97</v>
      </c>
      <c r="J262" s="2" t="str">
        <f>IF(Raw_Data!I262="", "", IF(ISNUMBER(FIND("@", Raw_Data!I262)), Raw_Data!I262, "Review"))</f>
        <v>bob.smith@example.com</v>
      </c>
      <c r="K262" s="5" t="str">
        <f>IFERROR(TEXT(ABS(Raw_Data!J262), "0"), "Review")</f>
        <v>509754509</v>
      </c>
      <c r="L262" s="2" t="str">
        <f>IFERROR(TRIM(Raw_Data!K262), "Review")</f>
        <v>Good</v>
      </c>
      <c r="M262" s="2" t="b">
        <f>IF(Raw_Data!L262="", "",
    IF(ISLOGICAL(Raw_Data!L262), Raw_Data!L262,
        IF(OR(UPPER(Raw_Data!L262)="TRUE", UPPER(Raw_Data!L262)="YES", UPPER(Raw_Data!L262)="1"), TRUE,
            IF(OR(UPPER(Raw_Data!L262)="FALSE", UPPER(Raw_Data!L262)="NO", UPPER(Raw_Data!L262)="0"), FALSE, "Review")
        )
    )
)</f>
        <v>1</v>
      </c>
    </row>
    <row r="263" spans="1:13" x14ac:dyDescent="0.4">
      <c r="A263" s="2" t="str">
        <f>IFERROR(TRIM(Raw_Data!A263), "Review")</f>
        <v>EMP1261</v>
      </c>
      <c r="B263" s="2" t="str">
        <f>IFERROR(TRIM(Raw_Data!B263), "Review")</f>
        <v>Grace</v>
      </c>
      <c r="C263" s="2" t="str">
        <f>IFERROR(TRIM(Raw_Data!C263), "Review")</f>
        <v>Miller</v>
      </c>
      <c r="D263" s="2">
        <f>IF(Raw_Data!D263="", "", IFERROR(VALUE(Raw_Data!D263), ""))</f>
        <v>25</v>
      </c>
      <c r="E263" s="2" t="str">
        <f>IFERROR(LEFT(Raw_Data!E263,SEARCH("-",Raw_Data!E263)-1),"Review")</f>
        <v>Sales</v>
      </c>
      <c r="F263" s="2" t="str">
        <f>IFERROR(_xlfn.TEXTAFTER(Raw_Data!E263,"-"),"Review")</f>
        <v>Illinois</v>
      </c>
      <c r="G263" s="2" t="str">
        <f>IFERROR(TRIM(Raw_Data!F263), "Review")</f>
        <v>Active</v>
      </c>
      <c r="H263" s="3" t="str">
        <f>IFERROR(TEXT(Raw_Data!G263, "YYYY-MM-DD"),"Review")</f>
        <v>2022-01-12</v>
      </c>
      <c r="I263" s="4">
        <f>IF(Raw_Data!H263="", "", IFERROR(VALUE(Raw_Data!H263), ""))</f>
        <v>88725.6</v>
      </c>
      <c r="J263" s="2" t="str">
        <f>IF(Raw_Data!I263="", "", IF(ISNUMBER(FIND("@", Raw_Data!I263)), Raw_Data!I263, "Review"))</f>
        <v>grace.miller@example.com</v>
      </c>
      <c r="K263" s="5" t="str">
        <f>IFERROR(TEXT(ABS(Raw_Data!J263), "0"), "Review")</f>
        <v>5265016730</v>
      </c>
      <c r="L263" s="2" t="str">
        <f>IFERROR(TRIM(Raw_Data!K263), "Review")</f>
        <v>Average</v>
      </c>
      <c r="M263" s="2" t="b">
        <f>IF(Raw_Data!L263="", "",
    IF(ISLOGICAL(Raw_Data!L263), Raw_Data!L263,
        IF(OR(UPPER(Raw_Data!L263)="TRUE", UPPER(Raw_Data!L263)="YES", UPPER(Raw_Data!L263)="1"), TRUE,
            IF(OR(UPPER(Raw_Data!L263)="FALSE", UPPER(Raw_Data!L263)="NO", UPPER(Raw_Data!L263)="0"), FALSE, "Review")
        )
    )
)</f>
        <v>1</v>
      </c>
    </row>
    <row r="264" spans="1:13" x14ac:dyDescent="0.4">
      <c r="A264" s="2" t="str">
        <f>IFERROR(TRIM(Raw_Data!A264), "Review")</f>
        <v>EMP1262</v>
      </c>
      <c r="B264" s="2" t="str">
        <f>IFERROR(TRIM(Raw_Data!B264), "Review")</f>
        <v>Heidi</v>
      </c>
      <c r="C264" s="2" t="str">
        <f>IFERROR(TRIM(Raw_Data!C264), "Review")</f>
        <v>Jones</v>
      </c>
      <c r="D264" s="2" t="str">
        <f>IF(Raw_Data!D264="", "", IFERROR(VALUE(Raw_Data!D264), ""))</f>
        <v/>
      </c>
      <c r="E264" s="2" t="str">
        <f>IFERROR(LEFT(Raw_Data!E264,SEARCH("-",Raw_Data!E264)-1),"Review")</f>
        <v>HR</v>
      </c>
      <c r="F264" s="2" t="str">
        <f>IFERROR(_xlfn.TEXTAFTER(Raw_Data!E264,"-"),"Review")</f>
        <v>Illinois</v>
      </c>
      <c r="G264" s="2" t="str">
        <f>IFERROR(TRIM(Raw_Data!F264), "Review")</f>
        <v>Pending</v>
      </c>
      <c r="H264" s="3" t="str">
        <f>IFERROR(TEXT(Raw_Data!G264, "YYYY-MM-DD"),"Review")</f>
        <v>2023-06-05</v>
      </c>
      <c r="I264" s="4">
        <f>IF(Raw_Data!H264="", "", IFERROR(VALUE(Raw_Data!H264), ""))</f>
        <v>58316.77</v>
      </c>
      <c r="J264" s="2" t="str">
        <f>IF(Raw_Data!I264="", "", IF(ISNUMBER(FIND("@", Raw_Data!I264)), Raw_Data!I264, "Review"))</f>
        <v>heidi.jones@example.com</v>
      </c>
      <c r="K264" s="5" t="str">
        <f>IFERROR(TEXT(ABS(Raw_Data!J264), "0"), "Review")</f>
        <v>8826170242</v>
      </c>
      <c r="L264" s="2" t="str">
        <f>IFERROR(TRIM(Raw_Data!K264), "Review")</f>
        <v>Excellent</v>
      </c>
      <c r="M264" s="2" t="b">
        <f>IF(Raw_Data!L264="", "",
    IF(ISLOGICAL(Raw_Data!L264), Raw_Data!L264,
        IF(OR(UPPER(Raw_Data!L264)="TRUE", UPPER(Raw_Data!L264)="YES", UPPER(Raw_Data!L264)="1"), TRUE,
            IF(OR(UPPER(Raw_Data!L264)="FALSE", UPPER(Raw_Data!L264)="NO", UPPER(Raw_Data!L264)="0"), FALSE, "Review")
        )
    )
)</f>
        <v>1</v>
      </c>
    </row>
    <row r="265" spans="1:13" x14ac:dyDescent="0.4">
      <c r="A265" s="2" t="str">
        <f>IFERROR(TRIM(Raw_Data!A265), "Review")</f>
        <v>EMP1263</v>
      </c>
      <c r="B265" s="2" t="str">
        <f>IFERROR(TRIM(Raw_Data!B265), "Review")</f>
        <v>Grace</v>
      </c>
      <c r="C265" s="2" t="str">
        <f>IFERROR(TRIM(Raw_Data!C265), "Review")</f>
        <v>Smith</v>
      </c>
      <c r="D265" s="2">
        <f>IF(Raw_Data!D265="", "", IFERROR(VALUE(Raw_Data!D265), ""))</f>
        <v>35</v>
      </c>
      <c r="E265" s="2" t="str">
        <f>IFERROR(LEFT(Raw_Data!E265,SEARCH("-",Raw_Data!E265)-1),"Review")</f>
        <v>HR</v>
      </c>
      <c r="F265" s="2" t="str">
        <f>IFERROR(_xlfn.TEXTAFTER(Raw_Data!E265,"-"),"Review")</f>
        <v>Illinois</v>
      </c>
      <c r="G265" s="2" t="str">
        <f>IFERROR(TRIM(Raw_Data!F265), "Review")</f>
        <v>Inactive</v>
      </c>
      <c r="H265" s="3" t="str">
        <f>IFERROR(TEXT(Raw_Data!G265, "YYYY-MM-DD"),"Review")</f>
        <v>2024-03-26</v>
      </c>
      <c r="I265" s="4">
        <f>IF(Raw_Data!H265="", "", IFERROR(VALUE(Raw_Data!H265), ""))</f>
        <v>60098.720000000001</v>
      </c>
      <c r="J265" s="2" t="str">
        <f>IF(Raw_Data!I265="", "", IF(ISNUMBER(FIND("@", Raw_Data!I265)), Raw_Data!I265, "Review"))</f>
        <v>grace.smith@example.com</v>
      </c>
      <c r="K265" s="5" t="str">
        <f>IFERROR(TEXT(ABS(Raw_Data!J265), "0"), "Review")</f>
        <v>7654562840</v>
      </c>
      <c r="L265" s="2" t="str">
        <f>IFERROR(TRIM(Raw_Data!K265), "Review")</f>
        <v>Excellent</v>
      </c>
      <c r="M265" s="2" t="b">
        <f>IF(Raw_Data!L265="", "",
    IF(ISLOGICAL(Raw_Data!L265), Raw_Data!L265,
        IF(OR(UPPER(Raw_Data!L265)="TRUE", UPPER(Raw_Data!L265)="YES", UPPER(Raw_Data!L265)="1"), TRUE,
            IF(OR(UPPER(Raw_Data!L265)="FALSE", UPPER(Raw_Data!L265)="NO", UPPER(Raw_Data!L265)="0"), FALSE, "Review")
        )
    )
)</f>
        <v>1</v>
      </c>
    </row>
    <row r="266" spans="1:13" x14ac:dyDescent="0.4">
      <c r="A266" s="2" t="str">
        <f>IFERROR(TRIM(Raw_Data!A266), "Review")</f>
        <v>EMP1264</v>
      </c>
      <c r="B266" s="2" t="str">
        <f>IFERROR(TRIM(Raw_Data!B266), "Review")</f>
        <v>Grace</v>
      </c>
      <c r="C266" s="2" t="str">
        <f>IFERROR(TRIM(Raw_Data!C266), "Review")</f>
        <v>Williams</v>
      </c>
      <c r="D266" s="2" t="str">
        <f>IF(Raw_Data!D266="", "", IFERROR(VALUE(Raw_Data!D266), ""))</f>
        <v/>
      </c>
      <c r="E266" s="2" t="str">
        <f>IFERROR(LEFT(Raw_Data!E266,SEARCH("-",Raw_Data!E266)-1),"Review")</f>
        <v>Cloud Tech</v>
      </c>
      <c r="F266" s="2" t="str">
        <f>IFERROR(_xlfn.TEXTAFTER(Raw_Data!E266,"-"),"Review")</f>
        <v>Texas</v>
      </c>
      <c r="G266" s="2" t="str">
        <f>IFERROR(TRIM(Raw_Data!F266), "Review")</f>
        <v>Active</v>
      </c>
      <c r="H266" s="3" t="str">
        <f>IFERROR(TEXT(Raw_Data!G266, "YYYY-MM-DD"),"Review")</f>
        <v>2020-10-07</v>
      </c>
      <c r="I266" s="4">
        <f>IF(Raw_Data!H266="", "", IFERROR(VALUE(Raw_Data!H266), ""))</f>
        <v>99951.43</v>
      </c>
      <c r="J266" s="2" t="str">
        <f>IF(Raw_Data!I266="", "", IF(ISNUMBER(FIND("@", Raw_Data!I266)), Raw_Data!I266, "Review"))</f>
        <v>grace.williams@example.com</v>
      </c>
      <c r="K266" s="5" t="str">
        <f>IFERROR(TEXT(ABS(Raw_Data!J266), "0"), "Review")</f>
        <v>7722560530</v>
      </c>
      <c r="L266" s="2" t="str">
        <f>IFERROR(TRIM(Raw_Data!K266), "Review")</f>
        <v>Average</v>
      </c>
      <c r="M266" s="2" t="b">
        <f>IF(Raw_Data!L266="", "",
    IF(ISLOGICAL(Raw_Data!L266), Raw_Data!L266,
        IF(OR(UPPER(Raw_Data!L266)="TRUE", UPPER(Raw_Data!L266)="YES", UPPER(Raw_Data!L266)="1"), TRUE,
            IF(OR(UPPER(Raw_Data!L266)="FALSE", UPPER(Raw_Data!L266)="NO", UPPER(Raw_Data!L266)="0"), FALSE, "Review")
        )
    )
)</f>
        <v>1</v>
      </c>
    </row>
    <row r="267" spans="1:13" x14ac:dyDescent="0.4">
      <c r="A267" s="2" t="str">
        <f>IFERROR(TRIM(Raw_Data!A267), "Review")</f>
        <v>EMP1265</v>
      </c>
      <c r="B267" s="2" t="str">
        <f>IFERROR(TRIM(Raw_Data!B267), "Review")</f>
        <v>Heidi</v>
      </c>
      <c r="C267" s="2" t="str">
        <f>IFERROR(TRIM(Raw_Data!C267), "Review")</f>
        <v>Johnson</v>
      </c>
      <c r="D267" s="2">
        <f>IF(Raw_Data!D267="", "", IFERROR(VALUE(Raw_Data!D267), ""))</f>
        <v>30</v>
      </c>
      <c r="E267" s="2" t="str">
        <f>IFERROR(LEFT(Raw_Data!E267,SEARCH("-",Raw_Data!E267)-1),"Review")</f>
        <v>Sales</v>
      </c>
      <c r="F267" s="2" t="str">
        <f>IFERROR(_xlfn.TEXTAFTER(Raw_Data!E267,"-"),"Review")</f>
        <v>Illinois</v>
      </c>
      <c r="G267" s="2" t="str">
        <f>IFERROR(TRIM(Raw_Data!F267), "Review")</f>
        <v>Active</v>
      </c>
      <c r="H267" s="3" t="str">
        <f>IFERROR(TEXT(Raw_Data!G267, "YYYY-MM-DD"),"Review")</f>
        <v>2021-11-02</v>
      </c>
      <c r="I267" s="4">
        <f>IF(Raw_Data!H267="", "", IFERROR(VALUE(Raw_Data!H267), ""))</f>
        <v>115195.81</v>
      </c>
      <c r="J267" s="2" t="str">
        <f>IF(Raw_Data!I267="", "", IF(ISNUMBER(FIND("@", Raw_Data!I267)), Raw_Data!I267, "Review"))</f>
        <v>heidi.johnson@example.com</v>
      </c>
      <c r="K267" s="5" t="str">
        <f>IFERROR(TEXT(ABS(Raw_Data!J267), "0"), "Review")</f>
        <v>3402665022</v>
      </c>
      <c r="L267" s="2" t="str">
        <f>IFERROR(TRIM(Raw_Data!K267), "Review")</f>
        <v>Good</v>
      </c>
      <c r="M267" s="2" t="b">
        <f>IF(Raw_Data!L267="", "",
    IF(ISLOGICAL(Raw_Data!L267), Raw_Data!L267,
        IF(OR(UPPER(Raw_Data!L267)="TRUE", UPPER(Raw_Data!L267)="YES", UPPER(Raw_Data!L267)="1"), TRUE,
            IF(OR(UPPER(Raw_Data!L267)="FALSE", UPPER(Raw_Data!L267)="NO", UPPER(Raw_Data!L267)="0"), FALSE, "Review")
        )
    )
)</f>
        <v>1</v>
      </c>
    </row>
    <row r="268" spans="1:13" x14ac:dyDescent="0.4">
      <c r="A268" s="2" t="str">
        <f>IFERROR(TRIM(Raw_Data!A268), "Review")</f>
        <v>EMP1266</v>
      </c>
      <c r="B268" s="2" t="str">
        <f>IFERROR(TRIM(Raw_Data!B268), "Review")</f>
        <v>Grace</v>
      </c>
      <c r="C268" s="2" t="str">
        <f>IFERROR(TRIM(Raw_Data!C268), "Review")</f>
        <v>Brown</v>
      </c>
      <c r="D268" s="2" t="str">
        <f>IF(Raw_Data!D268="", "", IFERROR(VALUE(Raw_Data!D268), ""))</f>
        <v/>
      </c>
      <c r="E268" s="2" t="str">
        <f>IFERROR(LEFT(Raw_Data!E268,SEARCH("-",Raw_Data!E268)-1),"Review")</f>
        <v>DevOps</v>
      </c>
      <c r="F268" s="2" t="str">
        <f>IFERROR(_xlfn.TEXTAFTER(Raw_Data!E268,"-"),"Review")</f>
        <v>California</v>
      </c>
      <c r="G268" s="2" t="str">
        <f>IFERROR(TRIM(Raw_Data!F268), "Review")</f>
        <v>Pending</v>
      </c>
      <c r="H268" s="3" t="str">
        <f>IFERROR(TEXT(Raw_Data!G268, "YYYY-MM-DD"),"Review")</f>
        <v>2021-11-19</v>
      </c>
      <c r="I268" s="4">
        <f>IF(Raw_Data!H268="", "", IFERROR(VALUE(Raw_Data!H268), ""))</f>
        <v>85512.05</v>
      </c>
      <c r="J268" s="2" t="str">
        <f>IF(Raw_Data!I268="", "", IF(ISNUMBER(FIND("@", Raw_Data!I268)), Raw_Data!I268, "Review"))</f>
        <v>grace.brown@example.com</v>
      </c>
      <c r="K268" s="5" t="str">
        <f>IFERROR(TEXT(ABS(Raw_Data!J268), "0"), "Review")</f>
        <v>7416787255</v>
      </c>
      <c r="L268" s="2" t="str">
        <f>IFERROR(TRIM(Raw_Data!K268), "Review")</f>
        <v>Good</v>
      </c>
      <c r="M268" s="2" t="b">
        <f>IF(Raw_Data!L268="", "",
    IF(ISLOGICAL(Raw_Data!L268), Raw_Data!L268,
        IF(OR(UPPER(Raw_Data!L268)="TRUE", UPPER(Raw_Data!L268)="YES", UPPER(Raw_Data!L268)="1"), TRUE,
            IF(OR(UPPER(Raw_Data!L268)="FALSE", UPPER(Raw_Data!L268)="NO", UPPER(Raw_Data!L268)="0"), FALSE, "Review")
        )
    )
)</f>
        <v>0</v>
      </c>
    </row>
    <row r="269" spans="1:13" x14ac:dyDescent="0.4">
      <c r="A269" s="2" t="str">
        <f>IFERROR(TRIM(Raw_Data!A269), "Review")</f>
        <v>EMP1267</v>
      </c>
      <c r="B269" s="2" t="str">
        <f>IFERROR(TRIM(Raw_Data!B269), "Review")</f>
        <v>Heidi</v>
      </c>
      <c r="C269" s="2" t="str">
        <f>IFERROR(TRIM(Raw_Data!C269), "Review")</f>
        <v>Garcia</v>
      </c>
      <c r="D269" s="2" t="str">
        <f>IF(Raw_Data!D269="", "", IFERROR(VALUE(Raw_Data!D269), ""))</f>
        <v/>
      </c>
      <c r="E269" s="2" t="str">
        <f>IFERROR(LEFT(Raw_Data!E269,SEARCH("-",Raw_Data!E269)-1),"Review")</f>
        <v>HR</v>
      </c>
      <c r="F269" s="2" t="str">
        <f>IFERROR(_xlfn.TEXTAFTER(Raw_Data!E269,"-"),"Review")</f>
        <v>Florida</v>
      </c>
      <c r="G269" s="2" t="str">
        <f>IFERROR(TRIM(Raw_Data!F269), "Review")</f>
        <v>Active</v>
      </c>
      <c r="H269" s="3" t="str">
        <f>IFERROR(TEXT(Raw_Data!G269, "YYYY-MM-DD"),"Review")</f>
        <v>2022-01-24</v>
      </c>
      <c r="I269" s="4">
        <f>IF(Raw_Data!H269="", "", IFERROR(VALUE(Raw_Data!H269), ""))</f>
        <v>73186.77</v>
      </c>
      <c r="J269" s="2" t="str">
        <f>IF(Raw_Data!I269="", "", IF(ISNUMBER(FIND("@", Raw_Data!I269)), Raw_Data!I269, "Review"))</f>
        <v>heidi.garcia@example.com</v>
      </c>
      <c r="K269" s="5" t="str">
        <f>IFERROR(TEXT(ABS(Raw_Data!J269), "0"), "Review")</f>
        <v>8621102257</v>
      </c>
      <c r="L269" s="2" t="str">
        <f>IFERROR(TRIM(Raw_Data!K269), "Review")</f>
        <v>Good</v>
      </c>
      <c r="M269" s="2" t="b">
        <f>IF(Raw_Data!L269="", "",
    IF(ISLOGICAL(Raw_Data!L269), Raw_Data!L269,
        IF(OR(UPPER(Raw_Data!L269)="TRUE", UPPER(Raw_Data!L269)="YES", UPPER(Raw_Data!L269)="1"), TRUE,
            IF(OR(UPPER(Raw_Data!L269)="FALSE", UPPER(Raw_Data!L269)="NO", UPPER(Raw_Data!L269)="0"), FALSE, "Review")
        )
    )
)</f>
        <v>0</v>
      </c>
    </row>
    <row r="270" spans="1:13" x14ac:dyDescent="0.4">
      <c r="A270" s="2" t="str">
        <f>IFERROR(TRIM(Raw_Data!A270), "Review")</f>
        <v>EMP1268</v>
      </c>
      <c r="B270" s="2" t="str">
        <f>IFERROR(TRIM(Raw_Data!B270), "Review")</f>
        <v>Grace</v>
      </c>
      <c r="C270" s="2" t="str">
        <f>IFERROR(TRIM(Raw_Data!C270), "Review")</f>
        <v>Davis</v>
      </c>
      <c r="D270" s="2" t="str">
        <f>IF(Raw_Data!D270="", "", IFERROR(VALUE(Raw_Data!D270), ""))</f>
        <v/>
      </c>
      <c r="E270" s="2" t="str">
        <f>IFERROR(LEFT(Raw_Data!E270,SEARCH("-",Raw_Data!E270)-1),"Review")</f>
        <v>HR</v>
      </c>
      <c r="F270" s="2" t="str">
        <f>IFERROR(_xlfn.TEXTAFTER(Raw_Data!E270,"-"),"Review")</f>
        <v>Nevada</v>
      </c>
      <c r="G270" s="2" t="str">
        <f>IFERROR(TRIM(Raw_Data!F270), "Review")</f>
        <v>Pending</v>
      </c>
      <c r="H270" s="3" t="str">
        <f>IFERROR(TEXT(Raw_Data!G270, "YYYY-MM-DD"),"Review")</f>
        <v>2023-07-12</v>
      </c>
      <c r="I270" s="4">
        <f>IF(Raw_Data!H270="", "", IFERROR(VALUE(Raw_Data!H270), ""))</f>
        <v>51865.3</v>
      </c>
      <c r="J270" s="2" t="str">
        <f>IF(Raw_Data!I270="", "", IF(ISNUMBER(FIND("@", Raw_Data!I270)), Raw_Data!I270, "Review"))</f>
        <v>grace.davis@example.com</v>
      </c>
      <c r="K270" s="5" t="str">
        <f>IFERROR(TEXT(ABS(Raw_Data!J270), "0"), "Review")</f>
        <v>305690673</v>
      </c>
      <c r="L270" s="2" t="str">
        <f>IFERROR(TRIM(Raw_Data!K270), "Review")</f>
        <v>Poor</v>
      </c>
      <c r="M270" s="2" t="b">
        <f>IF(Raw_Data!L270="", "",
    IF(ISLOGICAL(Raw_Data!L270), Raw_Data!L270,
        IF(OR(UPPER(Raw_Data!L270)="TRUE", UPPER(Raw_Data!L270)="YES", UPPER(Raw_Data!L270)="1"), TRUE,
            IF(OR(UPPER(Raw_Data!L270)="FALSE", UPPER(Raw_Data!L270)="NO", UPPER(Raw_Data!L270)="0"), FALSE, "Review")
        )
    )
)</f>
        <v>1</v>
      </c>
    </row>
    <row r="271" spans="1:13" x14ac:dyDescent="0.4">
      <c r="A271" s="2" t="str">
        <f>IFERROR(TRIM(Raw_Data!A271), "Review")</f>
        <v>EMP1269</v>
      </c>
      <c r="B271" s="2" t="str">
        <f>IFERROR(TRIM(Raw_Data!B271), "Review")</f>
        <v>David</v>
      </c>
      <c r="C271" s="2" t="str">
        <f>IFERROR(TRIM(Raw_Data!C271), "Review")</f>
        <v>Williams</v>
      </c>
      <c r="D271" s="2">
        <f>IF(Raw_Data!D271="", "", IFERROR(VALUE(Raw_Data!D271), ""))</f>
        <v>25</v>
      </c>
      <c r="E271" s="2" t="str">
        <f>IFERROR(LEFT(Raw_Data!E271,SEARCH("-",Raw_Data!E271)-1),"Review")</f>
        <v>Sales</v>
      </c>
      <c r="F271" s="2" t="str">
        <f>IFERROR(_xlfn.TEXTAFTER(Raw_Data!E271,"-"),"Review")</f>
        <v>Florida</v>
      </c>
      <c r="G271" s="2" t="str">
        <f>IFERROR(TRIM(Raw_Data!F271), "Review")</f>
        <v>Active</v>
      </c>
      <c r="H271" s="3" t="str">
        <f>IFERROR(TEXT(Raw_Data!G271, "YYYY-MM-DD"),"Review")</f>
        <v>2022-12-09</v>
      </c>
      <c r="I271" s="4">
        <f>IF(Raw_Data!H271="", "", IFERROR(VALUE(Raw_Data!H271), ""))</f>
        <v>94031.77</v>
      </c>
      <c r="J271" s="2" t="str">
        <f>IF(Raw_Data!I271="", "", IF(ISNUMBER(FIND("@", Raw_Data!I271)), Raw_Data!I271, "Review"))</f>
        <v>david.williams@example.com</v>
      </c>
      <c r="K271" s="5" t="str">
        <f>IFERROR(TEXT(ABS(Raw_Data!J271), "0"), "Review")</f>
        <v>4716392822</v>
      </c>
      <c r="L271" s="2" t="str">
        <f>IFERROR(TRIM(Raw_Data!K271), "Review")</f>
        <v>Excellent</v>
      </c>
      <c r="M271" s="2" t="b">
        <f>IF(Raw_Data!L271="", "",
    IF(ISLOGICAL(Raw_Data!L271), Raw_Data!L271,
        IF(OR(UPPER(Raw_Data!L271)="TRUE", UPPER(Raw_Data!L271)="YES", UPPER(Raw_Data!L271)="1"), TRUE,
            IF(OR(UPPER(Raw_Data!L271)="FALSE", UPPER(Raw_Data!L271)="NO", UPPER(Raw_Data!L271)="0"), FALSE, "Review")
        )
    )
)</f>
        <v>1</v>
      </c>
    </row>
    <row r="272" spans="1:13" x14ac:dyDescent="0.4">
      <c r="A272" s="2" t="str">
        <f>IFERROR(TRIM(Raw_Data!A272), "Review")</f>
        <v>EMP1270</v>
      </c>
      <c r="B272" s="2" t="str">
        <f>IFERROR(TRIM(Raw_Data!B272), "Review")</f>
        <v>Grace</v>
      </c>
      <c r="C272" s="2" t="str">
        <f>IFERROR(TRIM(Raw_Data!C272), "Review")</f>
        <v>Miller</v>
      </c>
      <c r="D272" s="2">
        <f>IF(Raw_Data!D272="", "", IFERROR(VALUE(Raw_Data!D272), ""))</f>
        <v>30</v>
      </c>
      <c r="E272" s="2" t="str">
        <f>IFERROR(LEFT(Raw_Data!E272,SEARCH("-",Raw_Data!E272)-1),"Review")</f>
        <v>DevOps</v>
      </c>
      <c r="F272" s="2" t="str">
        <f>IFERROR(_xlfn.TEXTAFTER(Raw_Data!E272,"-"),"Review")</f>
        <v>New York</v>
      </c>
      <c r="G272" s="2" t="str">
        <f>IFERROR(TRIM(Raw_Data!F272), "Review")</f>
        <v>Active</v>
      </c>
      <c r="H272" s="3" t="str">
        <f>IFERROR(TEXT(Raw_Data!G272, "YYYY-MM-DD"),"Review")</f>
        <v>2023-03-18</v>
      </c>
      <c r="I272" s="4">
        <f>IF(Raw_Data!H272="", "", IFERROR(VALUE(Raw_Data!H272), ""))</f>
        <v>116374.36</v>
      </c>
      <c r="J272" s="2" t="str">
        <f>IF(Raw_Data!I272="", "", IF(ISNUMBER(FIND("@", Raw_Data!I272)), Raw_Data!I272, "Review"))</f>
        <v>grace.miller@example.com</v>
      </c>
      <c r="K272" s="5" t="str">
        <f>IFERROR(TEXT(ABS(Raw_Data!J272), "0"), "Review")</f>
        <v>4143637188</v>
      </c>
      <c r="L272" s="2" t="str">
        <f>IFERROR(TRIM(Raw_Data!K272), "Review")</f>
        <v>Excellent</v>
      </c>
      <c r="M272" s="2" t="b">
        <f>IF(Raw_Data!L272="", "",
    IF(ISLOGICAL(Raw_Data!L272), Raw_Data!L272,
        IF(OR(UPPER(Raw_Data!L272)="TRUE", UPPER(Raw_Data!L272)="YES", UPPER(Raw_Data!L272)="1"), TRUE,
            IF(OR(UPPER(Raw_Data!L272)="FALSE", UPPER(Raw_Data!L272)="NO", UPPER(Raw_Data!L272)="0"), FALSE, "Review")
        )
    )
)</f>
        <v>0</v>
      </c>
    </row>
    <row r="273" spans="1:13" x14ac:dyDescent="0.4">
      <c r="A273" s="2" t="str">
        <f>IFERROR(TRIM(Raw_Data!A273), "Review")</f>
        <v>EMP1271</v>
      </c>
      <c r="B273" s="2" t="str">
        <f>IFERROR(TRIM(Raw_Data!B273), "Review")</f>
        <v>Alice</v>
      </c>
      <c r="C273" s="2" t="str">
        <f>IFERROR(TRIM(Raw_Data!C273), "Review")</f>
        <v>Garcia</v>
      </c>
      <c r="D273" s="2">
        <f>IF(Raw_Data!D273="", "", IFERROR(VALUE(Raw_Data!D273), ""))</f>
        <v>40</v>
      </c>
      <c r="E273" s="2" t="str">
        <f>IFERROR(LEFT(Raw_Data!E273,SEARCH("-",Raw_Data!E273)-1),"Review")</f>
        <v>HR</v>
      </c>
      <c r="F273" s="2" t="str">
        <f>IFERROR(_xlfn.TEXTAFTER(Raw_Data!E273,"-"),"Review")</f>
        <v>Florida</v>
      </c>
      <c r="G273" s="2" t="str">
        <f>IFERROR(TRIM(Raw_Data!F273), "Review")</f>
        <v>Active</v>
      </c>
      <c r="H273" s="3" t="str">
        <f>IFERROR(TEXT(Raw_Data!G273, "YYYY-MM-DD"),"Review")</f>
        <v>2022-04-25</v>
      </c>
      <c r="I273" s="4">
        <f>IF(Raw_Data!H273="", "", IFERROR(VALUE(Raw_Data!H273), ""))</f>
        <v>98335.02</v>
      </c>
      <c r="J273" s="2" t="str">
        <f>IF(Raw_Data!I273="", "", IF(ISNUMBER(FIND("@", Raw_Data!I273)), Raw_Data!I273, "Review"))</f>
        <v>alice.garcia@example.com</v>
      </c>
      <c r="K273" s="5" t="str">
        <f>IFERROR(TEXT(ABS(Raw_Data!J273), "0"), "Review")</f>
        <v>2392312603</v>
      </c>
      <c r="L273" s="2" t="str">
        <f>IFERROR(TRIM(Raw_Data!K273), "Review")</f>
        <v>Excellent</v>
      </c>
      <c r="M273" s="2" t="b">
        <f>IF(Raw_Data!L273="", "",
    IF(ISLOGICAL(Raw_Data!L273), Raw_Data!L273,
        IF(OR(UPPER(Raw_Data!L273)="TRUE", UPPER(Raw_Data!L273)="YES", UPPER(Raw_Data!L273)="1"), TRUE,
            IF(OR(UPPER(Raw_Data!L273)="FALSE", UPPER(Raw_Data!L273)="NO", UPPER(Raw_Data!L273)="0"), FALSE, "Review")
        )
    )
)</f>
        <v>0</v>
      </c>
    </row>
    <row r="274" spans="1:13" x14ac:dyDescent="0.4">
      <c r="A274" s="2" t="str">
        <f>IFERROR(TRIM(Raw_Data!A274), "Review")</f>
        <v>EMP1272</v>
      </c>
      <c r="B274" s="2" t="str">
        <f>IFERROR(TRIM(Raw_Data!B274), "Review")</f>
        <v>Heidi</v>
      </c>
      <c r="C274" s="2" t="str">
        <f>IFERROR(TRIM(Raw_Data!C274), "Review")</f>
        <v>Garcia</v>
      </c>
      <c r="D274" s="2">
        <f>IF(Raw_Data!D274="", "", IFERROR(VALUE(Raw_Data!D274), ""))</f>
        <v>25</v>
      </c>
      <c r="E274" s="2" t="str">
        <f>IFERROR(LEFT(Raw_Data!E274,SEARCH("-",Raw_Data!E274)-1),"Review")</f>
        <v>DevOps</v>
      </c>
      <c r="F274" s="2" t="str">
        <f>IFERROR(_xlfn.TEXTAFTER(Raw_Data!E274,"-"),"Review")</f>
        <v>New York</v>
      </c>
      <c r="G274" s="2" t="str">
        <f>IFERROR(TRIM(Raw_Data!F274), "Review")</f>
        <v>Pending</v>
      </c>
      <c r="H274" s="3" t="str">
        <f>IFERROR(TEXT(Raw_Data!G274, "YYYY-MM-DD"),"Review")</f>
        <v>2021-02-28</v>
      </c>
      <c r="I274" s="4">
        <f>IF(Raw_Data!H274="", "", IFERROR(VALUE(Raw_Data!H274), ""))</f>
        <v>89262.07</v>
      </c>
      <c r="J274" s="2" t="str">
        <f>IF(Raw_Data!I274="", "", IF(ISNUMBER(FIND("@", Raw_Data!I274)), Raw_Data!I274, "Review"))</f>
        <v>heidi.garcia@example.com</v>
      </c>
      <c r="K274" s="5" t="str">
        <f>IFERROR(TEXT(ABS(Raw_Data!J274), "0"), "Review")</f>
        <v>3260931065</v>
      </c>
      <c r="L274" s="2" t="str">
        <f>IFERROR(TRIM(Raw_Data!K274), "Review")</f>
        <v>Poor</v>
      </c>
      <c r="M274" s="2" t="b">
        <f>IF(Raw_Data!L274="", "",
    IF(ISLOGICAL(Raw_Data!L274), Raw_Data!L274,
        IF(OR(UPPER(Raw_Data!L274)="TRUE", UPPER(Raw_Data!L274)="YES", UPPER(Raw_Data!L274)="1"), TRUE,
            IF(OR(UPPER(Raw_Data!L274)="FALSE", UPPER(Raw_Data!L274)="NO", UPPER(Raw_Data!L274)="0"), FALSE, "Review")
        )
    )
)</f>
        <v>1</v>
      </c>
    </row>
    <row r="275" spans="1:13" x14ac:dyDescent="0.4">
      <c r="A275" s="2" t="str">
        <f>IFERROR(TRIM(Raw_Data!A275), "Review")</f>
        <v>EMP1273</v>
      </c>
      <c r="B275" s="2" t="str">
        <f>IFERROR(TRIM(Raw_Data!B275), "Review")</f>
        <v>Heidi</v>
      </c>
      <c r="C275" s="2" t="str">
        <f>IFERROR(TRIM(Raw_Data!C275), "Review")</f>
        <v>Garcia</v>
      </c>
      <c r="D275" s="2" t="str">
        <f>IF(Raw_Data!D275="", "", IFERROR(VALUE(Raw_Data!D275), ""))</f>
        <v/>
      </c>
      <c r="E275" s="2" t="str">
        <f>IFERROR(LEFT(Raw_Data!E275,SEARCH("-",Raw_Data!E275)-1),"Review")</f>
        <v>Finance</v>
      </c>
      <c r="F275" s="2" t="str">
        <f>IFERROR(_xlfn.TEXTAFTER(Raw_Data!E275,"-"),"Review")</f>
        <v>California</v>
      </c>
      <c r="G275" s="2" t="str">
        <f>IFERROR(TRIM(Raw_Data!F275), "Review")</f>
        <v>Active</v>
      </c>
      <c r="H275" s="3" t="str">
        <f>IFERROR(TEXT(Raw_Data!G275, "YYYY-MM-DD"),"Review")</f>
        <v>2022-07-30</v>
      </c>
      <c r="I275" s="4">
        <f>IF(Raw_Data!H275="", "", IFERROR(VALUE(Raw_Data!H275), ""))</f>
        <v>113848.69</v>
      </c>
      <c r="J275" s="2" t="str">
        <f>IF(Raw_Data!I275="", "", IF(ISNUMBER(FIND("@", Raw_Data!I275)), Raw_Data!I275, "Review"))</f>
        <v>heidi.garcia@example.com</v>
      </c>
      <c r="K275" s="5" t="str">
        <f>IFERROR(TEXT(ABS(Raw_Data!J275), "0"), "Review")</f>
        <v>8433567085</v>
      </c>
      <c r="L275" s="2" t="str">
        <f>IFERROR(TRIM(Raw_Data!K275), "Review")</f>
        <v>Excellent</v>
      </c>
      <c r="M275" s="2" t="b">
        <f>IF(Raw_Data!L275="", "",
    IF(ISLOGICAL(Raw_Data!L275), Raw_Data!L275,
        IF(OR(UPPER(Raw_Data!L275)="TRUE", UPPER(Raw_Data!L275)="YES", UPPER(Raw_Data!L275)="1"), TRUE,
            IF(OR(UPPER(Raw_Data!L275)="FALSE", UPPER(Raw_Data!L275)="NO", UPPER(Raw_Data!L275)="0"), FALSE, "Review")
        )
    )
)</f>
        <v>1</v>
      </c>
    </row>
    <row r="276" spans="1:13" x14ac:dyDescent="0.4">
      <c r="A276" s="2" t="str">
        <f>IFERROR(TRIM(Raw_Data!A276), "Review")</f>
        <v>EMP1274</v>
      </c>
      <c r="B276" s="2" t="str">
        <f>IFERROR(TRIM(Raw_Data!B276), "Review")</f>
        <v>Frank</v>
      </c>
      <c r="C276" s="2" t="str">
        <f>IFERROR(TRIM(Raw_Data!C276), "Review")</f>
        <v>Smith</v>
      </c>
      <c r="D276" s="2">
        <f>IF(Raw_Data!D276="", "", IFERROR(VALUE(Raw_Data!D276), ""))</f>
        <v>35</v>
      </c>
      <c r="E276" s="2" t="str">
        <f>IFERROR(LEFT(Raw_Data!E276,SEARCH("-",Raw_Data!E276)-1),"Review")</f>
        <v>Sales</v>
      </c>
      <c r="F276" s="2" t="str">
        <f>IFERROR(_xlfn.TEXTAFTER(Raw_Data!E276,"-"),"Review")</f>
        <v>Florida</v>
      </c>
      <c r="G276" s="2" t="str">
        <f>IFERROR(TRIM(Raw_Data!F276), "Review")</f>
        <v>Active</v>
      </c>
      <c r="H276" s="3" t="str">
        <f>IFERROR(TEXT(Raw_Data!G276, "YYYY-MM-DD"),"Review")</f>
        <v>2021-05-19</v>
      </c>
      <c r="I276" s="4">
        <f>IF(Raw_Data!H276="", "", IFERROR(VALUE(Raw_Data!H276), ""))</f>
        <v>69530.45</v>
      </c>
      <c r="J276" s="2" t="str">
        <f>IF(Raw_Data!I276="", "", IF(ISNUMBER(FIND("@", Raw_Data!I276)), Raw_Data!I276, "Review"))</f>
        <v>frank.smith@example.com</v>
      </c>
      <c r="K276" s="5" t="str">
        <f>IFERROR(TEXT(ABS(Raw_Data!J276), "0"), "Review")</f>
        <v>414545634</v>
      </c>
      <c r="L276" s="2" t="str">
        <f>IFERROR(TRIM(Raw_Data!K276), "Review")</f>
        <v>Poor</v>
      </c>
      <c r="M276" s="2" t="b">
        <f>IF(Raw_Data!L276="", "",
    IF(ISLOGICAL(Raw_Data!L276), Raw_Data!L276,
        IF(OR(UPPER(Raw_Data!L276)="TRUE", UPPER(Raw_Data!L276)="YES", UPPER(Raw_Data!L276)="1"), TRUE,
            IF(OR(UPPER(Raw_Data!L276)="FALSE", UPPER(Raw_Data!L276)="NO", UPPER(Raw_Data!L276)="0"), FALSE, "Review")
        )
    )
)</f>
        <v>1</v>
      </c>
    </row>
    <row r="277" spans="1:13" x14ac:dyDescent="0.4">
      <c r="A277" s="2" t="str">
        <f>IFERROR(TRIM(Raw_Data!A277), "Review")</f>
        <v>EMP1275</v>
      </c>
      <c r="B277" s="2" t="str">
        <f>IFERROR(TRIM(Raw_Data!B277), "Review")</f>
        <v>Eva</v>
      </c>
      <c r="C277" s="2" t="str">
        <f>IFERROR(TRIM(Raw_Data!C277), "Review")</f>
        <v>Brown</v>
      </c>
      <c r="D277" s="2">
        <f>IF(Raw_Data!D277="", "", IFERROR(VALUE(Raw_Data!D277), ""))</f>
        <v>35</v>
      </c>
      <c r="E277" s="2" t="str">
        <f>IFERROR(LEFT(Raw_Data!E277,SEARCH("-",Raw_Data!E277)-1),"Review")</f>
        <v>DevOps</v>
      </c>
      <c r="F277" s="2" t="str">
        <f>IFERROR(_xlfn.TEXTAFTER(Raw_Data!E277,"-"),"Review")</f>
        <v>New York</v>
      </c>
      <c r="G277" s="2" t="str">
        <f>IFERROR(TRIM(Raw_Data!F277), "Review")</f>
        <v>Pending</v>
      </c>
      <c r="H277" s="3" t="str">
        <f>IFERROR(TEXT(Raw_Data!G277, "YYYY-MM-DD"),"Review")</f>
        <v>2023-12-14</v>
      </c>
      <c r="I277" s="4">
        <f>IF(Raw_Data!H277="", "", IFERROR(VALUE(Raw_Data!H277), ""))</f>
        <v>84230.22</v>
      </c>
      <c r="J277" s="2" t="str">
        <f>IF(Raw_Data!I277="", "", IF(ISNUMBER(FIND("@", Raw_Data!I277)), Raw_Data!I277, "Review"))</f>
        <v>eva.brown@example.com</v>
      </c>
      <c r="K277" s="5" t="str">
        <f>IFERROR(TEXT(ABS(Raw_Data!J277), "0"), "Review")</f>
        <v>200053473</v>
      </c>
      <c r="L277" s="2" t="str">
        <f>IFERROR(TRIM(Raw_Data!K277), "Review")</f>
        <v>Good</v>
      </c>
      <c r="M277" s="2" t="b">
        <f>IF(Raw_Data!L277="", "",
    IF(ISLOGICAL(Raw_Data!L277), Raw_Data!L277,
        IF(OR(UPPER(Raw_Data!L277)="TRUE", UPPER(Raw_Data!L277)="YES", UPPER(Raw_Data!L277)="1"), TRUE,
            IF(OR(UPPER(Raw_Data!L277)="FALSE", UPPER(Raw_Data!L277)="NO", UPPER(Raw_Data!L277)="0"), FALSE, "Review")
        )
    )
)</f>
        <v>1</v>
      </c>
    </row>
    <row r="278" spans="1:13" x14ac:dyDescent="0.4">
      <c r="A278" s="2" t="str">
        <f>IFERROR(TRIM(Raw_Data!A278), "Review")</f>
        <v>EMP1276</v>
      </c>
      <c r="B278" s="2" t="str">
        <f>IFERROR(TRIM(Raw_Data!B278), "Review")</f>
        <v>Eva</v>
      </c>
      <c r="C278" s="2" t="str">
        <f>IFERROR(TRIM(Raw_Data!C278), "Review")</f>
        <v>Smith</v>
      </c>
      <c r="D278" s="2">
        <f>IF(Raw_Data!D278="", "", IFERROR(VALUE(Raw_Data!D278), ""))</f>
        <v>35</v>
      </c>
      <c r="E278" s="2" t="str">
        <f>IFERROR(LEFT(Raw_Data!E278,SEARCH("-",Raw_Data!E278)-1),"Review")</f>
        <v>Cloud Tech</v>
      </c>
      <c r="F278" s="2" t="str">
        <f>IFERROR(_xlfn.TEXTAFTER(Raw_Data!E278,"-"),"Review")</f>
        <v>Illinois</v>
      </c>
      <c r="G278" s="2" t="str">
        <f>IFERROR(TRIM(Raw_Data!F278), "Review")</f>
        <v>Pending</v>
      </c>
      <c r="H278" s="3" t="str">
        <f>IFERROR(TEXT(Raw_Data!G278, "YYYY-MM-DD"),"Review")</f>
        <v>2023-01-17</v>
      </c>
      <c r="I278" s="4">
        <f>IF(Raw_Data!H278="", "", IFERROR(VALUE(Raw_Data!H278), ""))</f>
        <v>76578.59</v>
      </c>
      <c r="J278" s="2" t="str">
        <f>IF(Raw_Data!I278="", "", IF(ISNUMBER(FIND("@", Raw_Data!I278)), Raw_Data!I278, "Review"))</f>
        <v>eva.smith@example.com</v>
      </c>
      <c r="K278" s="5" t="str">
        <f>IFERROR(TEXT(ABS(Raw_Data!J278), "0"), "Review")</f>
        <v>9162475540</v>
      </c>
      <c r="L278" s="2" t="str">
        <f>IFERROR(TRIM(Raw_Data!K278), "Review")</f>
        <v>Average</v>
      </c>
      <c r="M278" s="2" t="b">
        <f>IF(Raw_Data!L278="", "",
    IF(ISLOGICAL(Raw_Data!L278), Raw_Data!L278,
        IF(OR(UPPER(Raw_Data!L278)="TRUE", UPPER(Raw_Data!L278)="YES", UPPER(Raw_Data!L278)="1"), TRUE,
            IF(OR(UPPER(Raw_Data!L278)="FALSE", UPPER(Raw_Data!L278)="NO", UPPER(Raw_Data!L278)="0"), FALSE, "Review")
        )
    )
)</f>
        <v>0</v>
      </c>
    </row>
    <row r="279" spans="1:13" x14ac:dyDescent="0.4">
      <c r="A279" s="2" t="str">
        <f>IFERROR(TRIM(Raw_Data!A279), "Review")</f>
        <v>EMP1277</v>
      </c>
      <c r="B279" s="2" t="str">
        <f>IFERROR(TRIM(Raw_Data!B279), "Review")</f>
        <v>Frank</v>
      </c>
      <c r="C279" s="2" t="str">
        <f>IFERROR(TRIM(Raw_Data!C279), "Review")</f>
        <v>Miller</v>
      </c>
      <c r="D279" s="2">
        <f>IF(Raw_Data!D279="", "", IFERROR(VALUE(Raw_Data!D279), ""))</f>
        <v>30</v>
      </c>
      <c r="E279" s="2" t="str">
        <f>IFERROR(LEFT(Raw_Data!E279,SEARCH("-",Raw_Data!E279)-1),"Review")</f>
        <v>HR</v>
      </c>
      <c r="F279" s="2" t="str">
        <f>IFERROR(_xlfn.TEXTAFTER(Raw_Data!E279,"-"),"Review")</f>
        <v>Texas</v>
      </c>
      <c r="G279" s="2" t="str">
        <f>IFERROR(TRIM(Raw_Data!F279), "Review")</f>
        <v>Inactive</v>
      </c>
      <c r="H279" s="3" t="str">
        <f>IFERROR(TEXT(Raw_Data!G279, "YYYY-MM-DD"),"Review")</f>
        <v>2024-01-02</v>
      </c>
      <c r="I279" s="4">
        <f>IF(Raw_Data!H279="", "", IFERROR(VALUE(Raw_Data!H279), ""))</f>
        <v>55532.06</v>
      </c>
      <c r="J279" s="2" t="str">
        <f>IF(Raw_Data!I279="", "", IF(ISNUMBER(FIND("@", Raw_Data!I279)), Raw_Data!I279, "Review"))</f>
        <v>frank.miller@example.com</v>
      </c>
      <c r="K279" s="5" t="str">
        <f>IFERROR(TEXT(ABS(Raw_Data!J279), "0"), "Review")</f>
        <v>1082555988</v>
      </c>
      <c r="L279" s="2" t="str">
        <f>IFERROR(TRIM(Raw_Data!K279), "Review")</f>
        <v>Excellent</v>
      </c>
      <c r="M279" s="2" t="b">
        <f>IF(Raw_Data!L279="", "",
    IF(ISLOGICAL(Raw_Data!L279), Raw_Data!L279,
        IF(OR(UPPER(Raw_Data!L279)="TRUE", UPPER(Raw_Data!L279)="YES", UPPER(Raw_Data!L279)="1"), TRUE,
            IF(OR(UPPER(Raw_Data!L279)="FALSE", UPPER(Raw_Data!L279)="NO", UPPER(Raw_Data!L279)="0"), FALSE, "Review")
        )
    )
)</f>
        <v>1</v>
      </c>
    </row>
    <row r="280" spans="1:13" x14ac:dyDescent="0.4">
      <c r="A280" s="2" t="str">
        <f>IFERROR(TRIM(Raw_Data!A280), "Review")</f>
        <v>EMP1278</v>
      </c>
      <c r="B280" s="2" t="str">
        <f>IFERROR(TRIM(Raw_Data!B280), "Review")</f>
        <v>Eva</v>
      </c>
      <c r="C280" s="2" t="str">
        <f>IFERROR(TRIM(Raw_Data!C280), "Review")</f>
        <v>Smith</v>
      </c>
      <c r="D280" s="2">
        <f>IF(Raw_Data!D280="", "", IFERROR(VALUE(Raw_Data!D280), ""))</f>
        <v>40</v>
      </c>
      <c r="E280" s="2" t="str">
        <f>IFERROR(LEFT(Raw_Data!E280,SEARCH("-",Raw_Data!E280)-1),"Review")</f>
        <v>Admin</v>
      </c>
      <c r="F280" s="2" t="str">
        <f>IFERROR(_xlfn.TEXTAFTER(Raw_Data!E280,"-"),"Review")</f>
        <v>New York</v>
      </c>
      <c r="G280" s="2" t="str">
        <f>IFERROR(TRIM(Raw_Data!F280), "Review")</f>
        <v>Pending</v>
      </c>
      <c r="H280" s="3" t="str">
        <f>IFERROR(TEXT(Raw_Data!G280, "YYYY-MM-DD"),"Review")</f>
        <v>2021-07-09</v>
      </c>
      <c r="I280" s="4">
        <f>IF(Raw_Data!H280="", "", IFERROR(VALUE(Raw_Data!H280), ""))</f>
        <v>115311.67999999999</v>
      </c>
      <c r="J280" s="2" t="str">
        <f>IF(Raw_Data!I280="", "", IF(ISNUMBER(FIND("@", Raw_Data!I280)), Raw_Data!I280, "Review"))</f>
        <v>eva.smith@example.com</v>
      </c>
      <c r="K280" s="5" t="str">
        <f>IFERROR(TEXT(ABS(Raw_Data!J280), "0"), "Review")</f>
        <v>5343961128</v>
      </c>
      <c r="L280" s="2" t="str">
        <f>IFERROR(TRIM(Raw_Data!K280), "Review")</f>
        <v>Excellent</v>
      </c>
      <c r="M280" s="2" t="b">
        <f>IF(Raw_Data!L280="", "",
    IF(ISLOGICAL(Raw_Data!L280), Raw_Data!L280,
        IF(OR(UPPER(Raw_Data!L280)="TRUE", UPPER(Raw_Data!L280)="YES", UPPER(Raw_Data!L280)="1"), TRUE,
            IF(OR(UPPER(Raw_Data!L280)="FALSE", UPPER(Raw_Data!L280)="NO", UPPER(Raw_Data!L280)="0"), FALSE, "Review")
        )
    )
)</f>
        <v>1</v>
      </c>
    </row>
    <row r="281" spans="1:13" x14ac:dyDescent="0.4">
      <c r="A281" s="2" t="str">
        <f>IFERROR(TRIM(Raw_Data!A281), "Review")</f>
        <v>EMP1279</v>
      </c>
      <c r="B281" s="2" t="str">
        <f>IFERROR(TRIM(Raw_Data!B281), "Review")</f>
        <v>Charlie</v>
      </c>
      <c r="C281" s="2" t="str">
        <f>IFERROR(TRIM(Raw_Data!C281), "Review")</f>
        <v>Johnson</v>
      </c>
      <c r="D281" s="2">
        <f>IF(Raw_Data!D281="", "", IFERROR(VALUE(Raw_Data!D281), ""))</f>
        <v>25</v>
      </c>
      <c r="E281" s="2" t="str">
        <f>IFERROR(LEFT(Raw_Data!E281,SEARCH("-",Raw_Data!E281)-1),"Review")</f>
        <v>Sales</v>
      </c>
      <c r="F281" s="2" t="str">
        <f>IFERROR(_xlfn.TEXTAFTER(Raw_Data!E281,"-"),"Review")</f>
        <v>Nevada</v>
      </c>
      <c r="G281" s="2" t="str">
        <f>IFERROR(TRIM(Raw_Data!F281), "Review")</f>
        <v>Pending</v>
      </c>
      <c r="H281" s="3" t="str">
        <f>IFERROR(TEXT(Raw_Data!G281, "YYYY-MM-DD"),"Review")</f>
        <v>2021-05-05</v>
      </c>
      <c r="I281" s="4">
        <f>IF(Raw_Data!H281="", "", IFERROR(VALUE(Raw_Data!H281), ""))</f>
        <v>66972.06</v>
      </c>
      <c r="J281" s="2" t="str">
        <f>IF(Raw_Data!I281="", "", IF(ISNUMBER(FIND("@", Raw_Data!I281)), Raw_Data!I281, "Review"))</f>
        <v>charlie.johnson@example.com</v>
      </c>
      <c r="K281" s="5" t="str">
        <f>IFERROR(TEXT(ABS(Raw_Data!J281), "0"), "Review")</f>
        <v>1093371188</v>
      </c>
      <c r="L281" s="2" t="str">
        <f>IFERROR(TRIM(Raw_Data!K281), "Review")</f>
        <v>Good</v>
      </c>
      <c r="M281" s="2" t="b">
        <f>IF(Raw_Data!L281="", "",
    IF(ISLOGICAL(Raw_Data!L281), Raw_Data!L281,
        IF(OR(UPPER(Raw_Data!L281)="TRUE", UPPER(Raw_Data!L281)="YES", UPPER(Raw_Data!L281)="1"), TRUE,
            IF(OR(UPPER(Raw_Data!L281)="FALSE", UPPER(Raw_Data!L281)="NO", UPPER(Raw_Data!L281)="0"), FALSE, "Review")
        )
    )
)</f>
        <v>1</v>
      </c>
    </row>
    <row r="282" spans="1:13" x14ac:dyDescent="0.4">
      <c r="A282" s="2" t="str">
        <f>IFERROR(TRIM(Raw_Data!A282), "Review")</f>
        <v>EMP1280</v>
      </c>
      <c r="B282" s="2" t="str">
        <f>IFERROR(TRIM(Raw_Data!B282), "Review")</f>
        <v>David</v>
      </c>
      <c r="C282" s="2" t="str">
        <f>IFERROR(TRIM(Raw_Data!C282), "Review")</f>
        <v>Brown</v>
      </c>
      <c r="D282" s="2">
        <f>IF(Raw_Data!D282="", "", IFERROR(VALUE(Raw_Data!D282), ""))</f>
        <v>30</v>
      </c>
      <c r="E282" s="2" t="str">
        <f>IFERROR(LEFT(Raw_Data!E282,SEARCH("-",Raw_Data!E282)-1),"Review")</f>
        <v>Cloud Tech</v>
      </c>
      <c r="F282" s="2" t="str">
        <f>IFERROR(_xlfn.TEXTAFTER(Raw_Data!E282,"-"),"Review")</f>
        <v>Texas</v>
      </c>
      <c r="G282" s="2" t="str">
        <f>IFERROR(TRIM(Raw_Data!F282), "Review")</f>
        <v>Inactive</v>
      </c>
      <c r="H282" s="3" t="str">
        <f>IFERROR(TEXT(Raw_Data!G282, "YYYY-MM-DD"),"Review")</f>
        <v>2021-11-07</v>
      </c>
      <c r="I282" s="4">
        <f>IF(Raw_Data!H282="", "", IFERROR(VALUE(Raw_Data!H282), ""))</f>
        <v>100215.06</v>
      </c>
      <c r="J282" s="2" t="str">
        <f>IF(Raw_Data!I282="", "", IF(ISNUMBER(FIND("@", Raw_Data!I282)), Raw_Data!I282, "Review"))</f>
        <v>david.brown@example.com</v>
      </c>
      <c r="K282" s="5" t="str">
        <f>IFERROR(TEXT(ABS(Raw_Data!J282), "0"), "Review")</f>
        <v>5473820235</v>
      </c>
      <c r="L282" s="2" t="str">
        <f>IFERROR(TRIM(Raw_Data!K282), "Review")</f>
        <v>Average</v>
      </c>
      <c r="M282" s="2" t="b">
        <f>IF(Raw_Data!L282="", "",
    IF(ISLOGICAL(Raw_Data!L282), Raw_Data!L282,
        IF(OR(UPPER(Raw_Data!L282)="TRUE", UPPER(Raw_Data!L282)="YES", UPPER(Raw_Data!L282)="1"), TRUE,
            IF(OR(UPPER(Raw_Data!L282)="FALSE", UPPER(Raw_Data!L282)="NO", UPPER(Raw_Data!L282)="0"), FALSE, "Review")
        )
    )
)</f>
        <v>1</v>
      </c>
    </row>
    <row r="283" spans="1:13" x14ac:dyDescent="0.4">
      <c r="A283" s="2" t="str">
        <f>IFERROR(TRIM(Raw_Data!A283), "Review")</f>
        <v>EMP1281</v>
      </c>
      <c r="B283" s="2" t="str">
        <f>IFERROR(TRIM(Raw_Data!B283), "Review")</f>
        <v>Charlie</v>
      </c>
      <c r="C283" s="2" t="str">
        <f>IFERROR(TRIM(Raw_Data!C283), "Review")</f>
        <v>Brown</v>
      </c>
      <c r="D283" s="2">
        <f>IF(Raw_Data!D283="", "", IFERROR(VALUE(Raw_Data!D283), ""))</f>
        <v>25</v>
      </c>
      <c r="E283" s="2" t="str">
        <f>IFERROR(LEFT(Raw_Data!E283,SEARCH("-",Raw_Data!E283)-1),"Review")</f>
        <v>Sales</v>
      </c>
      <c r="F283" s="2" t="str">
        <f>IFERROR(_xlfn.TEXTAFTER(Raw_Data!E283,"-"),"Review")</f>
        <v>New York</v>
      </c>
      <c r="G283" s="2" t="str">
        <f>IFERROR(TRIM(Raw_Data!F283), "Review")</f>
        <v>Inactive</v>
      </c>
      <c r="H283" s="3" t="str">
        <f>IFERROR(TEXT(Raw_Data!G283, "YYYY-MM-DD"),"Review")</f>
        <v>2023-08-30</v>
      </c>
      <c r="I283" s="4">
        <f>IF(Raw_Data!H283="", "", IFERROR(VALUE(Raw_Data!H283), ""))</f>
        <v>115452.25</v>
      </c>
      <c r="J283" s="2" t="str">
        <f>IF(Raw_Data!I283="", "", IF(ISNUMBER(FIND("@", Raw_Data!I283)), Raw_Data!I283, "Review"))</f>
        <v>charlie.brown@example.com</v>
      </c>
      <c r="K283" s="5" t="str">
        <f>IFERROR(TEXT(ABS(Raw_Data!J283), "0"), "Review")</f>
        <v>8485571616</v>
      </c>
      <c r="L283" s="2" t="str">
        <f>IFERROR(TRIM(Raw_Data!K283), "Review")</f>
        <v>Poor</v>
      </c>
      <c r="M283" s="2" t="b">
        <f>IF(Raw_Data!L283="", "",
    IF(ISLOGICAL(Raw_Data!L283), Raw_Data!L283,
        IF(OR(UPPER(Raw_Data!L283)="TRUE", UPPER(Raw_Data!L283)="YES", UPPER(Raw_Data!L283)="1"), TRUE,
            IF(OR(UPPER(Raw_Data!L283)="FALSE", UPPER(Raw_Data!L283)="NO", UPPER(Raw_Data!L283)="0"), FALSE, "Review")
        )
    )
)</f>
        <v>0</v>
      </c>
    </row>
    <row r="284" spans="1:13" x14ac:dyDescent="0.4">
      <c r="A284" s="2" t="str">
        <f>IFERROR(TRIM(Raw_Data!A284), "Review")</f>
        <v>EMP1282</v>
      </c>
      <c r="B284" s="2" t="str">
        <f>IFERROR(TRIM(Raw_Data!B284), "Review")</f>
        <v>Heidi</v>
      </c>
      <c r="C284" s="2" t="str">
        <f>IFERROR(TRIM(Raw_Data!C284), "Review")</f>
        <v>Miller</v>
      </c>
      <c r="D284" s="2">
        <f>IF(Raw_Data!D284="", "", IFERROR(VALUE(Raw_Data!D284), ""))</f>
        <v>30</v>
      </c>
      <c r="E284" s="2" t="str">
        <f>IFERROR(LEFT(Raw_Data!E284,SEARCH("-",Raw_Data!E284)-1),"Review")</f>
        <v>HR</v>
      </c>
      <c r="F284" s="2" t="str">
        <f>IFERROR(_xlfn.TEXTAFTER(Raw_Data!E284,"-"),"Review")</f>
        <v>California</v>
      </c>
      <c r="G284" s="2" t="str">
        <f>IFERROR(TRIM(Raw_Data!F284), "Review")</f>
        <v>Inactive</v>
      </c>
      <c r="H284" s="3" t="str">
        <f>IFERROR(TEXT(Raw_Data!G284, "YYYY-MM-DD"),"Review")</f>
        <v>2023-08-15</v>
      </c>
      <c r="I284" s="4">
        <f>IF(Raw_Data!H284="", "", IFERROR(VALUE(Raw_Data!H284), ""))</f>
        <v>54141.38</v>
      </c>
      <c r="J284" s="2" t="str">
        <f>IF(Raw_Data!I284="", "", IF(ISNUMBER(FIND("@", Raw_Data!I284)), Raw_Data!I284, "Review"))</f>
        <v>heidi.miller@example.com</v>
      </c>
      <c r="K284" s="5" t="str">
        <f>IFERROR(TEXT(ABS(Raw_Data!J284), "0"), "Review")</f>
        <v>6880294239</v>
      </c>
      <c r="L284" s="2" t="str">
        <f>IFERROR(TRIM(Raw_Data!K284), "Review")</f>
        <v>Average</v>
      </c>
      <c r="M284" s="2" t="b">
        <f>IF(Raw_Data!L284="", "",
    IF(ISLOGICAL(Raw_Data!L284), Raw_Data!L284,
        IF(OR(UPPER(Raw_Data!L284)="TRUE", UPPER(Raw_Data!L284)="YES", UPPER(Raw_Data!L284)="1"), TRUE,
            IF(OR(UPPER(Raw_Data!L284)="FALSE", UPPER(Raw_Data!L284)="NO", UPPER(Raw_Data!L284)="0"), FALSE, "Review")
        )
    )
)</f>
        <v>0</v>
      </c>
    </row>
    <row r="285" spans="1:13" x14ac:dyDescent="0.4">
      <c r="A285" s="2" t="str">
        <f>IFERROR(TRIM(Raw_Data!A285), "Review")</f>
        <v>EMP1283</v>
      </c>
      <c r="B285" s="2" t="str">
        <f>IFERROR(TRIM(Raw_Data!B285), "Review")</f>
        <v>David</v>
      </c>
      <c r="C285" s="2" t="str">
        <f>IFERROR(TRIM(Raw_Data!C285), "Review")</f>
        <v>Davis</v>
      </c>
      <c r="D285" s="2" t="str">
        <f>IF(Raw_Data!D285="", "", IFERROR(VALUE(Raw_Data!D285), ""))</f>
        <v/>
      </c>
      <c r="E285" s="2" t="str">
        <f>IFERROR(LEFT(Raw_Data!E285,SEARCH("-",Raw_Data!E285)-1),"Review")</f>
        <v>DevOps</v>
      </c>
      <c r="F285" s="2" t="str">
        <f>IFERROR(_xlfn.TEXTAFTER(Raw_Data!E285,"-"),"Review")</f>
        <v>Nevada</v>
      </c>
      <c r="G285" s="2" t="str">
        <f>IFERROR(TRIM(Raw_Data!F285), "Review")</f>
        <v>Active</v>
      </c>
      <c r="H285" s="3" t="str">
        <f>IFERROR(TEXT(Raw_Data!G285, "YYYY-MM-DD"),"Review")</f>
        <v>2020-12-24</v>
      </c>
      <c r="I285" s="4">
        <f>IF(Raw_Data!H285="", "", IFERROR(VALUE(Raw_Data!H285), ""))</f>
        <v>79251.95</v>
      </c>
      <c r="J285" s="2" t="str">
        <f>IF(Raw_Data!I285="", "", IF(ISNUMBER(FIND("@", Raw_Data!I285)), Raw_Data!I285, "Review"))</f>
        <v>david.davis@example.com</v>
      </c>
      <c r="K285" s="5" t="str">
        <f>IFERROR(TEXT(ABS(Raw_Data!J285), "0"), "Review")</f>
        <v>9036788126</v>
      </c>
      <c r="L285" s="2" t="str">
        <f>IFERROR(TRIM(Raw_Data!K285), "Review")</f>
        <v>Good</v>
      </c>
      <c r="M285" s="2" t="b">
        <f>IF(Raw_Data!L285="", "",
    IF(ISLOGICAL(Raw_Data!L285), Raw_Data!L285,
        IF(OR(UPPER(Raw_Data!L285)="TRUE", UPPER(Raw_Data!L285)="YES", UPPER(Raw_Data!L285)="1"), TRUE,
            IF(OR(UPPER(Raw_Data!L285)="FALSE", UPPER(Raw_Data!L285)="NO", UPPER(Raw_Data!L285)="0"), FALSE, "Review")
        )
    )
)</f>
        <v>0</v>
      </c>
    </row>
    <row r="286" spans="1:13" x14ac:dyDescent="0.4">
      <c r="A286" s="2" t="str">
        <f>IFERROR(TRIM(Raw_Data!A286), "Review")</f>
        <v>EMP1284</v>
      </c>
      <c r="B286" s="2" t="str">
        <f>IFERROR(TRIM(Raw_Data!B286), "Review")</f>
        <v>Alice</v>
      </c>
      <c r="C286" s="2" t="str">
        <f>IFERROR(TRIM(Raw_Data!C286), "Review")</f>
        <v>Johnson</v>
      </c>
      <c r="D286" s="2">
        <f>IF(Raw_Data!D286="", "", IFERROR(VALUE(Raw_Data!D286), ""))</f>
        <v>40</v>
      </c>
      <c r="E286" s="2" t="str">
        <f>IFERROR(LEFT(Raw_Data!E286,SEARCH("-",Raw_Data!E286)-1),"Review")</f>
        <v>Finance</v>
      </c>
      <c r="F286" s="2" t="str">
        <f>IFERROR(_xlfn.TEXTAFTER(Raw_Data!E286,"-"),"Review")</f>
        <v>New York</v>
      </c>
      <c r="G286" s="2" t="str">
        <f>IFERROR(TRIM(Raw_Data!F286), "Review")</f>
        <v>Pending</v>
      </c>
      <c r="H286" s="3" t="str">
        <f>IFERROR(TEXT(Raw_Data!G286, "YYYY-MM-DD"),"Review")</f>
        <v>2024-11-21</v>
      </c>
      <c r="I286" s="4">
        <f>IF(Raw_Data!H286="", "", IFERROR(VALUE(Raw_Data!H286), ""))</f>
        <v>114822.78</v>
      </c>
      <c r="J286" s="2" t="str">
        <f>IF(Raw_Data!I286="", "", IF(ISNUMBER(FIND("@", Raw_Data!I286)), Raw_Data!I286, "Review"))</f>
        <v>alice.johnson@example.com</v>
      </c>
      <c r="K286" s="5" t="str">
        <f>IFERROR(TEXT(ABS(Raw_Data!J286), "0"), "Review")</f>
        <v>8686694319</v>
      </c>
      <c r="L286" s="2" t="str">
        <f>IFERROR(TRIM(Raw_Data!K286), "Review")</f>
        <v>Good</v>
      </c>
      <c r="M286" s="2" t="b">
        <f>IF(Raw_Data!L286="", "",
    IF(ISLOGICAL(Raw_Data!L286), Raw_Data!L286,
        IF(OR(UPPER(Raw_Data!L286)="TRUE", UPPER(Raw_Data!L286)="YES", UPPER(Raw_Data!L286)="1"), TRUE,
            IF(OR(UPPER(Raw_Data!L286)="FALSE", UPPER(Raw_Data!L286)="NO", UPPER(Raw_Data!L286)="0"), FALSE, "Review")
        )
    )
)</f>
        <v>1</v>
      </c>
    </row>
    <row r="287" spans="1:13" x14ac:dyDescent="0.4">
      <c r="A287" s="2" t="str">
        <f>IFERROR(TRIM(Raw_Data!A287), "Review")</f>
        <v>EMP1285</v>
      </c>
      <c r="B287" s="2" t="str">
        <f>IFERROR(TRIM(Raw_Data!B287), "Review")</f>
        <v>Alice</v>
      </c>
      <c r="C287" s="2" t="str">
        <f>IFERROR(TRIM(Raw_Data!C287), "Review")</f>
        <v>Williams</v>
      </c>
      <c r="D287" s="2">
        <f>IF(Raw_Data!D287="", "", IFERROR(VALUE(Raw_Data!D287), ""))</f>
        <v>35</v>
      </c>
      <c r="E287" s="2" t="str">
        <f>IFERROR(LEFT(Raw_Data!E287,SEARCH("-",Raw_Data!E287)-1),"Review")</f>
        <v>Sales</v>
      </c>
      <c r="F287" s="2" t="str">
        <f>IFERROR(_xlfn.TEXTAFTER(Raw_Data!E287,"-"),"Review")</f>
        <v>Illinois</v>
      </c>
      <c r="G287" s="2" t="str">
        <f>IFERROR(TRIM(Raw_Data!F287), "Review")</f>
        <v>Active</v>
      </c>
      <c r="H287" s="3" t="str">
        <f>IFERROR(TEXT(Raw_Data!G287, "YYYY-MM-DD"),"Review")</f>
        <v>2021-11-17</v>
      </c>
      <c r="I287" s="4">
        <f>IF(Raw_Data!H287="", "", IFERROR(VALUE(Raw_Data!H287), ""))</f>
        <v>69919.320000000007</v>
      </c>
      <c r="J287" s="2" t="str">
        <f>IF(Raw_Data!I287="", "", IF(ISNUMBER(FIND("@", Raw_Data!I287)), Raw_Data!I287, "Review"))</f>
        <v>alice.williams@example.com</v>
      </c>
      <c r="K287" s="5" t="str">
        <f>IFERROR(TEXT(ABS(Raw_Data!J287), "0"), "Review")</f>
        <v>2939087883</v>
      </c>
      <c r="L287" s="2" t="str">
        <f>IFERROR(TRIM(Raw_Data!K287), "Review")</f>
        <v>Average</v>
      </c>
      <c r="M287" s="2" t="b">
        <f>IF(Raw_Data!L287="", "",
    IF(ISLOGICAL(Raw_Data!L287), Raw_Data!L287,
        IF(OR(UPPER(Raw_Data!L287)="TRUE", UPPER(Raw_Data!L287)="YES", UPPER(Raw_Data!L287)="1"), TRUE,
            IF(OR(UPPER(Raw_Data!L287)="FALSE", UPPER(Raw_Data!L287)="NO", UPPER(Raw_Data!L287)="0"), FALSE, "Review")
        )
    )
)</f>
        <v>1</v>
      </c>
    </row>
    <row r="288" spans="1:13" x14ac:dyDescent="0.4">
      <c r="A288" s="2" t="str">
        <f>IFERROR(TRIM(Raw_Data!A288), "Review")</f>
        <v>EMP1286</v>
      </c>
      <c r="B288" s="2" t="str">
        <f>IFERROR(TRIM(Raw_Data!B288), "Review")</f>
        <v>Heidi</v>
      </c>
      <c r="C288" s="2" t="str">
        <f>IFERROR(TRIM(Raw_Data!C288), "Review")</f>
        <v>Smith</v>
      </c>
      <c r="D288" s="2">
        <f>IF(Raw_Data!D288="", "", IFERROR(VALUE(Raw_Data!D288), ""))</f>
        <v>30</v>
      </c>
      <c r="E288" s="2" t="str">
        <f>IFERROR(LEFT(Raw_Data!E288,SEARCH("-",Raw_Data!E288)-1),"Review")</f>
        <v>Sales</v>
      </c>
      <c r="F288" s="2" t="str">
        <f>IFERROR(_xlfn.TEXTAFTER(Raw_Data!E288,"-"),"Review")</f>
        <v>Florida</v>
      </c>
      <c r="G288" s="2" t="str">
        <f>IFERROR(TRIM(Raw_Data!F288), "Review")</f>
        <v>Inactive</v>
      </c>
      <c r="H288" s="3" t="str">
        <f>IFERROR(TEXT(Raw_Data!G288, "YYYY-MM-DD"),"Review")</f>
        <v>2021-01-29</v>
      </c>
      <c r="I288" s="4">
        <f>IF(Raw_Data!H288="", "", IFERROR(VALUE(Raw_Data!H288), ""))</f>
        <v>106616.97</v>
      </c>
      <c r="J288" s="2" t="str">
        <f>IF(Raw_Data!I288="", "", IF(ISNUMBER(FIND("@", Raw_Data!I288)), Raw_Data!I288, "Review"))</f>
        <v>heidi.smith@example.com</v>
      </c>
      <c r="K288" s="5" t="str">
        <f>IFERROR(TEXT(ABS(Raw_Data!J288), "0"), "Review")</f>
        <v>4344812307</v>
      </c>
      <c r="L288" s="2" t="str">
        <f>IFERROR(TRIM(Raw_Data!K288), "Review")</f>
        <v>Poor</v>
      </c>
      <c r="M288" s="2" t="b">
        <f>IF(Raw_Data!L288="", "",
    IF(ISLOGICAL(Raw_Data!L288), Raw_Data!L288,
        IF(OR(UPPER(Raw_Data!L288)="TRUE", UPPER(Raw_Data!L288)="YES", UPPER(Raw_Data!L288)="1"), TRUE,
            IF(OR(UPPER(Raw_Data!L288)="FALSE", UPPER(Raw_Data!L288)="NO", UPPER(Raw_Data!L288)="0"), FALSE, "Review")
        )
    )
)</f>
        <v>0</v>
      </c>
    </row>
    <row r="289" spans="1:13" x14ac:dyDescent="0.4">
      <c r="A289" s="2" t="str">
        <f>IFERROR(TRIM(Raw_Data!A289), "Review")</f>
        <v>EMP1287</v>
      </c>
      <c r="B289" s="2" t="str">
        <f>IFERROR(TRIM(Raw_Data!B289), "Review")</f>
        <v>Heidi</v>
      </c>
      <c r="C289" s="2" t="str">
        <f>IFERROR(TRIM(Raw_Data!C289), "Review")</f>
        <v>Jones</v>
      </c>
      <c r="D289" s="2">
        <f>IF(Raw_Data!D289="", "", IFERROR(VALUE(Raw_Data!D289), ""))</f>
        <v>35</v>
      </c>
      <c r="E289" s="2" t="str">
        <f>IFERROR(LEFT(Raw_Data!E289,SEARCH("-",Raw_Data!E289)-1),"Review")</f>
        <v>DevOps</v>
      </c>
      <c r="F289" s="2" t="str">
        <f>IFERROR(_xlfn.TEXTAFTER(Raw_Data!E289,"-"),"Review")</f>
        <v>New York</v>
      </c>
      <c r="G289" s="2" t="str">
        <f>IFERROR(TRIM(Raw_Data!F289), "Review")</f>
        <v>Active</v>
      </c>
      <c r="H289" s="3" t="str">
        <f>IFERROR(TEXT(Raw_Data!G289, "YYYY-MM-DD"),"Review")</f>
        <v>2024-02-17</v>
      </c>
      <c r="I289" s="4">
        <f>IF(Raw_Data!H289="", "", IFERROR(VALUE(Raw_Data!H289), ""))</f>
        <v>73597.850000000006</v>
      </c>
      <c r="J289" s="2" t="str">
        <f>IF(Raw_Data!I289="", "", IF(ISNUMBER(FIND("@", Raw_Data!I289)), Raw_Data!I289, "Review"))</f>
        <v>heidi.jones@example.com</v>
      </c>
      <c r="K289" s="5" t="str">
        <f>IFERROR(TEXT(ABS(Raw_Data!J289), "0"), "Review")</f>
        <v>3402424032</v>
      </c>
      <c r="L289" s="2" t="str">
        <f>IFERROR(TRIM(Raw_Data!K289), "Review")</f>
        <v>Poor</v>
      </c>
      <c r="M289" s="2" t="b">
        <f>IF(Raw_Data!L289="", "",
    IF(ISLOGICAL(Raw_Data!L289), Raw_Data!L289,
        IF(OR(UPPER(Raw_Data!L289)="TRUE", UPPER(Raw_Data!L289)="YES", UPPER(Raw_Data!L289)="1"), TRUE,
            IF(OR(UPPER(Raw_Data!L289)="FALSE", UPPER(Raw_Data!L289)="NO", UPPER(Raw_Data!L289)="0"), FALSE, "Review")
        )
    )
)</f>
        <v>1</v>
      </c>
    </row>
    <row r="290" spans="1:13" x14ac:dyDescent="0.4">
      <c r="A290" s="2" t="str">
        <f>IFERROR(TRIM(Raw_Data!A290), "Review")</f>
        <v>EMP1288</v>
      </c>
      <c r="B290" s="2" t="str">
        <f>IFERROR(TRIM(Raw_Data!B290), "Review")</f>
        <v>David</v>
      </c>
      <c r="C290" s="2" t="str">
        <f>IFERROR(TRIM(Raw_Data!C290), "Review")</f>
        <v>Smith</v>
      </c>
      <c r="D290" s="2">
        <f>IF(Raw_Data!D290="", "", IFERROR(VALUE(Raw_Data!D290), ""))</f>
        <v>30</v>
      </c>
      <c r="E290" s="2" t="str">
        <f>IFERROR(LEFT(Raw_Data!E290,SEARCH("-",Raw_Data!E290)-1),"Review")</f>
        <v>Sales</v>
      </c>
      <c r="F290" s="2" t="str">
        <f>IFERROR(_xlfn.TEXTAFTER(Raw_Data!E290,"-"),"Review")</f>
        <v>Nevada</v>
      </c>
      <c r="G290" s="2" t="str">
        <f>IFERROR(TRIM(Raw_Data!F290), "Review")</f>
        <v>Inactive</v>
      </c>
      <c r="H290" s="3" t="str">
        <f>IFERROR(TEXT(Raw_Data!G290, "YYYY-MM-DD"),"Review")</f>
        <v>2024-08-20</v>
      </c>
      <c r="I290" s="4">
        <f>IF(Raw_Data!H290="", "", IFERROR(VALUE(Raw_Data!H290), ""))</f>
        <v>79939.23</v>
      </c>
      <c r="J290" s="2" t="str">
        <f>IF(Raw_Data!I290="", "", IF(ISNUMBER(FIND("@", Raw_Data!I290)), Raw_Data!I290, "Review"))</f>
        <v>david.smith@example.com</v>
      </c>
      <c r="K290" s="5" t="str">
        <f>IFERROR(TEXT(ABS(Raw_Data!J290), "0"), "Review")</f>
        <v>8105955183</v>
      </c>
      <c r="L290" s="2" t="str">
        <f>IFERROR(TRIM(Raw_Data!K290), "Review")</f>
        <v>Excellent</v>
      </c>
      <c r="M290" s="2" t="b">
        <f>IF(Raw_Data!L290="", "",
    IF(ISLOGICAL(Raw_Data!L290), Raw_Data!L290,
        IF(OR(UPPER(Raw_Data!L290)="TRUE", UPPER(Raw_Data!L290)="YES", UPPER(Raw_Data!L290)="1"), TRUE,
            IF(OR(UPPER(Raw_Data!L290)="FALSE", UPPER(Raw_Data!L290)="NO", UPPER(Raw_Data!L290)="0"), FALSE, "Review")
        )
    )
)</f>
        <v>1</v>
      </c>
    </row>
    <row r="291" spans="1:13" x14ac:dyDescent="0.4">
      <c r="A291" s="2" t="str">
        <f>IFERROR(TRIM(Raw_Data!A291), "Review")</f>
        <v>EMP1289</v>
      </c>
      <c r="B291" s="2" t="str">
        <f>IFERROR(TRIM(Raw_Data!B291), "Review")</f>
        <v>Grace</v>
      </c>
      <c r="C291" s="2" t="str">
        <f>IFERROR(TRIM(Raw_Data!C291), "Review")</f>
        <v>Garcia</v>
      </c>
      <c r="D291" s="2">
        <f>IF(Raw_Data!D291="", "", IFERROR(VALUE(Raw_Data!D291), ""))</f>
        <v>25</v>
      </c>
      <c r="E291" s="2" t="str">
        <f>IFERROR(LEFT(Raw_Data!E291,SEARCH("-",Raw_Data!E291)-1),"Review")</f>
        <v>Admin</v>
      </c>
      <c r="F291" s="2" t="str">
        <f>IFERROR(_xlfn.TEXTAFTER(Raw_Data!E291,"-"),"Review")</f>
        <v>New York</v>
      </c>
      <c r="G291" s="2" t="str">
        <f>IFERROR(TRIM(Raw_Data!F291), "Review")</f>
        <v>Inactive</v>
      </c>
      <c r="H291" s="3" t="str">
        <f>IFERROR(TEXT(Raw_Data!G291, "YYYY-MM-DD"),"Review")</f>
        <v>2021-10-24</v>
      </c>
      <c r="I291" s="4" t="str">
        <f>IF(Raw_Data!H291="", "", IFERROR(VALUE(Raw_Data!H291), ""))</f>
        <v/>
      </c>
      <c r="J291" s="2" t="str">
        <f>IF(Raw_Data!I291="", "", IF(ISNUMBER(FIND("@", Raw_Data!I291)), Raw_Data!I291, "Review"))</f>
        <v>grace.garcia@example.com</v>
      </c>
      <c r="K291" s="5" t="str">
        <f>IFERROR(TEXT(ABS(Raw_Data!J291), "0"), "Review")</f>
        <v>2694500533</v>
      </c>
      <c r="L291" s="2" t="str">
        <f>IFERROR(TRIM(Raw_Data!K291), "Review")</f>
        <v>Poor</v>
      </c>
      <c r="M291" s="2" t="b">
        <f>IF(Raw_Data!L291="", "",
    IF(ISLOGICAL(Raw_Data!L291), Raw_Data!L291,
        IF(OR(UPPER(Raw_Data!L291)="TRUE", UPPER(Raw_Data!L291)="YES", UPPER(Raw_Data!L291)="1"), TRUE,
            IF(OR(UPPER(Raw_Data!L291)="FALSE", UPPER(Raw_Data!L291)="NO", UPPER(Raw_Data!L291)="0"), FALSE, "Review")
        )
    )
)</f>
        <v>0</v>
      </c>
    </row>
    <row r="292" spans="1:13" x14ac:dyDescent="0.4">
      <c r="A292" s="2" t="str">
        <f>IFERROR(TRIM(Raw_Data!A292), "Review")</f>
        <v>EMP1290</v>
      </c>
      <c r="B292" s="2" t="str">
        <f>IFERROR(TRIM(Raw_Data!B292), "Review")</f>
        <v>Grace</v>
      </c>
      <c r="C292" s="2" t="str">
        <f>IFERROR(TRIM(Raw_Data!C292), "Review")</f>
        <v>Smith</v>
      </c>
      <c r="D292" s="2">
        <f>IF(Raw_Data!D292="", "", IFERROR(VALUE(Raw_Data!D292), ""))</f>
        <v>30</v>
      </c>
      <c r="E292" s="2" t="str">
        <f>IFERROR(LEFT(Raw_Data!E292,SEARCH("-",Raw_Data!E292)-1),"Review")</f>
        <v>Finance</v>
      </c>
      <c r="F292" s="2" t="str">
        <f>IFERROR(_xlfn.TEXTAFTER(Raw_Data!E292,"-"),"Review")</f>
        <v>California</v>
      </c>
      <c r="G292" s="2" t="str">
        <f>IFERROR(TRIM(Raw_Data!F292), "Review")</f>
        <v>Inactive</v>
      </c>
      <c r="H292" s="3" t="str">
        <f>IFERROR(TEXT(Raw_Data!G292, "YYYY-MM-DD"),"Review")</f>
        <v>2021-09-10</v>
      </c>
      <c r="I292" s="4">
        <f>IF(Raw_Data!H292="", "", IFERROR(VALUE(Raw_Data!H292), ""))</f>
        <v>90772.25</v>
      </c>
      <c r="J292" s="2" t="str">
        <f>IF(Raw_Data!I292="", "", IF(ISNUMBER(FIND("@", Raw_Data!I292)), Raw_Data!I292, "Review"))</f>
        <v>grace.smith@example.com</v>
      </c>
      <c r="K292" s="5" t="str">
        <f>IFERROR(TEXT(ABS(Raw_Data!J292), "0"), "Review")</f>
        <v>2408916497</v>
      </c>
      <c r="L292" s="2" t="str">
        <f>IFERROR(TRIM(Raw_Data!K292), "Review")</f>
        <v>Average</v>
      </c>
      <c r="M292" s="2" t="b">
        <f>IF(Raw_Data!L292="", "",
    IF(ISLOGICAL(Raw_Data!L292), Raw_Data!L292,
        IF(OR(UPPER(Raw_Data!L292)="TRUE", UPPER(Raw_Data!L292)="YES", UPPER(Raw_Data!L292)="1"), TRUE,
            IF(OR(UPPER(Raw_Data!L292)="FALSE", UPPER(Raw_Data!L292)="NO", UPPER(Raw_Data!L292)="0"), FALSE, "Review")
        )
    )
)</f>
        <v>0</v>
      </c>
    </row>
    <row r="293" spans="1:13" x14ac:dyDescent="0.4">
      <c r="A293" s="2" t="str">
        <f>IFERROR(TRIM(Raw_Data!A293), "Review")</f>
        <v>EMP1291</v>
      </c>
      <c r="B293" s="2" t="str">
        <f>IFERROR(TRIM(Raw_Data!B293), "Review")</f>
        <v>Eva</v>
      </c>
      <c r="C293" s="2" t="str">
        <f>IFERROR(TRIM(Raw_Data!C293), "Review")</f>
        <v>Williams</v>
      </c>
      <c r="D293" s="2">
        <f>IF(Raw_Data!D293="", "", IFERROR(VALUE(Raw_Data!D293), ""))</f>
        <v>35</v>
      </c>
      <c r="E293" s="2" t="str">
        <f>IFERROR(LEFT(Raw_Data!E293,SEARCH("-",Raw_Data!E293)-1),"Review")</f>
        <v>DevOps</v>
      </c>
      <c r="F293" s="2" t="str">
        <f>IFERROR(_xlfn.TEXTAFTER(Raw_Data!E293,"-"),"Review")</f>
        <v>New York</v>
      </c>
      <c r="G293" s="2" t="str">
        <f>IFERROR(TRIM(Raw_Data!F293), "Review")</f>
        <v>Active</v>
      </c>
      <c r="H293" s="3" t="str">
        <f>IFERROR(TEXT(Raw_Data!G293, "YYYY-MM-DD"),"Review")</f>
        <v>2023-09-29</v>
      </c>
      <c r="I293" s="4">
        <f>IF(Raw_Data!H293="", "", IFERROR(VALUE(Raw_Data!H293), ""))</f>
        <v>58275.74</v>
      </c>
      <c r="J293" s="2" t="str">
        <f>IF(Raw_Data!I293="", "", IF(ISNUMBER(FIND("@", Raw_Data!I293)), Raw_Data!I293, "Review"))</f>
        <v>eva.williams@example.com</v>
      </c>
      <c r="K293" s="5" t="str">
        <f>IFERROR(TEXT(ABS(Raw_Data!J293), "0"), "Review")</f>
        <v>3735439626</v>
      </c>
      <c r="L293" s="2" t="str">
        <f>IFERROR(TRIM(Raw_Data!K293), "Review")</f>
        <v>Good</v>
      </c>
      <c r="M293" s="2" t="b">
        <f>IF(Raw_Data!L293="", "",
    IF(ISLOGICAL(Raw_Data!L293), Raw_Data!L293,
        IF(OR(UPPER(Raw_Data!L293)="TRUE", UPPER(Raw_Data!L293)="YES", UPPER(Raw_Data!L293)="1"), TRUE,
            IF(OR(UPPER(Raw_Data!L293)="FALSE", UPPER(Raw_Data!L293)="NO", UPPER(Raw_Data!L293)="0"), FALSE, "Review")
        )
    )
)</f>
        <v>0</v>
      </c>
    </row>
    <row r="294" spans="1:13" x14ac:dyDescent="0.4">
      <c r="A294" s="2" t="str">
        <f>IFERROR(TRIM(Raw_Data!A294), "Review")</f>
        <v>EMP1292</v>
      </c>
      <c r="B294" s="2" t="str">
        <f>IFERROR(TRIM(Raw_Data!B294), "Review")</f>
        <v>Grace</v>
      </c>
      <c r="C294" s="2" t="str">
        <f>IFERROR(TRIM(Raw_Data!C294), "Review")</f>
        <v>Smith</v>
      </c>
      <c r="D294" s="2" t="str">
        <f>IF(Raw_Data!D294="", "", IFERROR(VALUE(Raw_Data!D294), ""))</f>
        <v/>
      </c>
      <c r="E294" s="2" t="str">
        <f>IFERROR(LEFT(Raw_Data!E294,SEARCH("-",Raw_Data!E294)-1),"Review")</f>
        <v>DevOps</v>
      </c>
      <c r="F294" s="2" t="str">
        <f>IFERROR(_xlfn.TEXTAFTER(Raw_Data!E294,"-"),"Review")</f>
        <v>California</v>
      </c>
      <c r="G294" s="2" t="str">
        <f>IFERROR(TRIM(Raw_Data!F294), "Review")</f>
        <v>Pending</v>
      </c>
      <c r="H294" s="3" t="str">
        <f>IFERROR(TEXT(Raw_Data!G294, "YYYY-MM-DD"),"Review")</f>
        <v>2020-08-28</v>
      </c>
      <c r="I294" s="4">
        <f>IF(Raw_Data!H294="", "", IFERROR(VALUE(Raw_Data!H294), ""))</f>
        <v>94709.79</v>
      </c>
      <c r="J294" s="2" t="str">
        <f>IF(Raw_Data!I294="", "", IF(ISNUMBER(FIND("@", Raw_Data!I294)), Raw_Data!I294, "Review"))</f>
        <v>grace.smith@example.com</v>
      </c>
      <c r="K294" s="5" t="str">
        <f>IFERROR(TEXT(ABS(Raw_Data!J294), "0"), "Review")</f>
        <v>3652717271</v>
      </c>
      <c r="L294" s="2" t="str">
        <f>IFERROR(TRIM(Raw_Data!K294), "Review")</f>
        <v>Excellent</v>
      </c>
      <c r="M294" s="2" t="b">
        <f>IF(Raw_Data!L294="", "",
    IF(ISLOGICAL(Raw_Data!L294), Raw_Data!L294,
        IF(OR(UPPER(Raw_Data!L294)="TRUE", UPPER(Raw_Data!L294)="YES", UPPER(Raw_Data!L294)="1"), TRUE,
            IF(OR(UPPER(Raw_Data!L294)="FALSE", UPPER(Raw_Data!L294)="NO", UPPER(Raw_Data!L294)="0"), FALSE, "Review")
        )
    )
)</f>
        <v>0</v>
      </c>
    </row>
    <row r="295" spans="1:13" x14ac:dyDescent="0.4">
      <c r="A295" s="2" t="str">
        <f>IFERROR(TRIM(Raw_Data!A295), "Review")</f>
        <v>EMP1293</v>
      </c>
      <c r="B295" s="2" t="str">
        <f>IFERROR(TRIM(Raw_Data!B295), "Review")</f>
        <v>Frank</v>
      </c>
      <c r="C295" s="2" t="str">
        <f>IFERROR(TRIM(Raw_Data!C295), "Review")</f>
        <v>Johnson</v>
      </c>
      <c r="D295" s="2" t="str">
        <f>IF(Raw_Data!D295="", "", IFERROR(VALUE(Raw_Data!D295), ""))</f>
        <v/>
      </c>
      <c r="E295" s="2" t="str">
        <f>IFERROR(LEFT(Raw_Data!E295,SEARCH("-",Raw_Data!E295)-1),"Review")</f>
        <v>Admin</v>
      </c>
      <c r="F295" s="2" t="str">
        <f>IFERROR(_xlfn.TEXTAFTER(Raw_Data!E295,"-"),"Review")</f>
        <v>New York</v>
      </c>
      <c r="G295" s="2" t="str">
        <f>IFERROR(TRIM(Raw_Data!F295), "Review")</f>
        <v>Active</v>
      </c>
      <c r="H295" s="3" t="str">
        <f>IFERROR(TEXT(Raw_Data!G295, "YYYY-MM-DD"),"Review")</f>
        <v>2022-09-06</v>
      </c>
      <c r="I295" s="4">
        <f>IF(Raw_Data!H295="", "", IFERROR(VALUE(Raw_Data!H295), ""))</f>
        <v>60722.99</v>
      </c>
      <c r="J295" s="2" t="str">
        <f>IF(Raw_Data!I295="", "", IF(ISNUMBER(FIND("@", Raw_Data!I295)), Raw_Data!I295, "Review"))</f>
        <v>frank.johnson@example.com</v>
      </c>
      <c r="K295" s="5" t="str">
        <f>IFERROR(TEXT(ABS(Raw_Data!J295), "0"), "Review")</f>
        <v>2397240421</v>
      </c>
      <c r="L295" s="2" t="str">
        <f>IFERROR(TRIM(Raw_Data!K295), "Review")</f>
        <v>Excellent</v>
      </c>
      <c r="M295" s="2" t="b">
        <f>IF(Raw_Data!L295="", "",
    IF(ISLOGICAL(Raw_Data!L295), Raw_Data!L295,
        IF(OR(UPPER(Raw_Data!L295)="TRUE", UPPER(Raw_Data!L295)="YES", UPPER(Raw_Data!L295)="1"), TRUE,
            IF(OR(UPPER(Raw_Data!L295)="FALSE", UPPER(Raw_Data!L295)="NO", UPPER(Raw_Data!L295)="0"), FALSE, "Review")
        )
    )
)</f>
        <v>1</v>
      </c>
    </row>
    <row r="296" spans="1:13" x14ac:dyDescent="0.4">
      <c r="A296" s="2" t="str">
        <f>IFERROR(TRIM(Raw_Data!A296), "Review")</f>
        <v>EMP1294</v>
      </c>
      <c r="B296" s="2" t="str">
        <f>IFERROR(TRIM(Raw_Data!B296), "Review")</f>
        <v>Frank</v>
      </c>
      <c r="C296" s="2" t="str">
        <f>IFERROR(TRIM(Raw_Data!C296), "Review")</f>
        <v>Johnson</v>
      </c>
      <c r="D296" s="2">
        <f>IF(Raw_Data!D296="", "", IFERROR(VALUE(Raw_Data!D296), ""))</f>
        <v>40</v>
      </c>
      <c r="E296" s="2" t="str">
        <f>IFERROR(LEFT(Raw_Data!E296,SEARCH("-",Raw_Data!E296)-1),"Review")</f>
        <v>DevOps</v>
      </c>
      <c r="F296" s="2" t="str">
        <f>IFERROR(_xlfn.TEXTAFTER(Raw_Data!E296,"-"),"Review")</f>
        <v>Illinois</v>
      </c>
      <c r="G296" s="2" t="str">
        <f>IFERROR(TRIM(Raw_Data!F296), "Review")</f>
        <v>Inactive</v>
      </c>
      <c r="H296" s="3" t="str">
        <f>IFERROR(TEXT(Raw_Data!G296, "YYYY-MM-DD"),"Review")</f>
        <v>2024-03-31</v>
      </c>
      <c r="I296" s="4">
        <f>IF(Raw_Data!H296="", "", IFERROR(VALUE(Raw_Data!H296), ""))</f>
        <v>87626.240000000005</v>
      </c>
      <c r="J296" s="2" t="str">
        <f>IF(Raw_Data!I296="", "", IF(ISNUMBER(FIND("@", Raw_Data!I296)), Raw_Data!I296, "Review"))</f>
        <v>frank.johnson@example.com</v>
      </c>
      <c r="K296" s="5" t="str">
        <f>IFERROR(TEXT(ABS(Raw_Data!J296), "0"), "Review")</f>
        <v>6931216375</v>
      </c>
      <c r="L296" s="2" t="str">
        <f>IFERROR(TRIM(Raw_Data!K296), "Review")</f>
        <v>Good</v>
      </c>
      <c r="M296" s="2" t="b">
        <f>IF(Raw_Data!L296="", "",
    IF(ISLOGICAL(Raw_Data!L296), Raw_Data!L296,
        IF(OR(UPPER(Raw_Data!L296)="TRUE", UPPER(Raw_Data!L296)="YES", UPPER(Raw_Data!L296)="1"), TRUE,
            IF(OR(UPPER(Raw_Data!L296)="FALSE", UPPER(Raw_Data!L296)="NO", UPPER(Raw_Data!L296)="0"), FALSE, "Review")
        )
    )
)</f>
        <v>1</v>
      </c>
    </row>
    <row r="297" spans="1:13" x14ac:dyDescent="0.4">
      <c r="A297" s="2" t="str">
        <f>IFERROR(TRIM(Raw_Data!A297), "Review")</f>
        <v>EMP1295</v>
      </c>
      <c r="B297" s="2" t="str">
        <f>IFERROR(TRIM(Raw_Data!B297), "Review")</f>
        <v>David</v>
      </c>
      <c r="C297" s="2" t="str">
        <f>IFERROR(TRIM(Raw_Data!C297), "Review")</f>
        <v>Brown</v>
      </c>
      <c r="D297" s="2">
        <f>IF(Raw_Data!D297="", "", IFERROR(VALUE(Raw_Data!D297), ""))</f>
        <v>30</v>
      </c>
      <c r="E297" s="2" t="str">
        <f>IFERROR(LEFT(Raw_Data!E297,SEARCH("-",Raw_Data!E297)-1),"Review")</f>
        <v>DevOps</v>
      </c>
      <c r="F297" s="2" t="str">
        <f>IFERROR(_xlfn.TEXTAFTER(Raw_Data!E297,"-"),"Review")</f>
        <v>Illinois</v>
      </c>
      <c r="G297" s="2" t="str">
        <f>IFERROR(TRIM(Raw_Data!F297), "Review")</f>
        <v>Active</v>
      </c>
      <c r="H297" s="3" t="str">
        <f>IFERROR(TEXT(Raw_Data!G297, "YYYY-MM-DD"),"Review")</f>
        <v>2022-12-12</v>
      </c>
      <c r="I297" s="4">
        <f>IF(Raw_Data!H297="", "", IFERROR(VALUE(Raw_Data!H297), ""))</f>
        <v>81272.36</v>
      </c>
      <c r="J297" s="2" t="str">
        <f>IF(Raw_Data!I297="", "", IF(ISNUMBER(FIND("@", Raw_Data!I297)), Raw_Data!I297, "Review"))</f>
        <v>david.brown@example.com</v>
      </c>
      <c r="K297" s="5" t="str">
        <f>IFERROR(TEXT(ABS(Raw_Data!J297), "0"), "Review")</f>
        <v>1820916600</v>
      </c>
      <c r="L297" s="2" t="str">
        <f>IFERROR(TRIM(Raw_Data!K297), "Review")</f>
        <v>Poor</v>
      </c>
      <c r="M297" s="2" t="b">
        <f>IF(Raw_Data!L297="", "",
    IF(ISLOGICAL(Raw_Data!L297), Raw_Data!L297,
        IF(OR(UPPER(Raw_Data!L297)="TRUE", UPPER(Raw_Data!L297)="YES", UPPER(Raw_Data!L297)="1"), TRUE,
            IF(OR(UPPER(Raw_Data!L297)="FALSE", UPPER(Raw_Data!L297)="NO", UPPER(Raw_Data!L297)="0"), FALSE, "Review")
        )
    )
)</f>
        <v>0</v>
      </c>
    </row>
    <row r="298" spans="1:13" x14ac:dyDescent="0.4">
      <c r="A298" s="2" t="str">
        <f>IFERROR(TRIM(Raw_Data!A298), "Review")</f>
        <v>EMP1296</v>
      </c>
      <c r="B298" s="2" t="str">
        <f>IFERROR(TRIM(Raw_Data!B298), "Review")</f>
        <v>Bob</v>
      </c>
      <c r="C298" s="2" t="str">
        <f>IFERROR(TRIM(Raw_Data!C298), "Review")</f>
        <v>Miller</v>
      </c>
      <c r="D298" s="2" t="str">
        <f>IF(Raw_Data!D298="", "", IFERROR(VALUE(Raw_Data!D298), ""))</f>
        <v/>
      </c>
      <c r="E298" s="2" t="str">
        <f>IFERROR(LEFT(Raw_Data!E298,SEARCH("-",Raw_Data!E298)-1),"Review")</f>
        <v>Cloud Tech</v>
      </c>
      <c r="F298" s="2" t="str">
        <f>IFERROR(_xlfn.TEXTAFTER(Raw_Data!E298,"-"),"Review")</f>
        <v>Texas</v>
      </c>
      <c r="G298" s="2" t="str">
        <f>IFERROR(TRIM(Raw_Data!F298), "Review")</f>
        <v>Pending</v>
      </c>
      <c r="H298" s="3" t="str">
        <f>IFERROR(TEXT(Raw_Data!G298, "YYYY-MM-DD"),"Review")</f>
        <v>2022-11-01</v>
      </c>
      <c r="I298" s="4">
        <f>IF(Raw_Data!H298="", "", IFERROR(VALUE(Raw_Data!H298), ""))</f>
        <v>64150.97</v>
      </c>
      <c r="J298" s="2" t="str">
        <f>IF(Raw_Data!I298="", "", IF(ISNUMBER(FIND("@", Raw_Data!I298)), Raw_Data!I298, "Review"))</f>
        <v>bob.miller@example.com</v>
      </c>
      <c r="K298" s="5" t="str">
        <f>IFERROR(TEXT(ABS(Raw_Data!J298), "0"), "Review")</f>
        <v>23142899</v>
      </c>
      <c r="L298" s="2" t="str">
        <f>IFERROR(TRIM(Raw_Data!K298), "Review")</f>
        <v>Good</v>
      </c>
      <c r="M298" s="2" t="b">
        <f>IF(Raw_Data!L298="", "",
    IF(ISLOGICAL(Raw_Data!L298), Raw_Data!L298,
        IF(OR(UPPER(Raw_Data!L298)="TRUE", UPPER(Raw_Data!L298)="YES", UPPER(Raw_Data!L298)="1"), TRUE,
            IF(OR(UPPER(Raw_Data!L298)="FALSE", UPPER(Raw_Data!L298)="NO", UPPER(Raw_Data!L298)="0"), FALSE, "Review")
        )
    )
)</f>
        <v>1</v>
      </c>
    </row>
    <row r="299" spans="1:13" x14ac:dyDescent="0.4">
      <c r="A299" s="2" t="str">
        <f>IFERROR(TRIM(Raw_Data!A299), "Review")</f>
        <v>EMP1297</v>
      </c>
      <c r="B299" s="2" t="str">
        <f>IFERROR(TRIM(Raw_Data!B299), "Review")</f>
        <v>Charlie</v>
      </c>
      <c r="C299" s="2" t="str">
        <f>IFERROR(TRIM(Raw_Data!C299), "Review")</f>
        <v>Davis</v>
      </c>
      <c r="D299" s="2">
        <f>IF(Raw_Data!D299="", "", IFERROR(VALUE(Raw_Data!D299), ""))</f>
        <v>35</v>
      </c>
      <c r="E299" s="2" t="str">
        <f>IFERROR(LEFT(Raw_Data!E299,SEARCH("-",Raw_Data!E299)-1),"Review")</f>
        <v>Sales</v>
      </c>
      <c r="F299" s="2" t="str">
        <f>IFERROR(_xlfn.TEXTAFTER(Raw_Data!E299,"-"),"Review")</f>
        <v>Florida</v>
      </c>
      <c r="G299" s="2" t="str">
        <f>IFERROR(TRIM(Raw_Data!F299), "Review")</f>
        <v>Active</v>
      </c>
      <c r="H299" s="3" t="str">
        <f>IFERROR(TEXT(Raw_Data!G299, "YYYY-MM-DD"),"Review")</f>
        <v>2023-10-25</v>
      </c>
      <c r="I299" s="4">
        <f>IF(Raw_Data!H299="", "", IFERROR(VALUE(Raw_Data!H299), ""))</f>
        <v>64378.1</v>
      </c>
      <c r="J299" s="2" t="str">
        <f>IF(Raw_Data!I299="", "", IF(ISNUMBER(FIND("@", Raw_Data!I299)), Raw_Data!I299, "Review"))</f>
        <v>charlie.davis@example.com</v>
      </c>
      <c r="K299" s="5" t="str">
        <f>IFERROR(TEXT(ABS(Raw_Data!J299), "0"), "Review")</f>
        <v>1851327971</v>
      </c>
      <c r="L299" s="2" t="str">
        <f>IFERROR(TRIM(Raw_Data!K299), "Review")</f>
        <v>Poor</v>
      </c>
      <c r="M299" s="2" t="b">
        <f>IF(Raw_Data!L299="", "",
    IF(ISLOGICAL(Raw_Data!L299), Raw_Data!L299,
        IF(OR(UPPER(Raw_Data!L299)="TRUE", UPPER(Raw_Data!L299)="YES", UPPER(Raw_Data!L299)="1"), TRUE,
            IF(OR(UPPER(Raw_Data!L299)="FALSE", UPPER(Raw_Data!L299)="NO", UPPER(Raw_Data!L299)="0"), FALSE, "Review")
        )
    )
)</f>
        <v>0</v>
      </c>
    </row>
    <row r="300" spans="1:13" x14ac:dyDescent="0.4">
      <c r="A300" s="2" t="str">
        <f>IFERROR(TRIM(Raw_Data!A300), "Review")</f>
        <v>EMP1298</v>
      </c>
      <c r="B300" s="2" t="str">
        <f>IFERROR(TRIM(Raw_Data!B300), "Review")</f>
        <v>Bob</v>
      </c>
      <c r="C300" s="2" t="str">
        <f>IFERROR(TRIM(Raw_Data!C300), "Review")</f>
        <v>Jones</v>
      </c>
      <c r="D300" s="2" t="str">
        <f>IF(Raw_Data!D300="", "", IFERROR(VALUE(Raw_Data!D300), ""))</f>
        <v/>
      </c>
      <c r="E300" s="2" t="str">
        <f>IFERROR(LEFT(Raw_Data!E300,SEARCH("-",Raw_Data!E300)-1),"Review")</f>
        <v>Finance</v>
      </c>
      <c r="F300" s="2" t="str">
        <f>IFERROR(_xlfn.TEXTAFTER(Raw_Data!E300,"-"),"Review")</f>
        <v>Texas</v>
      </c>
      <c r="G300" s="2" t="str">
        <f>IFERROR(TRIM(Raw_Data!F300), "Review")</f>
        <v>Inactive</v>
      </c>
      <c r="H300" s="3" t="str">
        <f>IFERROR(TEXT(Raw_Data!G300, "YYYY-MM-DD"),"Review")</f>
        <v>2020-09-27</v>
      </c>
      <c r="I300" s="4">
        <f>IF(Raw_Data!H300="", "", IFERROR(VALUE(Raw_Data!H300), ""))</f>
        <v>85927.35</v>
      </c>
      <c r="J300" s="2" t="str">
        <f>IF(Raw_Data!I300="", "", IF(ISNUMBER(FIND("@", Raw_Data!I300)), Raw_Data!I300, "Review"))</f>
        <v>bob.jones@example.com</v>
      </c>
      <c r="K300" s="5" t="str">
        <f>IFERROR(TEXT(ABS(Raw_Data!J300), "0"), "Review")</f>
        <v>4572308480</v>
      </c>
      <c r="L300" s="2" t="str">
        <f>IFERROR(TRIM(Raw_Data!K300), "Review")</f>
        <v>Good</v>
      </c>
      <c r="M300" s="2" t="b">
        <f>IF(Raw_Data!L300="", "",
    IF(ISLOGICAL(Raw_Data!L300), Raw_Data!L300,
        IF(OR(UPPER(Raw_Data!L300)="TRUE", UPPER(Raw_Data!L300)="YES", UPPER(Raw_Data!L300)="1"), TRUE,
            IF(OR(UPPER(Raw_Data!L300)="FALSE", UPPER(Raw_Data!L300)="NO", UPPER(Raw_Data!L300)="0"), FALSE, "Review")
        )
    )
)</f>
        <v>0</v>
      </c>
    </row>
    <row r="301" spans="1:13" x14ac:dyDescent="0.4">
      <c r="A301" s="2" t="str">
        <f>IFERROR(TRIM(Raw_Data!A301), "Review")</f>
        <v>EMP1299</v>
      </c>
      <c r="B301" s="2" t="str">
        <f>IFERROR(TRIM(Raw_Data!B301), "Review")</f>
        <v>Alice</v>
      </c>
      <c r="C301" s="2" t="str">
        <f>IFERROR(TRIM(Raw_Data!C301), "Review")</f>
        <v>Garcia</v>
      </c>
      <c r="D301" s="2" t="str">
        <f>IF(Raw_Data!D301="", "", IFERROR(VALUE(Raw_Data!D301), ""))</f>
        <v/>
      </c>
      <c r="E301" s="2" t="str">
        <f>IFERROR(LEFT(Raw_Data!E301,SEARCH("-",Raw_Data!E301)-1),"Review")</f>
        <v>Finance</v>
      </c>
      <c r="F301" s="2" t="str">
        <f>IFERROR(_xlfn.TEXTAFTER(Raw_Data!E301,"-"),"Review")</f>
        <v>Nevada</v>
      </c>
      <c r="G301" s="2" t="str">
        <f>IFERROR(TRIM(Raw_Data!F301), "Review")</f>
        <v>Inactive</v>
      </c>
      <c r="H301" s="3" t="str">
        <f>IFERROR(TEXT(Raw_Data!G301, "YYYY-MM-DD"),"Review")</f>
        <v>2024-01-21</v>
      </c>
      <c r="I301" s="4">
        <f>IF(Raw_Data!H301="", "", IFERROR(VALUE(Raw_Data!H301), ""))</f>
        <v>51523.93</v>
      </c>
      <c r="J301" s="2" t="str">
        <f>IF(Raw_Data!I301="", "", IF(ISNUMBER(FIND("@", Raw_Data!I301)), Raw_Data!I301, "Review"))</f>
        <v>alice.garcia@example.com</v>
      </c>
      <c r="K301" s="5" t="str">
        <f>IFERROR(TEXT(ABS(Raw_Data!J301), "0"), "Review")</f>
        <v>18418619</v>
      </c>
      <c r="L301" s="2" t="str">
        <f>IFERROR(TRIM(Raw_Data!K301), "Review")</f>
        <v>Average</v>
      </c>
      <c r="M301" s="2" t="b">
        <f>IF(Raw_Data!L301="", "",
    IF(ISLOGICAL(Raw_Data!L301), Raw_Data!L301,
        IF(OR(UPPER(Raw_Data!L301)="TRUE", UPPER(Raw_Data!L301)="YES", UPPER(Raw_Data!L301)="1"), TRUE,
            IF(OR(UPPER(Raw_Data!L301)="FALSE", UPPER(Raw_Data!L301)="NO", UPPER(Raw_Data!L301)="0"), FALSE, "Review")
        )
    )
)</f>
        <v>1</v>
      </c>
    </row>
    <row r="302" spans="1:13" x14ac:dyDescent="0.4">
      <c r="A302" s="2" t="str">
        <f>IFERROR(TRIM(Raw_Data!A302), "Review")</f>
        <v>EMP1300</v>
      </c>
      <c r="B302" s="2" t="str">
        <f>IFERROR(TRIM(Raw_Data!B302), "Review")</f>
        <v>Alice</v>
      </c>
      <c r="C302" s="2" t="str">
        <f>IFERROR(TRIM(Raw_Data!C302), "Review")</f>
        <v>Smith</v>
      </c>
      <c r="D302" s="2">
        <f>IF(Raw_Data!D302="", "", IFERROR(VALUE(Raw_Data!D302), ""))</f>
        <v>30</v>
      </c>
      <c r="E302" s="2" t="str">
        <f>IFERROR(LEFT(Raw_Data!E302,SEARCH("-",Raw_Data!E302)-1),"Review")</f>
        <v>Sales</v>
      </c>
      <c r="F302" s="2" t="str">
        <f>IFERROR(_xlfn.TEXTAFTER(Raw_Data!E302,"-"),"Review")</f>
        <v>Texas</v>
      </c>
      <c r="G302" s="2" t="str">
        <f>IFERROR(TRIM(Raw_Data!F302), "Review")</f>
        <v>Active</v>
      </c>
      <c r="H302" s="3" t="str">
        <f>IFERROR(TEXT(Raw_Data!G302, "YYYY-MM-DD"),"Review")</f>
        <v>2022-05-17</v>
      </c>
      <c r="I302" s="4">
        <f>IF(Raw_Data!H302="", "", IFERROR(VALUE(Raw_Data!H302), ""))</f>
        <v>74117.02</v>
      </c>
      <c r="J302" s="2" t="str">
        <f>IF(Raw_Data!I302="", "", IF(ISNUMBER(FIND("@", Raw_Data!I302)), Raw_Data!I302, "Review"))</f>
        <v>alice.smith@example.com</v>
      </c>
      <c r="K302" s="5" t="str">
        <f>IFERROR(TEXT(ABS(Raw_Data!J302), "0"), "Review")</f>
        <v>3036625435</v>
      </c>
      <c r="L302" s="2" t="str">
        <f>IFERROR(TRIM(Raw_Data!K302), "Review")</f>
        <v>Poor</v>
      </c>
      <c r="M302" s="2" t="b">
        <f>IF(Raw_Data!L302="", "",
    IF(ISLOGICAL(Raw_Data!L302), Raw_Data!L302,
        IF(OR(UPPER(Raw_Data!L302)="TRUE", UPPER(Raw_Data!L302)="YES", UPPER(Raw_Data!L302)="1"), TRUE,
            IF(OR(UPPER(Raw_Data!L302)="FALSE", UPPER(Raw_Data!L302)="NO", UPPER(Raw_Data!L302)="0"), FALSE, "Review")
        )
    )
)</f>
        <v>0</v>
      </c>
    </row>
    <row r="303" spans="1:13" x14ac:dyDescent="0.4">
      <c r="A303" s="2" t="str">
        <f>IFERROR(TRIM(Raw_Data!A303), "Review")</f>
        <v>EMP1301</v>
      </c>
      <c r="B303" s="2" t="str">
        <f>IFERROR(TRIM(Raw_Data!B303), "Review")</f>
        <v>Alice</v>
      </c>
      <c r="C303" s="2" t="str">
        <f>IFERROR(TRIM(Raw_Data!C303), "Review")</f>
        <v>Smith</v>
      </c>
      <c r="D303" s="2">
        <f>IF(Raw_Data!D303="", "", IFERROR(VALUE(Raw_Data!D303), ""))</f>
        <v>25</v>
      </c>
      <c r="E303" s="2" t="str">
        <f>IFERROR(LEFT(Raw_Data!E303,SEARCH("-",Raw_Data!E303)-1),"Review")</f>
        <v>Finance</v>
      </c>
      <c r="F303" s="2" t="str">
        <f>IFERROR(_xlfn.TEXTAFTER(Raw_Data!E303,"-"),"Review")</f>
        <v>Texas</v>
      </c>
      <c r="G303" s="2" t="str">
        <f>IFERROR(TRIM(Raw_Data!F303), "Review")</f>
        <v>Inactive</v>
      </c>
      <c r="H303" s="3" t="str">
        <f>IFERROR(TEXT(Raw_Data!G303, "YYYY-MM-DD"),"Review")</f>
        <v>2022-04-17</v>
      </c>
      <c r="I303" s="4">
        <f>IF(Raw_Data!H303="", "", IFERROR(VALUE(Raw_Data!H303), ""))</f>
        <v>62598.69</v>
      </c>
      <c r="J303" s="2" t="str">
        <f>IF(Raw_Data!I303="", "", IF(ISNUMBER(FIND("@", Raw_Data!I303)), Raw_Data!I303, "Review"))</f>
        <v>alice.smith@example.com</v>
      </c>
      <c r="K303" s="5" t="str">
        <f>IFERROR(TEXT(ABS(Raw_Data!J303), "0"), "Review")</f>
        <v>1721314518</v>
      </c>
      <c r="L303" s="2" t="str">
        <f>IFERROR(TRIM(Raw_Data!K303), "Review")</f>
        <v>Average</v>
      </c>
      <c r="M303" s="2" t="b">
        <f>IF(Raw_Data!L303="", "",
    IF(ISLOGICAL(Raw_Data!L303), Raw_Data!L303,
        IF(OR(UPPER(Raw_Data!L303)="TRUE", UPPER(Raw_Data!L303)="YES", UPPER(Raw_Data!L303)="1"), TRUE,
            IF(OR(UPPER(Raw_Data!L303)="FALSE", UPPER(Raw_Data!L303)="NO", UPPER(Raw_Data!L303)="0"), FALSE, "Review")
        )
    )
)</f>
        <v>1</v>
      </c>
    </row>
    <row r="304" spans="1:13" x14ac:dyDescent="0.4">
      <c r="A304" s="2" t="str">
        <f>IFERROR(TRIM(Raw_Data!A304), "Review")</f>
        <v>EMP1302</v>
      </c>
      <c r="B304" s="2" t="str">
        <f>IFERROR(TRIM(Raw_Data!B304), "Review")</f>
        <v>Grace</v>
      </c>
      <c r="C304" s="2" t="str">
        <f>IFERROR(TRIM(Raw_Data!C304), "Review")</f>
        <v>Williams</v>
      </c>
      <c r="D304" s="2">
        <f>IF(Raw_Data!D304="", "", IFERROR(VALUE(Raw_Data!D304), ""))</f>
        <v>35</v>
      </c>
      <c r="E304" s="2" t="str">
        <f>IFERROR(LEFT(Raw_Data!E304,SEARCH("-",Raw_Data!E304)-1),"Review")</f>
        <v>Finance</v>
      </c>
      <c r="F304" s="2" t="str">
        <f>IFERROR(_xlfn.TEXTAFTER(Raw_Data!E304,"-"),"Review")</f>
        <v>Florida</v>
      </c>
      <c r="G304" s="2" t="str">
        <f>IFERROR(TRIM(Raw_Data!F304), "Review")</f>
        <v>Inactive</v>
      </c>
      <c r="H304" s="3" t="str">
        <f>IFERROR(TEXT(Raw_Data!G304, "YYYY-MM-DD"),"Review")</f>
        <v>2022-02-08</v>
      </c>
      <c r="I304" s="4">
        <f>IF(Raw_Data!H304="", "", IFERROR(VALUE(Raw_Data!H304), ""))</f>
        <v>55617.5</v>
      </c>
      <c r="J304" s="2" t="str">
        <f>IF(Raw_Data!I304="", "", IF(ISNUMBER(FIND("@", Raw_Data!I304)), Raw_Data!I304, "Review"))</f>
        <v>grace.williams@example.com</v>
      </c>
      <c r="K304" s="5" t="str">
        <f>IFERROR(TEXT(ABS(Raw_Data!J304), "0"), "Review")</f>
        <v>5151092267</v>
      </c>
      <c r="L304" s="2" t="str">
        <f>IFERROR(TRIM(Raw_Data!K304), "Review")</f>
        <v>Excellent</v>
      </c>
      <c r="M304" s="2" t="b">
        <f>IF(Raw_Data!L304="", "",
    IF(ISLOGICAL(Raw_Data!L304), Raw_Data!L304,
        IF(OR(UPPER(Raw_Data!L304)="TRUE", UPPER(Raw_Data!L304)="YES", UPPER(Raw_Data!L304)="1"), TRUE,
            IF(OR(UPPER(Raw_Data!L304)="FALSE", UPPER(Raw_Data!L304)="NO", UPPER(Raw_Data!L304)="0"), FALSE, "Review")
        )
    )
)</f>
        <v>1</v>
      </c>
    </row>
    <row r="305" spans="1:13" x14ac:dyDescent="0.4">
      <c r="A305" s="2" t="str">
        <f>IFERROR(TRIM(Raw_Data!A305), "Review")</f>
        <v>EMP1303</v>
      </c>
      <c r="B305" s="2" t="str">
        <f>IFERROR(TRIM(Raw_Data!B305), "Review")</f>
        <v>Charlie</v>
      </c>
      <c r="C305" s="2" t="str">
        <f>IFERROR(TRIM(Raw_Data!C305), "Review")</f>
        <v>Miller</v>
      </c>
      <c r="D305" s="2">
        <f>IF(Raw_Data!D305="", "", IFERROR(VALUE(Raw_Data!D305), ""))</f>
        <v>35</v>
      </c>
      <c r="E305" s="2" t="str">
        <f>IFERROR(LEFT(Raw_Data!E305,SEARCH("-",Raw_Data!E305)-1),"Review")</f>
        <v>Cloud Tech</v>
      </c>
      <c r="F305" s="2" t="str">
        <f>IFERROR(_xlfn.TEXTAFTER(Raw_Data!E305,"-"),"Review")</f>
        <v>New York</v>
      </c>
      <c r="G305" s="2" t="str">
        <f>IFERROR(TRIM(Raw_Data!F305), "Review")</f>
        <v>Pending</v>
      </c>
      <c r="H305" s="3" t="str">
        <f>IFERROR(TEXT(Raw_Data!G305, "YYYY-MM-DD"),"Review")</f>
        <v>2022-03-15</v>
      </c>
      <c r="I305" s="4">
        <f>IF(Raw_Data!H305="", "", IFERROR(VALUE(Raw_Data!H305), ""))</f>
        <v>87018.98</v>
      </c>
      <c r="J305" s="2" t="str">
        <f>IF(Raw_Data!I305="", "", IF(ISNUMBER(FIND("@", Raw_Data!I305)), Raw_Data!I305, "Review"))</f>
        <v>charlie.miller@example.com</v>
      </c>
      <c r="K305" s="5" t="str">
        <f>IFERROR(TEXT(ABS(Raw_Data!J305), "0"), "Review")</f>
        <v>5926249450</v>
      </c>
      <c r="L305" s="2" t="str">
        <f>IFERROR(TRIM(Raw_Data!K305), "Review")</f>
        <v>Good</v>
      </c>
      <c r="M305" s="2" t="b">
        <f>IF(Raw_Data!L305="", "",
    IF(ISLOGICAL(Raw_Data!L305), Raw_Data!L305,
        IF(OR(UPPER(Raw_Data!L305)="TRUE", UPPER(Raw_Data!L305)="YES", UPPER(Raw_Data!L305)="1"), TRUE,
            IF(OR(UPPER(Raw_Data!L305)="FALSE", UPPER(Raw_Data!L305)="NO", UPPER(Raw_Data!L305)="0"), FALSE, "Review")
        )
    )
)</f>
        <v>1</v>
      </c>
    </row>
    <row r="306" spans="1:13" x14ac:dyDescent="0.4">
      <c r="A306" s="2" t="str">
        <f>IFERROR(TRIM(Raw_Data!A306), "Review")</f>
        <v>EMP1304</v>
      </c>
      <c r="B306" s="2" t="str">
        <f>IFERROR(TRIM(Raw_Data!B306), "Review")</f>
        <v>David</v>
      </c>
      <c r="C306" s="2" t="str">
        <f>IFERROR(TRIM(Raw_Data!C306), "Review")</f>
        <v>Johnson</v>
      </c>
      <c r="D306" s="2">
        <f>IF(Raw_Data!D306="", "", IFERROR(VALUE(Raw_Data!D306), ""))</f>
        <v>25</v>
      </c>
      <c r="E306" s="2" t="str">
        <f>IFERROR(LEFT(Raw_Data!E306,SEARCH("-",Raw_Data!E306)-1),"Review")</f>
        <v>Cloud Tech</v>
      </c>
      <c r="F306" s="2" t="str">
        <f>IFERROR(_xlfn.TEXTAFTER(Raw_Data!E306,"-"),"Review")</f>
        <v>California</v>
      </c>
      <c r="G306" s="2" t="str">
        <f>IFERROR(TRIM(Raw_Data!F306), "Review")</f>
        <v>Inactive</v>
      </c>
      <c r="H306" s="3" t="str">
        <f>IFERROR(TEXT(Raw_Data!G306, "YYYY-MM-DD"),"Review")</f>
        <v>2023-10-11</v>
      </c>
      <c r="I306" s="4">
        <f>IF(Raw_Data!H306="", "", IFERROR(VALUE(Raw_Data!H306), ""))</f>
        <v>100336.58</v>
      </c>
      <c r="J306" s="2" t="str">
        <f>IF(Raw_Data!I306="", "", IF(ISNUMBER(FIND("@", Raw_Data!I306)), Raw_Data!I306, "Review"))</f>
        <v>david.johnson@example.com</v>
      </c>
      <c r="K306" s="5" t="str">
        <f>IFERROR(TEXT(ABS(Raw_Data!J306), "0"), "Review")</f>
        <v>4754102251</v>
      </c>
      <c r="L306" s="2" t="str">
        <f>IFERROR(TRIM(Raw_Data!K306), "Review")</f>
        <v>Excellent</v>
      </c>
      <c r="M306" s="2" t="b">
        <f>IF(Raw_Data!L306="", "",
    IF(ISLOGICAL(Raw_Data!L306), Raw_Data!L306,
        IF(OR(UPPER(Raw_Data!L306)="TRUE", UPPER(Raw_Data!L306)="YES", UPPER(Raw_Data!L306)="1"), TRUE,
            IF(OR(UPPER(Raw_Data!L306)="FALSE", UPPER(Raw_Data!L306)="NO", UPPER(Raw_Data!L306)="0"), FALSE, "Review")
        )
    )
)</f>
        <v>1</v>
      </c>
    </row>
    <row r="307" spans="1:13" x14ac:dyDescent="0.4">
      <c r="A307" s="2" t="str">
        <f>IFERROR(TRIM(Raw_Data!A307), "Review")</f>
        <v>EMP1305</v>
      </c>
      <c r="B307" s="2" t="str">
        <f>IFERROR(TRIM(Raw_Data!B307), "Review")</f>
        <v>Grace</v>
      </c>
      <c r="C307" s="2" t="str">
        <f>IFERROR(TRIM(Raw_Data!C307), "Review")</f>
        <v>Jones</v>
      </c>
      <c r="D307" s="2">
        <f>IF(Raw_Data!D307="", "", IFERROR(VALUE(Raw_Data!D307), ""))</f>
        <v>30</v>
      </c>
      <c r="E307" s="2" t="str">
        <f>IFERROR(LEFT(Raw_Data!E307,SEARCH("-",Raw_Data!E307)-1),"Review")</f>
        <v>Admin</v>
      </c>
      <c r="F307" s="2" t="str">
        <f>IFERROR(_xlfn.TEXTAFTER(Raw_Data!E307,"-"),"Review")</f>
        <v>Florida</v>
      </c>
      <c r="G307" s="2" t="str">
        <f>IFERROR(TRIM(Raw_Data!F307), "Review")</f>
        <v>Inactive</v>
      </c>
      <c r="H307" s="3" t="str">
        <f>IFERROR(TEXT(Raw_Data!G307, "YYYY-MM-DD"),"Review")</f>
        <v>2020-11-13</v>
      </c>
      <c r="I307" s="4">
        <f>IF(Raw_Data!H307="", "", IFERROR(VALUE(Raw_Data!H307), ""))</f>
        <v>69295.48</v>
      </c>
      <c r="J307" s="2" t="str">
        <f>IF(Raw_Data!I307="", "", IF(ISNUMBER(FIND("@", Raw_Data!I307)), Raw_Data!I307, "Review"))</f>
        <v>grace.jones@example.com</v>
      </c>
      <c r="K307" s="5" t="str">
        <f>IFERROR(TEXT(ABS(Raw_Data!J307), "0"), "Review")</f>
        <v>6771196420</v>
      </c>
      <c r="L307" s="2" t="str">
        <f>IFERROR(TRIM(Raw_Data!K307), "Review")</f>
        <v>Excellent</v>
      </c>
      <c r="M307" s="2" t="b">
        <f>IF(Raw_Data!L307="", "",
    IF(ISLOGICAL(Raw_Data!L307), Raw_Data!L307,
        IF(OR(UPPER(Raw_Data!L307)="TRUE", UPPER(Raw_Data!L307)="YES", UPPER(Raw_Data!L307)="1"), TRUE,
            IF(OR(UPPER(Raw_Data!L307)="FALSE", UPPER(Raw_Data!L307)="NO", UPPER(Raw_Data!L307)="0"), FALSE, "Review")
        )
    )
)</f>
        <v>0</v>
      </c>
    </row>
    <row r="308" spans="1:13" x14ac:dyDescent="0.4">
      <c r="A308" s="2" t="str">
        <f>IFERROR(TRIM(Raw_Data!A308), "Review")</f>
        <v>EMP1306</v>
      </c>
      <c r="B308" s="2" t="str">
        <f>IFERROR(TRIM(Raw_Data!B308), "Review")</f>
        <v>Bob</v>
      </c>
      <c r="C308" s="2" t="str">
        <f>IFERROR(TRIM(Raw_Data!C308), "Review")</f>
        <v>Brown</v>
      </c>
      <c r="D308" s="2">
        <f>IF(Raw_Data!D308="", "", IFERROR(VALUE(Raw_Data!D308), ""))</f>
        <v>25</v>
      </c>
      <c r="E308" s="2" t="str">
        <f>IFERROR(LEFT(Raw_Data!E308,SEARCH("-",Raw_Data!E308)-1),"Review")</f>
        <v>DevOps</v>
      </c>
      <c r="F308" s="2" t="str">
        <f>IFERROR(_xlfn.TEXTAFTER(Raw_Data!E308,"-"),"Review")</f>
        <v>Florida</v>
      </c>
      <c r="G308" s="2" t="str">
        <f>IFERROR(TRIM(Raw_Data!F308), "Review")</f>
        <v>Pending</v>
      </c>
      <c r="H308" s="3" t="str">
        <f>IFERROR(TEXT(Raw_Data!G308, "YYYY-MM-DD"),"Review")</f>
        <v>2024-04-17</v>
      </c>
      <c r="I308" s="4">
        <f>IF(Raw_Data!H308="", "", IFERROR(VALUE(Raw_Data!H308), ""))</f>
        <v>115536.66</v>
      </c>
      <c r="J308" s="2" t="str">
        <f>IF(Raw_Data!I308="", "", IF(ISNUMBER(FIND("@", Raw_Data!I308)), Raw_Data!I308, "Review"))</f>
        <v>bob.brown@example.com</v>
      </c>
      <c r="K308" s="5" t="str">
        <f>IFERROR(TEXT(ABS(Raw_Data!J308), "0"), "Review")</f>
        <v>5226557675</v>
      </c>
      <c r="L308" s="2" t="str">
        <f>IFERROR(TRIM(Raw_Data!K308), "Review")</f>
        <v>Excellent</v>
      </c>
      <c r="M308" s="2" t="b">
        <f>IF(Raw_Data!L308="", "",
    IF(ISLOGICAL(Raw_Data!L308), Raw_Data!L308,
        IF(OR(UPPER(Raw_Data!L308)="TRUE", UPPER(Raw_Data!L308)="YES", UPPER(Raw_Data!L308)="1"), TRUE,
            IF(OR(UPPER(Raw_Data!L308)="FALSE", UPPER(Raw_Data!L308)="NO", UPPER(Raw_Data!L308)="0"), FALSE, "Review")
        )
    )
)</f>
        <v>1</v>
      </c>
    </row>
    <row r="309" spans="1:13" x14ac:dyDescent="0.4">
      <c r="A309" s="2" t="str">
        <f>IFERROR(TRIM(Raw_Data!A309), "Review")</f>
        <v>EMP1307</v>
      </c>
      <c r="B309" s="2" t="str">
        <f>IFERROR(TRIM(Raw_Data!B309), "Review")</f>
        <v>David</v>
      </c>
      <c r="C309" s="2" t="str">
        <f>IFERROR(TRIM(Raw_Data!C309), "Review")</f>
        <v>Johnson</v>
      </c>
      <c r="D309" s="2">
        <f>IF(Raw_Data!D309="", "", IFERROR(VALUE(Raw_Data!D309), ""))</f>
        <v>30</v>
      </c>
      <c r="E309" s="2" t="str">
        <f>IFERROR(LEFT(Raw_Data!E309,SEARCH("-",Raw_Data!E309)-1),"Review")</f>
        <v>Cloud Tech</v>
      </c>
      <c r="F309" s="2" t="str">
        <f>IFERROR(_xlfn.TEXTAFTER(Raw_Data!E309,"-"),"Review")</f>
        <v>Texas</v>
      </c>
      <c r="G309" s="2" t="str">
        <f>IFERROR(TRIM(Raw_Data!F309), "Review")</f>
        <v>Pending</v>
      </c>
      <c r="H309" s="3" t="str">
        <f>IFERROR(TEXT(Raw_Data!G309, "YYYY-MM-DD"),"Review")</f>
        <v>2020-03-09</v>
      </c>
      <c r="I309" s="4">
        <f>IF(Raw_Data!H309="", "", IFERROR(VALUE(Raw_Data!H309), ""))</f>
        <v>81250.87</v>
      </c>
      <c r="J309" s="2" t="str">
        <f>IF(Raw_Data!I309="", "", IF(ISNUMBER(FIND("@", Raw_Data!I309)), Raw_Data!I309, "Review"))</f>
        <v>david.johnson@example.com</v>
      </c>
      <c r="K309" s="5" t="str">
        <f>IFERROR(TEXT(ABS(Raw_Data!J309), "0"), "Review")</f>
        <v>9523668787</v>
      </c>
      <c r="L309" s="2" t="str">
        <f>IFERROR(TRIM(Raw_Data!K309), "Review")</f>
        <v>Excellent</v>
      </c>
      <c r="M309" s="2" t="b">
        <f>IF(Raw_Data!L309="", "",
    IF(ISLOGICAL(Raw_Data!L309), Raw_Data!L309,
        IF(OR(UPPER(Raw_Data!L309)="TRUE", UPPER(Raw_Data!L309)="YES", UPPER(Raw_Data!L309)="1"), TRUE,
            IF(OR(UPPER(Raw_Data!L309)="FALSE", UPPER(Raw_Data!L309)="NO", UPPER(Raw_Data!L309)="0"), FALSE, "Review")
        )
    )
)</f>
        <v>0</v>
      </c>
    </row>
    <row r="310" spans="1:13" x14ac:dyDescent="0.4">
      <c r="A310" s="2" t="str">
        <f>IFERROR(TRIM(Raw_Data!A310), "Review")</f>
        <v>EMP1308</v>
      </c>
      <c r="B310" s="2" t="str">
        <f>IFERROR(TRIM(Raw_Data!B310), "Review")</f>
        <v>Alice</v>
      </c>
      <c r="C310" s="2" t="str">
        <f>IFERROR(TRIM(Raw_Data!C310), "Review")</f>
        <v>Garcia</v>
      </c>
      <c r="D310" s="2">
        <f>IF(Raw_Data!D310="", "", IFERROR(VALUE(Raw_Data!D310), ""))</f>
        <v>30</v>
      </c>
      <c r="E310" s="2" t="str">
        <f>IFERROR(LEFT(Raw_Data!E310,SEARCH("-",Raw_Data!E310)-1),"Review")</f>
        <v>DevOps</v>
      </c>
      <c r="F310" s="2" t="str">
        <f>IFERROR(_xlfn.TEXTAFTER(Raw_Data!E310,"-"),"Review")</f>
        <v>Texas</v>
      </c>
      <c r="G310" s="2" t="str">
        <f>IFERROR(TRIM(Raw_Data!F310), "Review")</f>
        <v>Inactive</v>
      </c>
      <c r="H310" s="3" t="str">
        <f>IFERROR(TEXT(Raw_Data!G310, "YYYY-MM-DD"),"Review")</f>
        <v>2022-06-17</v>
      </c>
      <c r="I310" s="4">
        <f>IF(Raw_Data!H310="", "", IFERROR(VALUE(Raw_Data!H310), ""))</f>
        <v>66403.75</v>
      </c>
      <c r="J310" s="2" t="str">
        <f>IF(Raw_Data!I310="", "", IF(ISNUMBER(FIND("@", Raw_Data!I310)), Raw_Data!I310, "Review"))</f>
        <v>alice.garcia@example.com</v>
      </c>
      <c r="K310" s="5" t="str">
        <f>IFERROR(TEXT(ABS(Raw_Data!J310), "0"), "Review")</f>
        <v>7883619688</v>
      </c>
      <c r="L310" s="2" t="str">
        <f>IFERROR(TRIM(Raw_Data!K310), "Review")</f>
        <v>Good</v>
      </c>
      <c r="M310" s="2" t="b">
        <f>IF(Raw_Data!L310="", "",
    IF(ISLOGICAL(Raw_Data!L310), Raw_Data!L310,
        IF(OR(UPPER(Raw_Data!L310)="TRUE", UPPER(Raw_Data!L310)="YES", UPPER(Raw_Data!L310)="1"), TRUE,
            IF(OR(UPPER(Raw_Data!L310)="FALSE", UPPER(Raw_Data!L310)="NO", UPPER(Raw_Data!L310)="0"), FALSE, "Review")
        )
    )
)</f>
        <v>0</v>
      </c>
    </row>
    <row r="311" spans="1:13" x14ac:dyDescent="0.4">
      <c r="A311" s="2" t="str">
        <f>IFERROR(TRIM(Raw_Data!A311), "Review")</f>
        <v>EMP1309</v>
      </c>
      <c r="B311" s="2" t="str">
        <f>IFERROR(TRIM(Raw_Data!B311), "Review")</f>
        <v>Alice</v>
      </c>
      <c r="C311" s="2" t="str">
        <f>IFERROR(TRIM(Raw_Data!C311), "Review")</f>
        <v>Miller</v>
      </c>
      <c r="D311" s="2">
        <f>IF(Raw_Data!D311="", "", IFERROR(VALUE(Raw_Data!D311), ""))</f>
        <v>30</v>
      </c>
      <c r="E311" s="2" t="str">
        <f>IFERROR(LEFT(Raw_Data!E311,SEARCH("-",Raw_Data!E311)-1),"Review")</f>
        <v>Sales</v>
      </c>
      <c r="F311" s="2" t="str">
        <f>IFERROR(_xlfn.TEXTAFTER(Raw_Data!E311,"-"),"Review")</f>
        <v>California</v>
      </c>
      <c r="G311" s="2" t="str">
        <f>IFERROR(TRIM(Raw_Data!F311), "Review")</f>
        <v>Active</v>
      </c>
      <c r="H311" s="3" t="str">
        <f>IFERROR(TEXT(Raw_Data!G311, "YYYY-MM-DD"),"Review")</f>
        <v>2024-07-28</v>
      </c>
      <c r="I311" s="4">
        <f>IF(Raw_Data!H311="", "", IFERROR(VALUE(Raw_Data!H311), ""))</f>
        <v>114147.79</v>
      </c>
      <c r="J311" s="2" t="str">
        <f>IF(Raw_Data!I311="", "", IF(ISNUMBER(FIND("@", Raw_Data!I311)), Raw_Data!I311, "Review"))</f>
        <v>alice.miller@example.com</v>
      </c>
      <c r="K311" s="5" t="str">
        <f>IFERROR(TEXT(ABS(Raw_Data!J311), "0"), "Review")</f>
        <v>3135030586</v>
      </c>
      <c r="L311" s="2" t="str">
        <f>IFERROR(TRIM(Raw_Data!K311), "Review")</f>
        <v>Excellent</v>
      </c>
      <c r="M311" s="2" t="b">
        <f>IF(Raw_Data!L311="", "",
    IF(ISLOGICAL(Raw_Data!L311), Raw_Data!L311,
        IF(OR(UPPER(Raw_Data!L311)="TRUE", UPPER(Raw_Data!L311)="YES", UPPER(Raw_Data!L311)="1"), TRUE,
            IF(OR(UPPER(Raw_Data!L311)="FALSE", UPPER(Raw_Data!L311)="NO", UPPER(Raw_Data!L311)="0"), FALSE, "Review")
        )
    )
)</f>
        <v>0</v>
      </c>
    </row>
    <row r="312" spans="1:13" x14ac:dyDescent="0.4">
      <c r="A312" s="2" t="str">
        <f>IFERROR(TRIM(Raw_Data!A312), "Review")</f>
        <v>EMP1310</v>
      </c>
      <c r="B312" s="2" t="str">
        <f>IFERROR(TRIM(Raw_Data!B312), "Review")</f>
        <v>Frank</v>
      </c>
      <c r="C312" s="2" t="str">
        <f>IFERROR(TRIM(Raw_Data!C312), "Review")</f>
        <v>Garcia</v>
      </c>
      <c r="D312" s="2">
        <f>IF(Raw_Data!D312="", "", IFERROR(VALUE(Raw_Data!D312), ""))</f>
        <v>30</v>
      </c>
      <c r="E312" s="2" t="str">
        <f>IFERROR(LEFT(Raw_Data!E312,SEARCH("-",Raw_Data!E312)-1),"Review")</f>
        <v>HR</v>
      </c>
      <c r="F312" s="2" t="str">
        <f>IFERROR(_xlfn.TEXTAFTER(Raw_Data!E312,"-"),"Review")</f>
        <v>New York</v>
      </c>
      <c r="G312" s="2" t="str">
        <f>IFERROR(TRIM(Raw_Data!F312), "Review")</f>
        <v>Pending</v>
      </c>
      <c r="H312" s="3" t="str">
        <f>IFERROR(TEXT(Raw_Data!G312, "YYYY-MM-DD"),"Review")</f>
        <v>2022-12-03</v>
      </c>
      <c r="I312" s="4">
        <f>IF(Raw_Data!H312="", "", IFERROR(VALUE(Raw_Data!H312), ""))</f>
        <v>65472.99</v>
      </c>
      <c r="J312" s="2" t="str">
        <f>IF(Raw_Data!I312="", "", IF(ISNUMBER(FIND("@", Raw_Data!I312)), Raw_Data!I312, "Review"))</f>
        <v>frank.garcia@example.com</v>
      </c>
      <c r="K312" s="5" t="str">
        <f>IFERROR(TEXT(ABS(Raw_Data!J312), "0"), "Review")</f>
        <v>2105524727</v>
      </c>
      <c r="L312" s="2" t="str">
        <f>IFERROR(TRIM(Raw_Data!K312), "Review")</f>
        <v>Good</v>
      </c>
      <c r="M312" s="2" t="b">
        <f>IF(Raw_Data!L312="", "",
    IF(ISLOGICAL(Raw_Data!L312), Raw_Data!L312,
        IF(OR(UPPER(Raw_Data!L312)="TRUE", UPPER(Raw_Data!L312)="YES", UPPER(Raw_Data!L312)="1"), TRUE,
            IF(OR(UPPER(Raw_Data!L312)="FALSE", UPPER(Raw_Data!L312)="NO", UPPER(Raw_Data!L312)="0"), FALSE, "Review")
        )
    )
)</f>
        <v>0</v>
      </c>
    </row>
    <row r="313" spans="1:13" x14ac:dyDescent="0.4">
      <c r="A313" s="2" t="str">
        <f>IFERROR(TRIM(Raw_Data!A313), "Review")</f>
        <v>EMP1311</v>
      </c>
      <c r="B313" s="2" t="str">
        <f>IFERROR(TRIM(Raw_Data!B313), "Review")</f>
        <v>Alice</v>
      </c>
      <c r="C313" s="2" t="str">
        <f>IFERROR(TRIM(Raw_Data!C313), "Review")</f>
        <v>Davis</v>
      </c>
      <c r="D313" s="2" t="str">
        <f>IF(Raw_Data!D313="", "", IFERROR(VALUE(Raw_Data!D313), ""))</f>
        <v/>
      </c>
      <c r="E313" s="2" t="str">
        <f>IFERROR(LEFT(Raw_Data!E313,SEARCH("-",Raw_Data!E313)-1),"Review")</f>
        <v>Sales</v>
      </c>
      <c r="F313" s="2" t="str">
        <f>IFERROR(_xlfn.TEXTAFTER(Raw_Data!E313,"-"),"Review")</f>
        <v>Nevada</v>
      </c>
      <c r="G313" s="2" t="str">
        <f>IFERROR(TRIM(Raw_Data!F313), "Review")</f>
        <v>Active</v>
      </c>
      <c r="H313" s="3" t="str">
        <f>IFERROR(TEXT(Raw_Data!G313, "YYYY-MM-DD"),"Review")</f>
        <v>2023-07-06</v>
      </c>
      <c r="I313" s="4">
        <f>IF(Raw_Data!H313="", "", IFERROR(VALUE(Raw_Data!H313), ""))</f>
        <v>97512.51</v>
      </c>
      <c r="J313" s="2" t="str">
        <f>IF(Raw_Data!I313="", "", IF(ISNUMBER(FIND("@", Raw_Data!I313)), Raw_Data!I313, "Review"))</f>
        <v>alice.davis@example.com</v>
      </c>
      <c r="K313" s="5" t="str">
        <f>IFERROR(TEXT(ABS(Raw_Data!J313), "0"), "Review")</f>
        <v>6333021259</v>
      </c>
      <c r="L313" s="2" t="str">
        <f>IFERROR(TRIM(Raw_Data!K313), "Review")</f>
        <v>Good</v>
      </c>
      <c r="M313" s="2" t="b">
        <f>IF(Raw_Data!L313="", "",
    IF(ISLOGICAL(Raw_Data!L313), Raw_Data!L313,
        IF(OR(UPPER(Raw_Data!L313)="TRUE", UPPER(Raw_Data!L313)="YES", UPPER(Raw_Data!L313)="1"), TRUE,
            IF(OR(UPPER(Raw_Data!L313)="FALSE", UPPER(Raw_Data!L313)="NO", UPPER(Raw_Data!L313)="0"), FALSE, "Review")
        )
    )
)</f>
        <v>1</v>
      </c>
    </row>
    <row r="314" spans="1:13" x14ac:dyDescent="0.4">
      <c r="A314" s="2" t="str">
        <f>IFERROR(TRIM(Raw_Data!A314), "Review")</f>
        <v>EMP1312</v>
      </c>
      <c r="B314" s="2" t="str">
        <f>IFERROR(TRIM(Raw_Data!B314), "Review")</f>
        <v>Alice</v>
      </c>
      <c r="C314" s="2" t="str">
        <f>IFERROR(TRIM(Raw_Data!C314), "Review")</f>
        <v>Brown</v>
      </c>
      <c r="D314" s="2">
        <f>IF(Raw_Data!D314="", "", IFERROR(VALUE(Raw_Data!D314), ""))</f>
        <v>35</v>
      </c>
      <c r="E314" s="2" t="str">
        <f>IFERROR(LEFT(Raw_Data!E314,SEARCH("-",Raw_Data!E314)-1),"Review")</f>
        <v>DevOps</v>
      </c>
      <c r="F314" s="2" t="str">
        <f>IFERROR(_xlfn.TEXTAFTER(Raw_Data!E314,"-"),"Review")</f>
        <v>Nevada</v>
      </c>
      <c r="G314" s="2" t="str">
        <f>IFERROR(TRIM(Raw_Data!F314), "Review")</f>
        <v>Inactive</v>
      </c>
      <c r="H314" s="3" t="str">
        <f>IFERROR(TEXT(Raw_Data!G314, "YYYY-MM-DD"),"Review")</f>
        <v>2024-05-28</v>
      </c>
      <c r="I314" s="4">
        <f>IF(Raw_Data!H314="", "", IFERROR(VALUE(Raw_Data!H314), ""))</f>
        <v>86712.41</v>
      </c>
      <c r="J314" s="2" t="str">
        <f>IF(Raw_Data!I314="", "", IF(ISNUMBER(FIND("@", Raw_Data!I314)), Raw_Data!I314, "Review"))</f>
        <v>alice.brown@example.com</v>
      </c>
      <c r="K314" s="5" t="str">
        <f>IFERROR(TEXT(ABS(Raw_Data!J314), "0"), "Review")</f>
        <v>6501917919</v>
      </c>
      <c r="L314" s="2" t="str">
        <f>IFERROR(TRIM(Raw_Data!K314), "Review")</f>
        <v>Average</v>
      </c>
      <c r="M314" s="2" t="b">
        <f>IF(Raw_Data!L314="", "",
    IF(ISLOGICAL(Raw_Data!L314), Raw_Data!L314,
        IF(OR(UPPER(Raw_Data!L314)="TRUE", UPPER(Raw_Data!L314)="YES", UPPER(Raw_Data!L314)="1"), TRUE,
            IF(OR(UPPER(Raw_Data!L314)="FALSE", UPPER(Raw_Data!L314)="NO", UPPER(Raw_Data!L314)="0"), FALSE, "Review")
        )
    )
)</f>
        <v>1</v>
      </c>
    </row>
    <row r="315" spans="1:13" x14ac:dyDescent="0.4">
      <c r="A315" s="2" t="str">
        <f>IFERROR(TRIM(Raw_Data!A315), "Review")</f>
        <v>EMP1313</v>
      </c>
      <c r="B315" s="2" t="str">
        <f>IFERROR(TRIM(Raw_Data!B315), "Review")</f>
        <v>Grace</v>
      </c>
      <c r="C315" s="2" t="str">
        <f>IFERROR(TRIM(Raw_Data!C315), "Review")</f>
        <v>Davis</v>
      </c>
      <c r="D315" s="2">
        <f>IF(Raw_Data!D315="", "", IFERROR(VALUE(Raw_Data!D315), ""))</f>
        <v>30</v>
      </c>
      <c r="E315" s="2" t="str">
        <f>IFERROR(LEFT(Raw_Data!E315,SEARCH("-",Raw_Data!E315)-1),"Review")</f>
        <v>HR</v>
      </c>
      <c r="F315" s="2" t="str">
        <f>IFERROR(_xlfn.TEXTAFTER(Raw_Data!E315,"-"),"Review")</f>
        <v>Florida</v>
      </c>
      <c r="G315" s="2" t="str">
        <f>IFERROR(TRIM(Raw_Data!F315), "Review")</f>
        <v>Active</v>
      </c>
      <c r="H315" s="3" t="str">
        <f>IFERROR(TEXT(Raw_Data!G315, "YYYY-MM-DD"),"Review")</f>
        <v>2024-03-25</v>
      </c>
      <c r="I315" s="4">
        <f>IF(Raw_Data!H315="", "", IFERROR(VALUE(Raw_Data!H315), ""))</f>
        <v>87654.98</v>
      </c>
      <c r="J315" s="2" t="str">
        <f>IF(Raw_Data!I315="", "", IF(ISNUMBER(FIND("@", Raw_Data!I315)), Raw_Data!I315, "Review"))</f>
        <v>grace.davis@example.com</v>
      </c>
      <c r="K315" s="5" t="str">
        <f>IFERROR(TEXT(ABS(Raw_Data!J315), "0"), "Review")</f>
        <v>2521310961</v>
      </c>
      <c r="L315" s="2" t="str">
        <f>IFERROR(TRIM(Raw_Data!K315), "Review")</f>
        <v>Poor</v>
      </c>
      <c r="M315" s="2" t="b">
        <f>IF(Raw_Data!L315="", "",
    IF(ISLOGICAL(Raw_Data!L315), Raw_Data!L315,
        IF(OR(UPPER(Raw_Data!L315)="TRUE", UPPER(Raw_Data!L315)="YES", UPPER(Raw_Data!L315)="1"), TRUE,
            IF(OR(UPPER(Raw_Data!L315)="FALSE", UPPER(Raw_Data!L315)="NO", UPPER(Raw_Data!L315)="0"), FALSE, "Review")
        )
    )
)</f>
        <v>0</v>
      </c>
    </row>
    <row r="316" spans="1:13" x14ac:dyDescent="0.4">
      <c r="A316" s="2" t="str">
        <f>IFERROR(TRIM(Raw_Data!A316), "Review")</f>
        <v>EMP1314</v>
      </c>
      <c r="B316" s="2" t="str">
        <f>IFERROR(TRIM(Raw_Data!B316), "Review")</f>
        <v>David</v>
      </c>
      <c r="C316" s="2" t="str">
        <f>IFERROR(TRIM(Raw_Data!C316), "Review")</f>
        <v>Williams</v>
      </c>
      <c r="D316" s="2">
        <f>IF(Raw_Data!D316="", "", IFERROR(VALUE(Raw_Data!D316), ""))</f>
        <v>35</v>
      </c>
      <c r="E316" s="2" t="str">
        <f>IFERROR(LEFT(Raw_Data!E316,SEARCH("-",Raw_Data!E316)-1),"Review")</f>
        <v>DevOps</v>
      </c>
      <c r="F316" s="2" t="str">
        <f>IFERROR(_xlfn.TEXTAFTER(Raw_Data!E316,"-"),"Review")</f>
        <v>New York</v>
      </c>
      <c r="G316" s="2" t="str">
        <f>IFERROR(TRIM(Raw_Data!F316), "Review")</f>
        <v>Inactive</v>
      </c>
      <c r="H316" s="3" t="str">
        <f>IFERROR(TEXT(Raw_Data!G316, "YYYY-MM-DD"),"Review")</f>
        <v>2020-04-28</v>
      </c>
      <c r="I316" s="4">
        <f>IF(Raw_Data!H316="", "", IFERROR(VALUE(Raw_Data!H316), ""))</f>
        <v>89367.02</v>
      </c>
      <c r="J316" s="2" t="str">
        <f>IF(Raw_Data!I316="", "", IF(ISNUMBER(FIND("@", Raw_Data!I316)), Raw_Data!I316, "Review"))</f>
        <v>david.williams@example.com</v>
      </c>
      <c r="K316" s="5" t="str">
        <f>IFERROR(TEXT(ABS(Raw_Data!J316), "0"), "Review")</f>
        <v>2728476569</v>
      </c>
      <c r="L316" s="2" t="str">
        <f>IFERROR(TRIM(Raw_Data!K316), "Review")</f>
        <v>Poor</v>
      </c>
      <c r="M316" s="2" t="b">
        <f>IF(Raw_Data!L316="", "",
    IF(ISLOGICAL(Raw_Data!L316), Raw_Data!L316,
        IF(OR(UPPER(Raw_Data!L316)="TRUE", UPPER(Raw_Data!L316)="YES", UPPER(Raw_Data!L316)="1"), TRUE,
            IF(OR(UPPER(Raw_Data!L316)="FALSE", UPPER(Raw_Data!L316)="NO", UPPER(Raw_Data!L316)="0"), FALSE, "Review")
        )
    )
)</f>
        <v>0</v>
      </c>
    </row>
    <row r="317" spans="1:13" x14ac:dyDescent="0.4">
      <c r="A317" s="2" t="str">
        <f>IFERROR(TRIM(Raw_Data!A317), "Review")</f>
        <v>EMP1315</v>
      </c>
      <c r="B317" s="2" t="str">
        <f>IFERROR(TRIM(Raw_Data!B317), "Review")</f>
        <v>Charlie</v>
      </c>
      <c r="C317" s="2" t="str">
        <f>IFERROR(TRIM(Raw_Data!C317), "Review")</f>
        <v>Garcia</v>
      </c>
      <c r="D317" s="2">
        <f>IF(Raw_Data!D317="", "", IFERROR(VALUE(Raw_Data!D317), ""))</f>
        <v>40</v>
      </c>
      <c r="E317" s="2" t="str">
        <f>IFERROR(LEFT(Raw_Data!E317,SEARCH("-",Raw_Data!E317)-1),"Review")</f>
        <v>Admin</v>
      </c>
      <c r="F317" s="2" t="str">
        <f>IFERROR(_xlfn.TEXTAFTER(Raw_Data!E317,"-"),"Review")</f>
        <v>California</v>
      </c>
      <c r="G317" s="2" t="str">
        <f>IFERROR(TRIM(Raw_Data!F317), "Review")</f>
        <v>Active</v>
      </c>
      <c r="H317" s="3" t="str">
        <f>IFERROR(TEXT(Raw_Data!G317, "YYYY-MM-DD"),"Review")</f>
        <v>2021-11-07</v>
      </c>
      <c r="I317" s="4">
        <f>IF(Raw_Data!H317="", "", IFERROR(VALUE(Raw_Data!H317), ""))</f>
        <v>95269.41</v>
      </c>
      <c r="J317" s="2" t="str">
        <f>IF(Raw_Data!I317="", "", IF(ISNUMBER(FIND("@", Raw_Data!I317)), Raw_Data!I317, "Review"))</f>
        <v>charlie.garcia@example.com</v>
      </c>
      <c r="K317" s="5" t="str">
        <f>IFERROR(TEXT(ABS(Raw_Data!J317), "0"), "Review")</f>
        <v>4120092819</v>
      </c>
      <c r="L317" s="2" t="str">
        <f>IFERROR(TRIM(Raw_Data!K317), "Review")</f>
        <v>Good</v>
      </c>
      <c r="M317" s="2" t="b">
        <f>IF(Raw_Data!L317="", "",
    IF(ISLOGICAL(Raw_Data!L317), Raw_Data!L317,
        IF(OR(UPPER(Raw_Data!L317)="TRUE", UPPER(Raw_Data!L317)="YES", UPPER(Raw_Data!L317)="1"), TRUE,
            IF(OR(UPPER(Raw_Data!L317)="FALSE", UPPER(Raw_Data!L317)="NO", UPPER(Raw_Data!L317)="0"), FALSE, "Review")
        )
    )
)</f>
        <v>1</v>
      </c>
    </row>
    <row r="318" spans="1:13" x14ac:dyDescent="0.4">
      <c r="A318" s="2" t="str">
        <f>IFERROR(TRIM(Raw_Data!A318), "Review")</f>
        <v>EMP1316</v>
      </c>
      <c r="B318" s="2" t="str">
        <f>IFERROR(TRIM(Raw_Data!B318), "Review")</f>
        <v>Frank</v>
      </c>
      <c r="C318" s="2" t="str">
        <f>IFERROR(TRIM(Raw_Data!C318), "Review")</f>
        <v>Williams</v>
      </c>
      <c r="D318" s="2">
        <f>IF(Raw_Data!D318="", "", IFERROR(VALUE(Raw_Data!D318), ""))</f>
        <v>25</v>
      </c>
      <c r="E318" s="2" t="str">
        <f>IFERROR(LEFT(Raw_Data!E318,SEARCH("-",Raw_Data!E318)-1),"Review")</f>
        <v>Sales</v>
      </c>
      <c r="F318" s="2" t="str">
        <f>IFERROR(_xlfn.TEXTAFTER(Raw_Data!E318,"-"),"Review")</f>
        <v>Nevada</v>
      </c>
      <c r="G318" s="2" t="str">
        <f>IFERROR(TRIM(Raw_Data!F318), "Review")</f>
        <v>Active</v>
      </c>
      <c r="H318" s="3" t="str">
        <f>IFERROR(TEXT(Raw_Data!G318, "YYYY-MM-DD"),"Review")</f>
        <v>2020-04-15</v>
      </c>
      <c r="I318" s="4">
        <f>IF(Raw_Data!H318="", "", IFERROR(VALUE(Raw_Data!H318), ""))</f>
        <v>68792.31</v>
      </c>
      <c r="J318" s="2" t="str">
        <f>IF(Raw_Data!I318="", "", IF(ISNUMBER(FIND("@", Raw_Data!I318)), Raw_Data!I318, "Review"))</f>
        <v>frank.williams@example.com</v>
      </c>
      <c r="K318" s="5" t="str">
        <f>IFERROR(TEXT(ABS(Raw_Data!J318), "0"), "Review")</f>
        <v>6678498435</v>
      </c>
      <c r="L318" s="2" t="str">
        <f>IFERROR(TRIM(Raw_Data!K318), "Review")</f>
        <v>Average</v>
      </c>
      <c r="M318" s="2" t="b">
        <f>IF(Raw_Data!L318="", "",
    IF(ISLOGICAL(Raw_Data!L318), Raw_Data!L318,
        IF(OR(UPPER(Raw_Data!L318)="TRUE", UPPER(Raw_Data!L318)="YES", UPPER(Raw_Data!L318)="1"), TRUE,
            IF(OR(UPPER(Raw_Data!L318)="FALSE", UPPER(Raw_Data!L318)="NO", UPPER(Raw_Data!L318)="0"), FALSE, "Review")
        )
    )
)</f>
        <v>0</v>
      </c>
    </row>
    <row r="319" spans="1:13" x14ac:dyDescent="0.4">
      <c r="A319" s="2" t="str">
        <f>IFERROR(TRIM(Raw_Data!A319), "Review")</f>
        <v>EMP1317</v>
      </c>
      <c r="B319" s="2" t="str">
        <f>IFERROR(TRIM(Raw_Data!B319), "Review")</f>
        <v>Alice</v>
      </c>
      <c r="C319" s="2" t="str">
        <f>IFERROR(TRIM(Raw_Data!C319), "Review")</f>
        <v>Smith</v>
      </c>
      <c r="D319" s="2">
        <f>IF(Raw_Data!D319="", "", IFERROR(VALUE(Raw_Data!D319), ""))</f>
        <v>25</v>
      </c>
      <c r="E319" s="2" t="str">
        <f>IFERROR(LEFT(Raw_Data!E319,SEARCH("-",Raw_Data!E319)-1),"Review")</f>
        <v>Admin</v>
      </c>
      <c r="F319" s="2" t="str">
        <f>IFERROR(_xlfn.TEXTAFTER(Raw_Data!E319,"-"),"Review")</f>
        <v>Illinois</v>
      </c>
      <c r="G319" s="2" t="str">
        <f>IFERROR(TRIM(Raw_Data!F319), "Review")</f>
        <v>Pending</v>
      </c>
      <c r="H319" s="3" t="str">
        <f>IFERROR(TEXT(Raw_Data!G319, "YYYY-MM-DD"),"Review")</f>
        <v>2023-10-07</v>
      </c>
      <c r="I319" s="4">
        <f>IF(Raw_Data!H319="", "", IFERROR(VALUE(Raw_Data!H319), ""))</f>
        <v>89119.53</v>
      </c>
      <c r="J319" s="2" t="str">
        <f>IF(Raw_Data!I319="", "", IF(ISNUMBER(FIND("@", Raw_Data!I319)), Raw_Data!I319, "Review"))</f>
        <v>alice.smith@example.com</v>
      </c>
      <c r="K319" s="5" t="str">
        <f>IFERROR(TEXT(ABS(Raw_Data!J319), "0"), "Review")</f>
        <v>2418623689</v>
      </c>
      <c r="L319" s="2" t="str">
        <f>IFERROR(TRIM(Raw_Data!K319), "Review")</f>
        <v>Good</v>
      </c>
      <c r="M319" s="2" t="b">
        <f>IF(Raw_Data!L319="", "",
    IF(ISLOGICAL(Raw_Data!L319), Raw_Data!L319,
        IF(OR(UPPER(Raw_Data!L319)="TRUE", UPPER(Raw_Data!L319)="YES", UPPER(Raw_Data!L319)="1"), TRUE,
            IF(OR(UPPER(Raw_Data!L319)="FALSE", UPPER(Raw_Data!L319)="NO", UPPER(Raw_Data!L319)="0"), FALSE, "Review")
        )
    )
)</f>
        <v>1</v>
      </c>
    </row>
    <row r="320" spans="1:13" x14ac:dyDescent="0.4">
      <c r="A320" s="2" t="str">
        <f>IFERROR(TRIM(Raw_Data!A320), "Review")</f>
        <v>EMP1318</v>
      </c>
      <c r="B320" s="2" t="str">
        <f>IFERROR(TRIM(Raw_Data!B320), "Review")</f>
        <v>Frank</v>
      </c>
      <c r="C320" s="2" t="str">
        <f>IFERROR(TRIM(Raw_Data!C320), "Review")</f>
        <v>Davis</v>
      </c>
      <c r="D320" s="2">
        <f>IF(Raw_Data!D320="", "", IFERROR(VALUE(Raw_Data!D320), ""))</f>
        <v>35</v>
      </c>
      <c r="E320" s="2" t="str">
        <f>IFERROR(LEFT(Raw_Data!E320,SEARCH("-",Raw_Data!E320)-1),"Review")</f>
        <v>Cloud Tech</v>
      </c>
      <c r="F320" s="2" t="str">
        <f>IFERROR(_xlfn.TEXTAFTER(Raw_Data!E320,"-"),"Review")</f>
        <v>New York</v>
      </c>
      <c r="G320" s="2" t="str">
        <f>IFERROR(TRIM(Raw_Data!F320), "Review")</f>
        <v>Active</v>
      </c>
      <c r="H320" s="3" t="str">
        <f>IFERROR(TEXT(Raw_Data!G320, "YYYY-MM-DD"),"Review")</f>
        <v>2024-02-27</v>
      </c>
      <c r="I320" s="4">
        <f>IF(Raw_Data!H320="", "", IFERROR(VALUE(Raw_Data!H320), ""))</f>
        <v>58212.13</v>
      </c>
      <c r="J320" s="2" t="str">
        <f>IF(Raw_Data!I320="", "", IF(ISNUMBER(FIND("@", Raw_Data!I320)), Raw_Data!I320, "Review"))</f>
        <v>frank.davis@example.com</v>
      </c>
      <c r="K320" s="5" t="str">
        <f>IFERROR(TEXT(ABS(Raw_Data!J320), "0"), "Review")</f>
        <v>3628917755</v>
      </c>
      <c r="L320" s="2" t="str">
        <f>IFERROR(TRIM(Raw_Data!K320), "Review")</f>
        <v>Good</v>
      </c>
      <c r="M320" s="2" t="b">
        <f>IF(Raw_Data!L320="", "",
    IF(ISLOGICAL(Raw_Data!L320), Raw_Data!L320,
        IF(OR(UPPER(Raw_Data!L320)="TRUE", UPPER(Raw_Data!L320)="YES", UPPER(Raw_Data!L320)="1"), TRUE,
            IF(OR(UPPER(Raw_Data!L320)="FALSE", UPPER(Raw_Data!L320)="NO", UPPER(Raw_Data!L320)="0"), FALSE, "Review")
        )
    )
)</f>
        <v>0</v>
      </c>
    </row>
    <row r="321" spans="1:13" x14ac:dyDescent="0.4">
      <c r="A321" s="2" t="str">
        <f>IFERROR(TRIM(Raw_Data!A321), "Review")</f>
        <v>EMP1319</v>
      </c>
      <c r="B321" s="2" t="str">
        <f>IFERROR(TRIM(Raw_Data!B321), "Review")</f>
        <v>Heidi</v>
      </c>
      <c r="C321" s="2" t="str">
        <f>IFERROR(TRIM(Raw_Data!C321), "Review")</f>
        <v>Miller</v>
      </c>
      <c r="D321" s="2">
        <f>IF(Raw_Data!D321="", "", IFERROR(VALUE(Raw_Data!D321), ""))</f>
        <v>30</v>
      </c>
      <c r="E321" s="2" t="str">
        <f>IFERROR(LEFT(Raw_Data!E321,SEARCH("-",Raw_Data!E321)-1),"Review")</f>
        <v>DevOps</v>
      </c>
      <c r="F321" s="2" t="str">
        <f>IFERROR(_xlfn.TEXTAFTER(Raw_Data!E321,"-"),"Review")</f>
        <v>Illinois</v>
      </c>
      <c r="G321" s="2" t="str">
        <f>IFERROR(TRIM(Raw_Data!F321), "Review")</f>
        <v>Pending</v>
      </c>
      <c r="H321" s="3" t="str">
        <f>IFERROR(TEXT(Raw_Data!G321, "YYYY-MM-DD"),"Review")</f>
        <v>2021-02-22</v>
      </c>
      <c r="I321" s="4">
        <f>IF(Raw_Data!H321="", "", IFERROR(VALUE(Raw_Data!H321), ""))</f>
        <v>77764.240000000005</v>
      </c>
      <c r="J321" s="2" t="str">
        <f>IF(Raw_Data!I321="", "", IF(ISNUMBER(FIND("@", Raw_Data!I321)), Raw_Data!I321, "Review"))</f>
        <v>heidi.miller@example.com</v>
      </c>
      <c r="K321" s="5" t="str">
        <f>IFERROR(TEXT(ABS(Raw_Data!J321), "0"), "Review")</f>
        <v>6205634110</v>
      </c>
      <c r="L321" s="2" t="str">
        <f>IFERROR(TRIM(Raw_Data!K321), "Review")</f>
        <v>Good</v>
      </c>
      <c r="M321" s="2" t="b">
        <f>IF(Raw_Data!L321="", "",
    IF(ISLOGICAL(Raw_Data!L321), Raw_Data!L321,
        IF(OR(UPPER(Raw_Data!L321)="TRUE", UPPER(Raw_Data!L321)="YES", UPPER(Raw_Data!L321)="1"), TRUE,
            IF(OR(UPPER(Raw_Data!L321)="FALSE", UPPER(Raw_Data!L321)="NO", UPPER(Raw_Data!L321)="0"), FALSE, "Review")
        )
    )
)</f>
        <v>1</v>
      </c>
    </row>
    <row r="322" spans="1:13" x14ac:dyDescent="0.4">
      <c r="A322" s="2" t="str">
        <f>IFERROR(TRIM(Raw_Data!A322), "Review")</f>
        <v>EMP1320</v>
      </c>
      <c r="B322" s="2" t="str">
        <f>IFERROR(TRIM(Raw_Data!B322), "Review")</f>
        <v>Frank</v>
      </c>
      <c r="C322" s="2" t="str">
        <f>IFERROR(TRIM(Raw_Data!C322), "Review")</f>
        <v>Garcia</v>
      </c>
      <c r="D322" s="2">
        <f>IF(Raw_Data!D322="", "", IFERROR(VALUE(Raw_Data!D322), ""))</f>
        <v>35</v>
      </c>
      <c r="E322" s="2" t="str">
        <f>IFERROR(LEFT(Raw_Data!E322,SEARCH("-",Raw_Data!E322)-1),"Review")</f>
        <v>Finance</v>
      </c>
      <c r="F322" s="2" t="str">
        <f>IFERROR(_xlfn.TEXTAFTER(Raw_Data!E322,"-"),"Review")</f>
        <v>Florida</v>
      </c>
      <c r="G322" s="2" t="str">
        <f>IFERROR(TRIM(Raw_Data!F322), "Review")</f>
        <v>Pending</v>
      </c>
      <c r="H322" s="3" t="str">
        <f>IFERROR(TEXT(Raw_Data!G322, "YYYY-MM-DD"),"Review")</f>
        <v>2023-08-21</v>
      </c>
      <c r="I322" s="4">
        <f>IF(Raw_Data!H322="", "", IFERROR(VALUE(Raw_Data!H322), ""))</f>
        <v>75148.17</v>
      </c>
      <c r="J322" s="2" t="str">
        <f>IF(Raw_Data!I322="", "", IF(ISNUMBER(FIND("@", Raw_Data!I322)), Raw_Data!I322, "Review"))</f>
        <v>frank.garcia@example.com</v>
      </c>
      <c r="K322" s="5" t="str">
        <f>IFERROR(TEXT(ABS(Raw_Data!J322), "0"), "Review")</f>
        <v>5950342810</v>
      </c>
      <c r="L322" s="2" t="str">
        <f>IFERROR(TRIM(Raw_Data!K322), "Review")</f>
        <v>Average</v>
      </c>
      <c r="M322" s="2" t="b">
        <f>IF(Raw_Data!L322="", "",
    IF(ISLOGICAL(Raw_Data!L322), Raw_Data!L322,
        IF(OR(UPPER(Raw_Data!L322)="TRUE", UPPER(Raw_Data!L322)="YES", UPPER(Raw_Data!L322)="1"), TRUE,
            IF(OR(UPPER(Raw_Data!L322)="FALSE", UPPER(Raw_Data!L322)="NO", UPPER(Raw_Data!L322)="0"), FALSE, "Review")
        )
    )
)</f>
        <v>0</v>
      </c>
    </row>
    <row r="323" spans="1:13" x14ac:dyDescent="0.4">
      <c r="A323" s="2" t="str">
        <f>IFERROR(TRIM(Raw_Data!A323), "Review")</f>
        <v>EMP1321</v>
      </c>
      <c r="B323" s="2" t="str">
        <f>IFERROR(TRIM(Raw_Data!B323), "Review")</f>
        <v>Heidi</v>
      </c>
      <c r="C323" s="2" t="str">
        <f>IFERROR(TRIM(Raw_Data!C323), "Review")</f>
        <v>Jones</v>
      </c>
      <c r="D323" s="2">
        <f>IF(Raw_Data!D323="", "", IFERROR(VALUE(Raw_Data!D323), ""))</f>
        <v>40</v>
      </c>
      <c r="E323" s="2" t="str">
        <f>IFERROR(LEFT(Raw_Data!E323,SEARCH("-",Raw_Data!E323)-1),"Review")</f>
        <v>Cloud Tech</v>
      </c>
      <c r="F323" s="2" t="str">
        <f>IFERROR(_xlfn.TEXTAFTER(Raw_Data!E323,"-"),"Review")</f>
        <v>Nevada</v>
      </c>
      <c r="G323" s="2" t="str">
        <f>IFERROR(TRIM(Raw_Data!F323), "Review")</f>
        <v>Inactive</v>
      </c>
      <c r="H323" s="3" t="str">
        <f>IFERROR(TEXT(Raw_Data!G323, "YYYY-MM-DD"),"Review")</f>
        <v>2024-04-08</v>
      </c>
      <c r="I323" s="4">
        <f>IF(Raw_Data!H323="", "", IFERROR(VALUE(Raw_Data!H323), ""))</f>
        <v>108781.18</v>
      </c>
      <c r="J323" s="2" t="str">
        <f>IF(Raw_Data!I323="", "", IF(ISNUMBER(FIND("@", Raw_Data!I323)), Raw_Data!I323, "Review"))</f>
        <v>heidi.jones@example.com</v>
      </c>
      <c r="K323" s="5" t="str">
        <f>IFERROR(TEXT(ABS(Raw_Data!J323), "0"), "Review")</f>
        <v>3904383033</v>
      </c>
      <c r="L323" s="2" t="str">
        <f>IFERROR(TRIM(Raw_Data!K323), "Review")</f>
        <v>Poor</v>
      </c>
      <c r="M323" s="2" t="b">
        <f>IF(Raw_Data!L323="", "",
    IF(ISLOGICAL(Raw_Data!L323), Raw_Data!L323,
        IF(OR(UPPER(Raw_Data!L323)="TRUE", UPPER(Raw_Data!L323)="YES", UPPER(Raw_Data!L323)="1"), TRUE,
            IF(OR(UPPER(Raw_Data!L323)="FALSE", UPPER(Raw_Data!L323)="NO", UPPER(Raw_Data!L323)="0"), FALSE, "Review")
        )
    )
)</f>
        <v>0</v>
      </c>
    </row>
    <row r="324" spans="1:13" x14ac:dyDescent="0.4">
      <c r="A324" s="2" t="str">
        <f>IFERROR(TRIM(Raw_Data!A324), "Review")</f>
        <v>EMP1322</v>
      </c>
      <c r="B324" s="2" t="str">
        <f>IFERROR(TRIM(Raw_Data!B324), "Review")</f>
        <v>Frank</v>
      </c>
      <c r="C324" s="2" t="str">
        <f>IFERROR(TRIM(Raw_Data!C324), "Review")</f>
        <v>Brown</v>
      </c>
      <c r="D324" s="2">
        <f>IF(Raw_Data!D324="", "", IFERROR(VALUE(Raw_Data!D324), ""))</f>
        <v>35</v>
      </c>
      <c r="E324" s="2" t="str">
        <f>IFERROR(LEFT(Raw_Data!E324,SEARCH("-",Raw_Data!E324)-1),"Review")</f>
        <v>Finance</v>
      </c>
      <c r="F324" s="2" t="str">
        <f>IFERROR(_xlfn.TEXTAFTER(Raw_Data!E324,"-"),"Review")</f>
        <v>Texas</v>
      </c>
      <c r="G324" s="2" t="str">
        <f>IFERROR(TRIM(Raw_Data!F324), "Review")</f>
        <v>Pending</v>
      </c>
      <c r="H324" s="3" t="str">
        <f>IFERROR(TEXT(Raw_Data!G324, "YYYY-MM-DD"),"Review")</f>
        <v>2024-11-04</v>
      </c>
      <c r="I324" s="4">
        <f>IF(Raw_Data!H324="", "", IFERROR(VALUE(Raw_Data!H324), ""))</f>
        <v>65489.19</v>
      </c>
      <c r="J324" s="2" t="str">
        <f>IF(Raw_Data!I324="", "", IF(ISNUMBER(FIND("@", Raw_Data!I324)), Raw_Data!I324, "Review"))</f>
        <v>frank.brown@example.com</v>
      </c>
      <c r="K324" s="5" t="str">
        <f>IFERROR(TEXT(ABS(Raw_Data!J324), "0"), "Review")</f>
        <v>1990970050</v>
      </c>
      <c r="L324" s="2" t="str">
        <f>IFERROR(TRIM(Raw_Data!K324), "Review")</f>
        <v>Average</v>
      </c>
      <c r="M324" s="2" t="b">
        <f>IF(Raw_Data!L324="", "",
    IF(ISLOGICAL(Raw_Data!L324), Raw_Data!L324,
        IF(OR(UPPER(Raw_Data!L324)="TRUE", UPPER(Raw_Data!L324)="YES", UPPER(Raw_Data!L324)="1"), TRUE,
            IF(OR(UPPER(Raw_Data!L324)="FALSE", UPPER(Raw_Data!L324)="NO", UPPER(Raw_Data!L324)="0"), FALSE, "Review")
        )
    )
)</f>
        <v>1</v>
      </c>
    </row>
    <row r="325" spans="1:13" x14ac:dyDescent="0.4">
      <c r="A325" s="2" t="str">
        <f>IFERROR(TRIM(Raw_Data!A325), "Review")</f>
        <v>EMP1323</v>
      </c>
      <c r="B325" s="2" t="str">
        <f>IFERROR(TRIM(Raw_Data!B325), "Review")</f>
        <v>Eva</v>
      </c>
      <c r="C325" s="2" t="str">
        <f>IFERROR(TRIM(Raw_Data!C325), "Review")</f>
        <v>Johnson</v>
      </c>
      <c r="D325" s="2" t="str">
        <f>IF(Raw_Data!D325="", "", IFERROR(VALUE(Raw_Data!D325), ""))</f>
        <v/>
      </c>
      <c r="E325" s="2" t="str">
        <f>IFERROR(LEFT(Raw_Data!E325,SEARCH("-",Raw_Data!E325)-1),"Review")</f>
        <v>Sales</v>
      </c>
      <c r="F325" s="2" t="str">
        <f>IFERROR(_xlfn.TEXTAFTER(Raw_Data!E325,"-"),"Review")</f>
        <v>Illinois</v>
      </c>
      <c r="G325" s="2" t="str">
        <f>IFERROR(TRIM(Raw_Data!F325), "Review")</f>
        <v>Pending</v>
      </c>
      <c r="H325" s="3" t="str">
        <f>IFERROR(TEXT(Raw_Data!G325, "YYYY-MM-DD"),"Review")</f>
        <v>2022-05-05</v>
      </c>
      <c r="I325" s="4">
        <f>IF(Raw_Data!H325="", "", IFERROR(VALUE(Raw_Data!H325), ""))</f>
        <v>70663.460000000006</v>
      </c>
      <c r="J325" s="2" t="str">
        <f>IF(Raw_Data!I325="", "", IF(ISNUMBER(FIND("@", Raw_Data!I325)), Raw_Data!I325, "Review"))</f>
        <v>eva.johnson@example.com</v>
      </c>
      <c r="K325" s="5" t="str">
        <f>IFERROR(TEXT(ABS(Raw_Data!J325), "0"), "Review")</f>
        <v>4054683564</v>
      </c>
      <c r="L325" s="2" t="str">
        <f>IFERROR(TRIM(Raw_Data!K325), "Review")</f>
        <v>Excellent</v>
      </c>
      <c r="M325" s="2" t="b">
        <f>IF(Raw_Data!L325="", "",
    IF(ISLOGICAL(Raw_Data!L325), Raw_Data!L325,
        IF(OR(UPPER(Raw_Data!L325)="TRUE", UPPER(Raw_Data!L325)="YES", UPPER(Raw_Data!L325)="1"), TRUE,
            IF(OR(UPPER(Raw_Data!L325)="FALSE", UPPER(Raw_Data!L325)="NO", UPPER(Raw_Data!L325)="0"), FALSE, "Review")
        )
    )
)</f>
        <v>0</v>
      </c>
    </row>
    <row r="326" spans="1:13" x14ac:dyDescent="0.4">
      <c r="A326" s="2" t="str">
        <f>IFERROR(TRIM(Raw_Data!A326), "Review")</f>
        <v>EMP1324</v>
      </c>
      <c r="B326" s="2" t="str">
        <f>IFERROR(TRIM(Raw_Data!B326), "Review")</f>
        <v>David</v>
      </c>
      <c r="C326" s="2" t="str">
        <f>IFERROR(TRIM(Raw_Data!C326), "Review")</f>
        <v>Miller</v>
      </c>
      <c r="D326" s="2">
        <f>IF(Raw_Data!D326="", "", IFERROR(VALUE(Raw_Data!D326), ""))</f>
        <v>40</v>
      </c>
      <c r="E326" s="2" t="str">
        <f>IFERROR(LEFT(Raw_Data!E326,SEARCH("-",Raw_Data!E326)-1),"Review")</f>
        <v>Sales</v>
      </c>
      <c r="F326" s="2" t="str">
        <f>IFERROR(_xlfn.TEXTAFTER(Raw_Data!E326,"-"),"Review")</f>
        <v>New York</v>
      </c>
      <c r="G326" s="2" t="str">
        <f>IFERROR(TRIM(Raw_Data!F326), "Review")</f>
        <v>Inactive</v>
      </c>
      <c r="H326" s="3" t="str">
        <f>IFERROR(TEXT(Raw_Data!G326, "YYYY-MM-DD"),"Review")</f>
        <v>2023-02-01</v>
      </c>
      <c r="I326" s="4">
        <f>IF(Raw_Data!H326="", "", IFERROR(VALUE(Raw_Data!H326), ""))</f>
        <v>95822.56</v>
      </c>
      <c r="J326" s="2" t="str">
        <f>IF(Raw_Data!I326="", "", IF(ISNUMBER(FIND("@", Raw_Data!I326)), Raw_Data!I326, "Review"))</f>
        <v>david.miller@example.com</v>
      </c>
      <c r="K326" s="5" t="str">
        <f>IFERROR(TEXT(ABS(Raw_Data!J326), "0"), "Review")</f>
        <v>2156818208</v>
      </c>
      <c r="L326" s="2" t="str">
        <f>IFERROR(TRIM(Raw_Data!K326), "Review")</f>
        <v>Average</v>
      </c>
      <c r="M326" s="2" t="b">
        <f>IF(Raw_Data!L326="", "",
    IF(ISLOGICAL(Raw_Data!L326), Raw_Data!L326,
        IF(OR(UPPER(Raw_Data!L326)="TRUE", UPPER(Raw_Data!L326)="YES", UPPER(Raw_Data!L326)="1"), TRUE,
            IF(OR(UPPER(Raw_Data!L326)="FALSE", UPPER(Raw_Data!L326)="NO", UPPER(Raw_Data!L326)="0"), FALSE, "Review")
        )
    )
)</f>
        <v>0</v>
      </c>
    </row>
    <row r="327" spans="1:13" x14ac:dyDescent="0.4">
      <c r="A327" s="2" t="str">
        <f>IFERROR(TRIM(Raw_Data!A327), "Review")</f>
        <v>EMP1325</v>
      </c>
      <c r="B327" s="2" t="str">
        <f>IFERROR(TRIM(Raw_Data!B327), "Review")</f>
        <v>Eva</v>
      </c>
      <c r="C327" s="2" t="str">
        <f>IFERROR(TRIM(Raw_Data!C327), "Review")</f>
        <v>Miller</v>
      </c>
      <c r="D327" s="2">
        <f>IF(Raw_Data!D327="", "", IFERROR(VALUE(Raw_Data!D327), ""))</f>
        <v>40</v>
      </c>
      <c r="E327" s="2" t="str">
        <f>IFERROR(LEFT(Raw_Data!E327,SEARCH("-",Raw_Data!E327)-1),"Review")</f>
        <v>DevOps</v>
      </c>
      <c r="F327" s="2" t="str">
        <f>IFERROR(_xlfn.TEXTAFTER(Raw_Data!E327,"-"),"Review")</f>
        <v>Nevada</v>
      </c>
      <c r="G327" s="2" t="str">
        <f>IFERROR(TRIM(Raw_Data!F327), "Review")</f>
        <v>Pending</v>
      </c>
      <c r="H327" s="3" t="str">
        <f>IFERROR(TEXT(Raw_Data!G327, "YYYY-MM-DD"),"Review")</f>
        <v>2022-10-01</v>
      </c>
      <c r="I327" s="4">
        <f>IF(Raw_Data!H327="", "", IFERROR(VALUE(Raw_Data!H327), ""))</f>
        <v>82258.03</v>
      </c>
      <c r="J327" s="2" t="str">
        <f>IF(Raw_Data!I327="", "", IF(ISNUMBER(FIND("@", Raw_Data!I327)), Raw_Data!I327, "Review"))</f>
        <v>eva.miller@example.com</v>
      </c>
      <c r="K327" s="5" t="str">
        <f>IFERROR(TEXT(ABS(Raw_Data!J327), "0"), "Review")</f>
        <v>6790422710</v>
      </c>
      <c r="L327" s="2" t="str">
        <f>IFERROR(TRIM(Raw_Data!K327), "Review")</f>
        <v>Average</v>
      </c>
      <c r="M327" s="2" t="b">
        <f>IF(Raw_Data!L327="", "",
    IF(ISLOGICAL(Raw_Data!L327), Raw_Data!L327,
        IF(OR(UPPER(Raw_Data!L327)="TRUE", UPPER(Raw_Data!L327)="YES", UPPER(Raw_Data!L327)="1"), TRUE,
            IF(OR(UPPER(Raw_Data!L327)="FALSE", UPPER(Raw_Data!L327)="NO", UPPER(Raw_Data!L327)="0"), FALSE, "Review")
        )
    )
)</f>
        <v>1</v>
      </c>
    </row>
    <row r="328" spans="1:13" x14ac:dyDescent="0.4">
      <c r="A328" s="2" t="str">
        <f>IFERROR(TRIM(Raw_Data!A328), "Review")</f>
        <v>EMP1326</v>
      </c>
      <c r="B328" s="2" t="str">
        <f>IFERROR(TRIM(Raw_Data!B328), "Review")</f>
        <v>Frank</v>
      </c>
      <c r="C328" s="2" t="str">
        <f>IFERROR(TRIM(Raw_Data!C328), "Review")</f>
        <v>Williams</v>
      </c>
      <c r="D328" s="2">
        <f>IF(Raw_Data!D328="", "", IFERROR(VALUE(Raw_Data!D328), ""))</f>
        <v>30</v>
      </c>
      <c r="E328" s="2" t="str">
        <f>IFERROR(LEFT(Raw_Data!E328,SEARCH("-",Raw_Data!E328)-1),"Review")</f>
        <v>Admin</v>
      </c>
      <c r="F328" s="2" t="str">
        <f>IFERROR(_xlfn.TEXTAFTER(Raw_Data!E328,"-"),"Review")</f>
        <v>Nevada</v>
      </c>
      <c r="G328" s="2" t="str">
        <f>IFERROR(TRIM(Raw_Data!F328), "Review")</f>
        <v>Pending</v>
      </c>
      <c r="H328" s="3" t="str">
        <f>IFERROR(TEXT(Raw_Data!G328, "YYYY-MM-DD"),"Review")</f>
        <v>2022-09-27</v>
      </c>
      <c r="I328" s="4">
        <f>IF(Raw_Data!H328="", "", IFERROR(VALUE(Raw_Data!H328), ""))</f>
        <v>62883.34</v>
      </c>
      <c r="J328" s="2" t="str">
        <f>IF(Raw_Data!I328="", "", IF(ISNUMBER(FIND("@", Raw_Data!I328)), Raw_Data!I328, "Review"))</f>
        <v>frank.williams@example.com</v>
      </c>
      <c r="K328" s="5" t="str">
        <f>IFERROR(TEXT(ABS(Raw_Data!J328), "0"), "Review")</f>
        <v>3322889856</v>
      </c>
      <c r="L328" s="2" t="str">
        <f>IFERROR(TRIM(Raw_Data!K328), "Review")</f>
        <v>Average</v>
      </c>
      <c r="M328" s="2" t="b">
        <f>IF(Raw_Data!L328="", "",
    IF(ISLOGICAL(Raw_Data!L328), Raw_Data!L328,
        IF(OR(UPPER(Raw_Data!L328)="TRUE", UPPER(Raw_Data!L328)="YES", UPPER(Raw_Data!L328)="1"), TRUE,
            IF(OR(UPPER(Raw_Data!L328)="FALSE", UPPER(Raw_Data!L328)="NO", UPPER(Raw_Data!L328)="0"), FALSE, "Review")
        )
    )
)</f>
        <v>0</v>
      </c>
    </row>
    <row r="329" spans="1:13" x14ac:dyDescent="0.4">
      <c r="A329" s="2" t="str">
        <f>IFERROR(TRIM(Raw_Data!A329), "Review")</f>
        <v>EMP1327</v>
      </c>
      <c r="B329" s="2" t="str">
        <f>IFERROR(TRIM(Raw_Data!B329), "Review")</f>
        <v>Alice</v>
      </c>
      <c r="C329" s="2" t="str">
        <f>IFERROR(TRIM(Raw_Data!C329), "Review")</f>
        <v>Davis</v>
      </c>
      <c r="D329" s="2" t="str">
        <f>IF(Raw_Data!D329="", "", IFERROR(VALUE(Raw_Data!D329), ""))</f>
        <v/>
      </c>
      <c r="E329" s="2" t="str">
        <f>IFERROR(LEFT(Raw_Data!E329,SEARCH("-",Raw_Data!E329)-1),"Review")</f>
        <v>Cloud Tech</v>
      </c>
      <c r="F329" s="2" t="str">
        <f>IFERROR(_xlfn.TEXTAFTER(Raw_Data!E329,"-"),"Review")</f>
        <v>Texas</v>
      </c>
      <c r="G329" s="2" t="str">
        <f>IFERROR(TRIM(Raw_Data!F329), "Review")</f>
        <v>Pending</v>
      </c>
      <c r="H329" s="3" t="str">
        <f>IFERROR(TEXT(Raw_Data!G329, "YYYY-MM-DD"),"Review")</f>
        <v>2020-04-09</v>
      </c>
      <c r="I329" s="4">
        <f>IF(Raw_Data!H329="", "", IFERROR(VALUE(Raw_Data!H329), ""))</f>
        <v>103503.72</v>
      </c>
      <c r="J329" s="2" t="str">
        <f>IF(Raw_Data!I329="", "", IF(ISNUMBER(FIND("@", Raw_Data!I329)), Raw_Data!I329, "Review"))</f>
        <v>alice.davis@example.com</v>
      </c>
      <c r="K329" s="5" t="str">
        <f>IFERROR(TEXT(ABS(Raw_Data!J329), "0"), "Review")</f>
        <v>2545960632</v>
      </c>
      <c r="L329" s="2" t="str">
        <f>IFERROR(TRIM(Raw_Data!K329), "Review")</f>
        <v>Average</v>
      </c>
      <c r="M329" s="2" t="b">
        <f>IF(Raw_Data!L329="", "",
    IF(ISLOGICAL(Raw_Data!L329), Raw_Data!L329,
        IF(OR(UPPER(Raw_Data!L329)="TRUE", UPPER(Raw_Data!L329)="YES", UPPER(Raw_Data!L329)="1"), TRUE,
            IF(OR(UPPER(Raw_Data!L329)="FALSE", UPPER(Raw_Data!L329)="NO", UPPER(Raw_Data!L329)="0"), FALSE, "Review")
        )
    )
)</f>
        <v>1</v>
      </c>
    </row>
    <row r="330" spans="1:13" x14ac:dyDescent="0.4">
      <c r="A330" s="2" t="str">
        <f>IFERROR(TRIM(Raw_Data!A330), "Review")</f>
        <v>EMP1328</v>
      </c>
      <c r="B330" s="2" t="str">
        <f>IFERROR(TRIM(Raw_Data!B330), "Review")</f>
        <v>David</v>
      </c>
      <c r="C330" s="2" t="str">
        <f>IFERROR(TRIM(Raw_Data!C330), "Review")</f>
        <v>Garcia</v>
      </c>
      <c r="D330" s="2">
        <f>IF(Raw_Data!D330="", "", IFERROR(VALUE(Raw_Data!D330), ""))</f>
        <v>25</v>
      </c>
      <c r="E330" s="2" t="str">
        <f>IFERROR(LEFT(Raw_Data!E330,SEARCH("-",Raw_Data!E330)-1),"Review")</f>
        <v>DevOps</v>
      </c>
      <c r="F330" s="2" t="str">
        <f>IFERROR(_xlfn.TEXTAFTER(Raw_Data!E330,"-"),"Review")</f>
        <v>New York</v>
      </c>
      <c r="G330" s="2" t="str">
        <f>IFERROR(TRIM(Raw_Data!F330), "Review")</f>
        <v>Active</v>
      </c>
      <c r="H330" s="3" t="str">
        <f>IFERROR(TEXT(Raw_Data!G330, "YYYY-MM-DD"),"Review")</f>
        <v>2021-03-23</v>
      </c>
      <c r="I330" s="4">
        <f>IF(Raw_Data!H330="", "", IFERROR(VALUE(Raw_Data!H330), ""))</f>
        <v>85401.3</v>
      </c>
      <c r="J330" s="2" t="str">
        <f>IF(Raw_Data!I330="", "", IF(ISNUMBER(FIND("@", Raw_Data!I330)), Raw_Data!I330, "Review"))</f>
        <v>david.garcia@example.com</v>
      </c>
      <c r="K330" s="5" t="str">
        <f>IFERROR(TEXT(ABS(Raw_Data!J330), "0"), "Review")</f>
        <v>9912971023</v>
      </c>
      <c r="L330" s="2" t="str">
        <f>IFERROR(TRIM(Raw_Data!K330), "Review")</f>
        <v>Poor</v>
      </c>
      <c r="M330" s="2" t="b">
        <f>IF(Raw_Data!L330="", "",
    IF(ISLOGICAL(Raw_Data!L330), Raw_Data!L330,
        IF(OR(UPPER(Raw_Data!L330)="TRUE", UPPER(Raw_Data!L330)="YES", UPPER(Raw_Data!L330)="1"), TRUE,
            IF(OR(UPPER(Raw_Data!L330)="FALSE", UPPER(Raw_Data!L330)="NO", UPPER(Raw_Data!L330)="0"), FALSE, "Review")
        )
    )
)</f>
        <v>1</v>
      </c>
    </row>
    <row r="331" spans="1:13" x14ac:dyDescent="0.4">
      <c r="A331" s="2" t="str">
        <f>IFERROR(TRIM(Raw_Data!A331), "Review")</f>
        <v>EMP1329</v>
      </c>
      <c r="B331" s="2" t="str">
        <f>IFERROR(TRIM(Raw_Data!B331), "Review")</f>
        <v>Heidi</v>
      </c>
      <c r="C331" s="2" t="str">
        <f>IFERROR(TRIM(Raw_Data!C331), "Review")</f>
        <v>Garcia</v>
      </c>
      <c r="D331" s="2">
        <f>IF(Raw_Data!D331="", "", IFERROR(VALUE(Raw_Data!D331), ""))</f>
        <v>40</v>
      </c>
      <c r="E331" s="2" t="str">
        <f>IFERROR(LEFT(Raw_Data!E331,SEARCH("-",Raw_Data!E331)-1),"Review")</f>
        <v>Cloud Tech</v>
      </c>
      <c r="F331" s="2" t="str">
        <f>IFERROR(_xlfn.TEXTAFTER(Raw_Data!E331,"-"),"Review")</f>
        <v>Texas</v>
      </c>
      <c r="G331" s="2" t="str">
        <f>IFERROR(TRIM(Raw_Data!F331), "Review")</f>
        <v>Pending</v>
      </c>
      <c r="H331" s="3" t="str">
        <f>IFERROR(TEXT(Raw_Data!G331, "YYYY-MM-DD"),"Review")</f>
        <v>2023-02-03</v>
      </c>
      <c r="I331" s="4" t="str">
        <f>IF(Raw_Data!H331="", "", IFERROR(VALUE(Raw_Data!H331), ""))</f>
        <v/>
      </c>
      <c r="J331" s="2" t="str">
        <f>IF(Raw_Data!I331="", "", IF(ISNUMBER(FIND("@", Raw_Data!I331)), Raw_Data!I331, "Review"))</f>
        <v>heidi.garcia@example.com</v>
      </c>
      <c r="K331" s="5" t="str">
        <f>IFERROR(TEXT(ABS(Raw_Data!J331), "0"), "Review")</f>
        <v>8171752420</v>
      </c>
      <c r="L331" s="2" t="str">
        <f>IFERROR(TRIM(Raw_Data!K331), "Review")</f>
        <v>Excellent</v>
      </c>
      <c r="M331" s="2" t="b">
        <f>IF(Raw_Data!L331="", "",
    IF(ISLOGICAL(Raw_Data!L331), Raw_Data!L331,
        IF(OR(UPPER(Raw_Data!L331)="TRUE", UPPER(Raw_Data!L331)="YES", UPPER(Raw_Data!L331)="1"), TRUE,
            IF(OR(UPPER(Raw_Data!L331)="FALSE", UPPER(Raw_Data!L331)="NO", UPPER(Raw_Data!L331)="0"), FALSE, "Review")
        )
    )
)</f>
        <v>0</v>
      </c>
    </row>
    <row r="332" spans="1:13" x14ac:dyDescent="0.4">
      <c r="A332" s="2" t="str">
        <f>IFERROR(TRIM(Raw_Data!A332), "Review")</f>
        <v>EMP1330</v>
      </c>
      <c r="B332" s="2" t="str">
        <f>IFERROR(TRIM(Raw_Data!B332), "Review")</f>
        <v>Eva</v>
      </c>
      <c r="C332" s="2" t="str">
        <f>IFERROR(TRIM(Raw_Data!C332), "Review")</f>
        <v>Smith</v>
      </c>
      <c r="D332" s="2" t="str">
        <f>IF(Raw_Data!D332="", "", IFERROR(VALUE(Raw_Data!D332), ""))</f>
        <v/>
      </c>
      <c r="E332" s="2" t="str">
        <f>IFERROR(LEFT(Raw_Data!E332,SEARCH("-",Raw_Data!E332)-1),"Review")</f>
        <v>HR</v>
      </c>
      <c r="F332" s="2" t="str">
        <f>IFERROR(_xlfn.TEXTAFTER(Raw_Data!E332,"-"),"Review")</f>
        <v>Texas</v>
      </c>
      <c r="G332" s="2" t="str">
        <f>IFERROR(TRIM(Raw_Data!F332), "Review")</f>
        <v>Pending</v>
      </c>
      <c r="H332" s="3" t="str">
        <f>IFERROR(TEXT(Raw_Data!G332, "YYYY-MM-DD"),"Review")</f>
        <v>2024-07-23</v>
      </c>
      <c r="I332" s="4">
        <f>IF(Raw_Data!H332="", "", IFERROR(VALUE(Raw_Data!H332), ""))</f>
        <v>98850.14</v>
      </c>
      <c r="J332" s="2" t="str">
        <f>IF(Raw_Data!I332="", "", IF(ISNUMBER(FIND("@", Raw_Data!I332)), Raw_Data!I332, "Review"))</f>
        <v>eva.smith@example.com</v>
      </c>
      <c r="K332" s="5" t="str">
        <f>IFERROR(TEXT(ABS(Raw_Data!J332), "0"), "Review")</f>
        <v>4955112746</v>
      </c>
      <c r="L332" s="2" t="str">
        <f>IFERROR(TRIM(Raw_Data!K332), "Review")</f>
        <v>Poor</v>
      </c>
      <c r="M332" s="2" t="b">
        <f>IF(Raw_Data!L332="", "",
    IF(ISLOGICAL(Raw_Data!L332), Raw_Data!L332,
        IF(OR(UPPER(Raw_Data!L332)="TRUE", UPPER(Raw_Data!L332)="YES", UPPER(Raw_Data!L332)="1"), TRUE,
            IF(OR(UPPER(Raw_Data!L332)="FALSE", UPPER(Raw_Data!L332)="NO", UPPER(Raw_Data!L332)="0"), FALSE, "Review")
        )
    )
)</f>
        <v>0</v>
      </c>
    </row>
    <row r="333" spans="1:13" x14ac:dyDescent="0.4">
      <c r="A333" s="2" t="str">
        <f>IFERROR(TRIM(Raw_Data!A333), "Review")</f>
        <v>EMP1331</v>
      </c>
      <c r="B333" s="2" t="str">
        <f>IFERROR(TRIM(Raw_Data!B333), "Review")</f>
        <v>Charlie</v>
      </c>
      <c r="C333" s="2" t="str">
        <f>IFERROR(TRIM(Raw_Data!C333), "Review")</f>
        <v>Smith</v>
      </c>
      <c r="D333" s="2">
        <f>IF(Raw_Data!D333="", "", IFERROR(VALUE(Raw_Data!D333), ""))</f>
        <v>25</v>
      </c>
      <c r="E333" s="2" t="str">
        <f>IFERROR(LEFT(Raw_Data!E333,SEARCH("-",Raw_Data!E333)-1),"Review")</f>
        <v>Cloud Tech</v>
      </c>
      <c r="F333" s="2" t="str">
        <f>IFERROR(_xlfn.TEXTAFTER(Raw_Data!E333,"-"),"Review")</f>
        <v>Illinois</v>
      </c>
      <c r="G333" s="2" t="str">
        <f>IFERROR(TRIM(Raw_Data!F333), "Review")</f>
        <v>Active</v>
      </c>
      <c r="H333" s="3" t="str">
        <f>IFERROR(TEXT(Raw_Data!G333, "YYYY-MM-DD"),"Review")</f>
        <v>2021-05-08</v>
      </c>
      <c r="I333" s="4">
        <f>IF(Raw_Data!H333="", "", IFERROR(VALUE(Raw_Data!H333), ""))</f>
        <v>63435.24</v>
      </c>
      <c r="J333" s="2" t="str">
        <f>IF(Raw_Data!I333="", "", IF(ISNUMBER(FIND("@", Raw_Data!I333)), Raw_Data!I333, "Review"))</f>
        <v>charlie.smith@example.com</v>
      </c>
      <c r="K333" s="5" t="str">
        <f>IFERROR(TEXT(ABS(Raw_Data!J333), "0"), "Review")</f>
        <v>4721970545</v>
      </c>
      <c r="L333" s="2" t="str">
        <f>IFERROR(TRIM(Raw_Data!K333), "Review")</f>
        <v>Poor</v>
      </c>
      <c r="M333" s="2" t="b">
        <f>IF(Raw_Data!L333="", "",
    IF(ISLOGICAL(Raw_Data!L333), Raw_Data!L333,
        IF(OR(UPPER(Raw_Data!L333)="TRUE", UPPER(Raw_Data!L333)="YES", UPPER(Raw_Data!L333)="1"), TRUE,
            IF(OR(UPPER(Raw_Data!L333)="FALSE", UPPER(Raw_Data!L333)="NO", UPPER(Raw_Data!L333)="0"), FALSE, "Review")
        )
    )
)</f>
        <v>0</v>
      </c>
    </row>
    <row r="334" spans="1:13" x14ac:dyDescent="0.4">
      <c r="A334" s="2" t="str">
        <f>IFERROR(TRIM(Raw_Data!A334), "Review")</f>
        <v>EMP1332</v>
      </c>
      <c r="B334" s="2" t="str">
        <f>IFERROR(TRIM(Raw_Data!B334), "Review")</f>
        <v>Frank</v>
      </c>
      <c r="C334" s="2" t="str">
        <f>IFERROR(TRIM(Raw_Data!C334), "Review")</f>
        <v>Brown</v>
      </c>
      <c r="D334" s="2">
        <f>IF(Raw_Data!D334="", "", IFERROR(VALUE(Raw_Data!D334), ""))</f>
        <v>35</v>
      </c>
      <c r="E334" s="2" t="str">
        <f>IFERROR(LEFT(Raw_Data!E334,SEARCH("-",Raw_Data!E334)-1),"Review")</f>
        <v>Finance</v>
      </c>
      <c r="F334" s="2" t="str">
        <f>IFERROR(_xlfn.TEXTAFTER(Raw_Data!E334,"-"),"Review")</f>
        <v>Texas</v>
      </c>
      <c r="G334" s="2" t="str">
        <f>IFERROR(TRIM(Raw_Data!F334), "Review")</f>
        <v>Inactive</v>
      </c>
      <c r="H334" s="3" t="str">
        <f>IFERROR(TEXT(Raw_Data!G334, "YYYY-MM-DD"),"Review")</f>
        <v>2022-04-11</v>
      </c>
      <c r="I334" s="4">
        <f>IF(Raw_Data!H334="", "", IFERROR(VALUE(Raw_Data!H334), ""))</f>
        <v>82129.84</v>
      </c>
      <c r="J334" s="2" t="str">
        <f>IF(Raw_Data!I334="", "", IF(ISNUMBER(FIND("@", Raw_Data!I334)), Raw_Data!I334, "Review"))</f>
        <v>frank.brown@example.com</v>
      </c>
      <c r="K334" s="5" t="str">
        <f>IFERROR(TEXT(ABS(Raw_Data!J334), "0"), "Review")</f>
        <v>6927589550</v>
      </c>
      <c r="L334" s="2" t="str">
        <f>IFERROR(TRIM(Raw_Data!K334), "Review")</f>
        <v>Average</v>
      </c>
      <c r="M334" s="2" t="b">
        <f>IF(Raw_Data!L334="", "",
    IF(ISLOGICAL(Raw_Data!L334), Raw_Data!L334,
        IF(OR(UPPER(Raw_Data!L334)="TRUE", UPPER(Raw_Data!L334)="YES", UPPER(Raw_Data!L334)="1"), TRUE,
            IF(OR(UPPER(Raw_Data!L334)="FALSE", UPPER(Raw_Data!L334)="NO", UPPER(Raw_Data!L334)="0"), FALSE, "Review")
        )
    )
)</f>
        <v>0</v>
      </c>
    </row>
    <row r="335" spans="1:13" x14ac:dyDescent="0.4">
      <c r="A335" s="2" t="str">
        <f>IFERROR(TRIM(Raw_Data!A335), "Review")</f>
        <v>EMP1333</v>
      </c>
      <c r="B335" s="2" t="str">
        <f>IFERROR(TRIM(Raw_Data!B335), "Review")</f>
        <v>David</v>
      </c>
      <c r="C335" s="2" t="str">
        <f>IFERROR(TRIM(Raw_Data!C335), "Review")</f>
        <v>Williams</v>
      </c>
      <c r="D335" s="2">
        <f>IF(Raw_Data!D335="", "", IFERROR(VALUE(Raw_Data!D335), ""))</f>
        <v>35</v>
      </c>
      <c r="E335" s="2" t="str">
        <f>IFERROR(LEFT(Raw_Data!E335,SEARCH("-",Raw_Data!E335)-1),"Review")</f>
        <v>DevOps</v>
      </c>
      <c r="F335" s="2" t="str">
        <f>IFERROR(_xlfn.TEXTAFTER(Raw_Data!E335,"-"),"Review")</f>
        <v>Texas</v>
      </c>
      <c r="G335" s="2" t="str">
        <f>IFERROR(TRIM(Raw_Data!F335), "Review")</f>
        <v>Pending</v>
      </c>
      <c r="H335" s="3" t="str">
        <f>IFERROR(TEXT(Raw_Data!G335, "YYYY-MM-DD"),"Review")</f>
        <v>2024-10-23</v>
      </c>
      <c r="I335" s="4">
        <f>IF(Raw_Data!H335="", "", IFERROR(VALUE(Raw_Data!H335), ""))</f>
        <v>95492.61</v>
      </c>
      <c r="J335" s="2" t="str">
        <f>IF(Raw_Data!I335="", "", IF(ISNUMBER(FIND("@", Raw_Data!I335)), Raw_Data!I335, "Review"))</f>
        <v>david.williams@example.com</v>
      </c>
      <c r="K335" s="5" t="str">
        <f>IFERROR(TEXT(ABS(Raw_Data!J335), "0"), "Review")</f>
        <v>6874090379</v>
      </c>
      <c r="L335" s="2" t="str">
        <f>IFERROR(TRIM(Raw_Data!K335), "Review")</f>
        <v>Good</v>
      </c>
      <c r="M335" s="2" t="b">
        <f>IF(Raw_Data!L335="", "",
    IF(ISLOGICAL(Raw_Data!L335), Raw_Data!L335,
        IF(OR(UPPER(Raw_Data!L335)="TRUE", UPPER(Raw_Data!L335)="YES", UPPER(Raw_Data!L335)="1"), TRUE,
            IF(OR(UPPER(Raw_Data!L335)="FALSE", UPPER(Raw_Data!L335)="NO", UPPER(Raw_Data!L335)="0"), FALSE, "Review")
        )
    )
)</f>
        <v>0</v>
      </c>
    </row>
    <row r="336" spans="1:13" x14ac:dyDescent="0.4">
      <c r="A336" s="2" t="str">
        <f>IFERROR(TRIM(Raw_Data!A336), "Review")</f>
        <v>EMP1334</v>
      </c>
      <c r="B336" s="2" t="str">
        <f>IFERROR(TRIM(Raw_Data!B336), "Review")</f>
        <v>Grace</v>
      </c>
      <c r="C336" s="2" t="str">
        <f>IFERROR(TRIM(Raw_Data!C336), "Review")</f>
        <v>Miller</v>
      </c>
      <c r="D336" s="2">
        <f>IF(Raw_Data!D336="", "", IFERROR(VALUE(Raw_Data!D336), ""))</f>
        <v>40</v>
      </c>
      <c r="E336" s="2" t="str">
        <f>IFERROR(LEFT(Raw_Data!E336,SEARCH("-",Raw_Data!E336)-1),"Review")</f>
        <v>Finance</v>
      </c>
      <c r="F336" s="2" t="str">
        <f>IFERROR(_xlfn.TEXTAFTER(Raw_Data!E336,"-"),"Review")</f>
        <v>Illinois</v>
      </c>
      <c r="G336" s="2" t="str">
        <f>IFERROR(TRIM(Raw_Data!F336), "Review")</f>
        <v>Inactive</v>
      </c>
      <c r="H336" s="3" t="str">
        <f>IFERROR(TEXT(Raw_Data!G336, "YYYY-MM-DD"),"Review")</f>
        <v>2020-04-24</v>
      </c>
      <c r="I336" s="4">
        <f>IF(Raw_Data!H336="", "", IFERROR(VALUE(Raw_Data!H336), ""))</f>
        <v>94572.37</v>
      </c>
      <c r="J336" s="2" t="str">
        <f>IF(Raw_Data!I336="", "", IF(ISNUMBER(FIND("@", Raw_Data!I336)), Raw_Data!I336, "Review"))</f>
        <v>grace.miller@example.com</v>
      </c>
      <c r="K336" s="5" t="str">
        <f>IFERROR(TEXT(ABS(Raw_Data!J336), "0"), "Review")</f>
        <v>2146296135</v>
      </c>
      <c r="L336" s="2" t="str">
        <f>IFERROR(TRIM(Raw_Data!K336), "Review")</f>
        <v>Good</v>
      </c>
      <c r="M336" s="2" t="b">
        <f>IF(Raw_Data!L336="", "",
    IF(ISLOGICAL(Raw_Data!L336), Raw_Data!L336,
        IF(OR(UPPER(Raw_Data!L336)="TRUE", UPPER(Raw_Data!L336)="YES", UPPER(Raw_Data!L336)="1"), TRUE,
            IF(OR(UPPER(Raw_Data!L336)="FALSE", UPPER(Raw_Data!L336)="NO", UPPER(Raw_Data!L336)="0"), FALSE, "Review")
        )
    )
)</f>
        <v>0</v>
      </c>
    </row>
    <row r="337" spans="1:13" x14ac:dyDescent="0.4">
      <c r="A337" s="2" t="str">
        <f>IFERROR(TRIM(Raw_Data!A337), "Review")</f>
        <v>EMP1335</v>
      </c>
      <c r="B337" s="2" t="str">
        <f>IFERROR(TRIM(Raw_Data!B337), "Review")</f>
        <v>Bob</v>
      </c>
      <c r="C337" s="2" t="str">
        <f>IFERROR(TRIM(Raw_Data!C337), "Review")</f>
        <v>Garcia</v>
      </c>
      <c r="D337" s="2">
        <f>IF(Raw_Data!D337="", "", IFERROR(VALUE(Raw_Data!D337), ""))</f>
        <v>40</v>
      </c>
      <c r="E337" s="2" t="str">
        <f>IFERROR(LEFT(Raw_Data!E337,SEARCH("-",Raw_Data!E337)-1),"Review")</f>
        <v>Finance</v>
      </c>
      <c r="F337" s="2" t="str">
        <f>IFERROR(_xlfn.TEXTAFTER(Raw_Data!E337,"-"),"Review")</f>
        <v>Nevada</v>
      </c>
      <c r="G337" s="2" t="str">
        <f>IFERROR(TRIM(Raw_Data!F337), "Review")</f>
        <v>Inactive</v>
      </c>
      <c r="H337" s="3" t="str">
        <f>IFERROR(TEXT(Raw_Data!G337, "YYYY-MM-DD"),"Review")</f>
        <v>2023-03-04</v>
      </c>
      <c r="I337" s="4">
        <f>IF(Raw_Data!H337="", "", IFERROR(VALUE(Raw_Data!H337), ""))</f>
        <v>118413.05</v>
      </c>
      <c r="J337" s="2" t="str">
        <f>IF(Raw_Data!I337="", "", IF(ISNUMBER(FIND("@", Raw_Data!I337)), Raw_Data!I337, "Review"))</f>
        <v>bob.garcia@example.com</v>
      </c>
      <c r="K337" s="5" t="str">
        <f>IFERROR(TEXT(ABS(Raw_Data!J337), "0"), "Review")</f>
        <v>7157787111</v>
      </c>
      <c r="L337" s="2" t="str">
        <f>IFERROR(TRIM(Raw_Data!K337), "Review")</f>
        <v>Poor</v>
      </c>
      <c r="M337" s="2" t="b">
        <f>IF(Raw_Data!L337="", "",
    IF(ISLOGICAL(Raw_Data!L337), Raw_Data!L337,
        IF(OR(UPPER(Raw_Data!L337)="TRUE", UPPER(Raw_Data!L337)="YES", UPPER(Raw_Data!L337)="1"), TRUE,
            IF(OR(UPPER(Raw_Data!L337)="FALSE", UPPER(Raw_Data!L337)="NO", UPPER(Raw_Data!L337)="0"), FALSE, "Review")
        )
    )
)</f>
        <v>0</v>
      </c>
    </row>
    <row r="338" spans="1:13" x14ac:dyDescent="0.4">
      <c r="A338" s="2" t="str">
        <f>IFERROR(TRIM(Raw_Data!A338), "Review")</f>
        <v>EMP1336</v>
      </c>
      <c r="B338" s="2" t="str">
        <f>IFERROR(TRIM(Raw_Data!B338), "Review")</f>
        <v>Alice</v>
      </c>
      <c r="C338" s="2" t="str">
        <f>IFERROR(TRIM(Raw_Data!C338), "Review")</f>
        <v>Jones</v>
      </c>
      <c r="D338" s="2">
        <f>IF(Raw_Data!D338="", "", IFERROR(VALUE(Raw_Data!D338), ""))</f>
        <v>30</v>
      </c>
      <c r="E338" s="2" t="str">
        <f>IFERROR(LEFT(Raw_Data!E338,SEARCH("-",Raw_Data!E338)-1),"Review")</f>
        <v>Admin</v>
      </c>
      <c r="F338" s="2" t="str">
        <f>IFERROR(_xlfn.TEXTAFTER(Raw_Data!E338,"-"),"Review")</f>
        <v>Nevada</v>
      </c>
      <c r="G338" s="2" t="str">
        <f>IFERROR(TRIM(Raw_Data!F338), "Review")</f>
        <v>Pending</v>
      </c>
      <c r="H338" s="3" t="str">
        <f>IFERROR(TEXT(Raw_Data!G338, "YYYY-MM-DD"),"Review")</f>
        <v>2022-08-31</v>
      </c>
      <c r="I338" s="4">
        <f>IF(Raw_Data!H338="", "", IFERROR(VALUE(Raw_Data!H338), ""))</f>
        <v>68976.649999999994</v>
      </c>
      <c r="J338" s="2" t="str">
        <f>IF(Raw_Data!I338="", "", IF(ISNUMBER(FIND("@", Raw_Data!I338)), Raw_Data!I338, "Review"))</f>
        <v>alice.jones@example.com</v>
      </c>
      <c r="K338" s="5" t="str">
        <f>IFERROR(TEXT(ABS(Raw_Data!J338), "0"), "Review")</f>
        <v>1663651558</v>
      </c>
      <c r="L338" s="2" t="str">
        <f>IFERROR(TRIM(Raw_Data!K338), "Review")</f>
        <v>Poor</v>
      </c>
      <c r="M338" s="2" t="b">
        <f>IF(Raw_Data!L338="", "",
    IF(ISLOGICAL(Raw_Data!L338), Raw_Data!L338,
        IF(OR(UPPER(Raw_Data!L338)="TRUE", UPPER(Raw_Data!L338)="YES", UPPER(Raw_Data!L338)="1"), TRUE,
            IF(OR(UPPER(Raw_Data!L338)="FALSE", UPPER(Raw_Data!L338)="NO", UPPER(Raw_Data!L338)="0"), FALSE, "Review")
        )
    )
)</f>
        <v>1</v>
      </c>
    </row>
    <row r="339" spans="1:13" x14ac:dyDescent="0.4">
      <c r="A339" s="2" t="str">
        <f>IFERROR(TRIM(Raw_Data!A339), "Review")</f>
        <v>EMP1337</v>
      </c>
      <c r="B339" s="2" t="str">
        <f>IFERROR(TRIM(Raw_Data!B339), "Review")</f>
        <v>Eva</v>
      </c>
      <c r="C339" s="2" t="str">
        <f>IFERROR(TRIM(Raw_Data!C339), "Review")</f>
        <v>Williams</v>
      </c>
      <c r="D339" s="2" t="str">
        <f>IF(Raw_Data!D339="", "", IFERROR(VALUE(Raw_Data!D339), ""))</f>
        <v/>
      </c>
      <c r="E339" s="2" t="str">
        <f>IFERROR(LEFT(Raw_Data!E339,SEARCH("-",Raw_Data!E339)-1),"Review")</f>
        <v>Sales</v>
      </c>
      <c r="F339" s="2" t="str">
        <f>IFERROR(_xlfn.TEXTAFTER(Raw_Data!E339,"-"),"Review")</f>
        <v>Nevada</v>
      </c>
      <c r="G339" s="2" t="str">
        <f>IFERROR(TRIM(Raw_Data!F339), "Review")</f>
        <v>Active</v>
      </c>
      <c r="H339" s="3" t="str">
        <f>IFERROR(TEXT(Raw_Data!G339, "YYYY-MM-DD"),"Review")</f>
        <v>2021-01-02</v>
      </c>
      <c r="I339" s="4">
        <f>IF(Raw_Data!H339="", "", IFERROR(VALUE(Raw_Data!H339), ""))</f>
        <v>115013.65</v>
      </c>
      <c r="J339" s="2" t="str">
        <f>IF(Raw_Data!I339="", "", IF(ISNUMBER(FIND("@", Raw_Data!I339)), Raw_Data!I339, "Review"))</f>
        <v>eva.williams@example.com</v>
      </c>
      <c r="K339" s="5" t="str">
        <f>IFERROR(TEXT(ABS(Raw_Data!J339), "0"), "Review")</f>
        <v>7371470826</v>
      </c>
      <c r="L339" s="2" t="str">
        <f>IFERROR(TRIM(Raw_Data!K339), "Review")</f>
        <v>Average</v>
      </c>
      <c r="M339" s="2" t="b">
        <f>IF(Raw_Data!L339="", "",
    IF(ISLOGICAL(Raw_Data!L339), Raw_Data!L339,
        IF(OR(UPPER(Raw_Data!L339)="TRUE", UPPER(Raw_Data!L339)="YES", UPPER(Raw_Data!L339)="1"), TRUE,
            IF(OR(UPPER(Raw_Data!L339)="FALSE", UPPER(Raw_Data!L339)="NO", UPPER(Raw_Data!L339)="0"), FALSE, "Review")
        )
    )
)</f>
        <v>0</v>
      </c>
    </row>
    <row r="340" spans="1:13" x14ac:dyDescent="0.4">
      <c r="A340" s="2" t="str">
        <f>IFERROR(TRIM(Raw_Data!A340), "Review")</f>
        <v>EMP1338</v>
      </c>
      <c r="B340" s="2" t="str">
        <f>IFERROR(TRIM(Raw_Data!B340), "Review")</f>
        <v>David</v>
      </c>
      <c r="C340" s="2" t="str">
        <f>IFERROR(TRIM(Raw_Data!C340), "Review")</f>
        <v>Brown</v>
      </c>
      <c r="D340" s="2" t="str">
        <f>IF(Raw_Data!D340="", "", IFERROR(VALUE(Raw_Data!D340), ""))</f>
        <v/>
      </c>
      <c r="E340" s="2" t="str">
        <f>IFERROR(LEFT(Raw_Data!E340,SEARCH("-",Raw_Data!E340)-1),"Review")</f>
        <v>Admin</v>
      </c>
      <c r="F340" s="2" t="str">
        <f>IFERROR(_xlfn.TEXTAFTER(Raw_Data!E340,"-"),"Review")</f>
        <v>Nevada</v>
      </c>
      <c r="G340" s="2" t="str">
        <f>IFERROR(TRIM(Raw_Data!F340), "Review")</f>
        <v>Inactive</v>
      </c>
      <c r="H340" s="3" t="str">
        <f>IFERROR(TEXT(Raw_Data!G340, "YYYY-MM-DD"),"Review")</f>
        <v>2020-06-06</v>
      </c>
      <c r="I340" s="4">
        <f>IF(Raw_Data!H340="", "", IFERROR(VALUE(Raw_Data!H340), ""))</f>
        <v>70949.38</v>
      </c>
      <c r="J340" s="2" t="str">
        <f>IF(Raw_Data!I340="", "", IF(ISNUMBER(FIND("@", Raw_Data!I340)), Raw_Data!I340, "Review"))</f>
        <v>david.brown@example.com</v>
      </c>
      <c r="K340" s="5" t="str">
        <f>IFERROR(TEXT(ABS(Raw_Data!J340), "0"), "Review")</f>
        <v>2359096055</v>
      </c>
      <c r="L340" s="2" t="str">
        <f>IFERROR(TRIM(Raw_Data!K340), "Review")</f>
        <v>Poor</v>
      </c>
      <c r="M340" s="2" t="b">
        <f>IF(Raw_Data!L340="", "",
    IF(ISLOGICAL(Raw_Data!L340), Raw_Data!L340,
        IF(OR(UPPER(Raw_Data!L340)="TRUE", UPPER(Raw_Data!L340)="YES", UPPER(Raw_Data!L340)="1"), TRUE,
            IF(OR(UPPER(Raw_Data!L340)="FALSE", UPPER(Raw_Data!L340)="NO", UPPER(Raw_Data!L340)="0"), FALSE, "Review")
        )
    )
)</f>
        <v>1</v>
      </c>
    </row>
    <row r="341" spans="1:13" x14ac:dyDescent="0.4">
      <c r="A341" s="2" t="str">
        <f>IFERROR(TRIM(Raw_Data!A341), "Review")</f>
        <v>EMP1339</v>
      </c>
      <c r="B341" s="2" t="str">
        <f>IFERROR(TRIM(Raw_Data!B341), "Review")</f>
        <v>Grace</v>
      </c>
      <c r="C341" s="2" t="str">
        <f>IFERROR(TRIM(Raw_Data!C341), "Review")</f>
        <v>Brown</v>
      </c>
      <c r="D341" s="2" t="str">
        <f>IF(Raw_Data!D341="", "", IFERROR(VALUE(Raw_Data!D341), ""))</f>
        <v/>
      </c>
      <c r="E341" s="2" t="str">
        <f>IFERROR(LEFT(Raw_Data!E341,SEARCH("-",Raw_Data!E341)-1),"Review")</f>
        <v>HR</v>
      </c>
      <c r="F341" s="2" t="str">
        <f>IFERROR(_xlfn.TEXTAFTER(Raw_Data!E341,"-"),"Review")</f>
        <v>Florida</v>
      </c>
      <c r="G341" s="2" t="str">
        <f>IFERROR(TRIM(Raw_Data!F341), "Review")</f>
        <v>Pending</v>
      </c>
      <c r="H341" s="3" t="str">
        <f>IFERROR(TEXT(Raw_Data!G341, "YYYY-MM-DD"),"Review")</f>
        <v>2020-10-13</v>
      </c>
      <c r="I341" s="4">
        <f>IF(Raw_Data!H341="", "", IFERROR(VALUE(Raw_Data!H341), ""))</f>
        <v>105334.87</v>
      </c>
      <c r="J341" s="2" t="str">
        <f>IF(Raw_Data!I341="", "", IF(ISNUMBER(FIND("@", Raw_Data!I341)), Raw_Data!I341, "Review"))</f>
        <v>grace.brown@example.com</v>
      </c>
      <c r="K341" s="5" t="str">
        <f>IFERROR(TEXT(ABS(Raw_Data!J341), "0"), "Review")</f>
        <v>7303064420</v>
      </c>
      <c r="L341" s="2" t="str">
        <f>IFERROR(TRIM(Raw_Data!K341), "Review")</f>
        <v>Average</v>
      </c>
      <c r="M341" s="2" t="b">
        <f>IF(Raw_Data!L341="", "",
    IF(ISLOGICAL(Raw_Data!L341), Raw_Data!L341,
        IF(OR(UPPER(Raw_Data!L341)="TRUE", UPPER(Raw_Data!L341)="YES", UPPER(Raw_Data!L341)="1"), TRUE,
            IF(OR(UPPER(Raw_Data!L341)="FALSE", UPPER(Raw_Data!L341)="NO", UPPER(Raw_Data!L341)="0"), FALSE, "Review")
        )
    )
)</f>
        <v>0</v>
      </c>
    </row>
    <row r="342" spans="1:13" x14ac:dyDescent="0.4">
      <c r="A342" s="2" t="str">
        <f>IFERROR(TRIM(Raw_Data!A342), "Review")</f>
        <v>EMP1340</v>
      </c>
      <c r="B342" s="2" t="str">
        <f>IFERROR(TRIM(Raw_Data!B342), "Review")</f>
        <v>Bob</v>
      </c>
      <c r="C342" s="2" t="str">
        <f>IFERROR(TRIM(Raw_Data!C342), "Review")</f>
        <v>Williams</v>
      </c>
      <c r="D342" s="2" t="str">
        <f>IF(Raw_Data!D342="", "", IFERROR(VALUE(Raw_Data!D342), ""))</f>
        <v/>
      </c>
      <c r="E342" s="2" t="str">
        <f>IFERROR(LEFT(Raw_Data!E342,SEARCH("-",Raw_Data!E342)-1),"Review")</f>
        <v>DevOps</v>
      </c>
      <c r="F342" s="2" t="str">
        <f>IFERROR(_xlfn.TEXTAFTER(Raw_Data!E342,"-"),"Review")</f>
        <v>California</v>
      </c>
      <c r="G342" s="2" t="str">
        <f>IFERROR(TRIM(Raw_Data!F342), "Review")</f>
        <v>Active</v>
      </c>
      <c r="H342" s="3" t="str">
        <f>IFERROR(TEXT(Raw_Data!G342, "YYYY-MM-DD"),"Review")</f>
        <v>2020-07-19</v>
      </c>
      <c r="I342" s="4">
        <f>IF(Raw_Data!H342="", "", IFERROR(VALUE(Raw_Data!H342), ""))</f>
        <v>80596.179999999993</v>
      </c>
      <c r="J342" s="2" t="str">
        <f>IF(Raw_Data!I342="", "", IF(ISNUMBER(FIND("@", Raw_Data!I342)), Raw_Data!I342, "Review"))</f>
        <v>bob.williams@example.com</v>
      </c>
      <c r="K342" s="5" t="str">
        <f>IFERROR(TEXT(ABS(Raw_Data!J342), "0"), "Review")</f>
        <v>2146147682</v>
      </c>
      <c r="L342" s="2" t="str">
        <f>IFERROR(TRIM(Raw_Data!K342), "Review")</f>
        <v>Good</v>
      </c>
      <c r="M342" s="2" t="b">
        <f>IF(Raw_Data!L342="", "",
    IF(ISLOGICAL(Raw_Data!L342), Raw_Data!L342,
        IF(OR(UPPER(Raw_Data!L342)="TRUE", UPPER(Raw_Data!L342)="YES", UPPER(Raw_Data!L342)="1"), TRUE,
            IF(OR(UPPER(Raw_Data!L342)="FALSE", UPPER(Raw_Data!L342)="NO", UPPER(Raw_Data!L342)="0"), FALSE, "Review")
        )
    )
)</f>
        <v>0</v>
      </c>
    </row>
    <row r="343" spans="1:13" x14ac:dyDescent="0.4">
      <c r="A343" s="2" t="str">
        <f>IFERROR(TRIM(Raw_Data!A343), "Review")</f>
        <v>EMP1341</v>
      </c>
      <c r="B343" s="2" t="str">
        <f>IFERROR(TRIM(Raw_Data!B343), "Review")</f>
        <v>Frank</v>
      </c>
      <c r="C343" s="2" t="str">
        <f>IFERROR(TRIM(Raw_Data!C343), "Review")</f>
        <v>Brown</v>
      </c>
      <c r="D343" s="2" t="str">
        <f>IF(Raw_Data!D343="", "", IFERROR(VALUE(Raw_Data!D343), ""))</f>
        <v/>
      </c>
      <c r="E343" s="2" t="str">
        <f>IFERROR(LEFT(Raw_Data!E343,SEARCH("-",Raw_Data!E343)-1),"Review")</f>
        <v>Sales</v>
      </c>
      <c r="F343" s="2" t="str">
        <f>IFERROR(_xlfn.TEXTAFTER(Raw_Data!E343,"-"),"Review")</f>
        <v>Illinois</v>
      </c>
      <c r="G343" s="2" t="str">
        <f>IFERROR(TRIM(Raw_Data!F343), "Review")</f>
        <v>Inactive</v>
      </c>
      <c r="H343" s="3" t="str">
        <f>IFERROR(TEXT(Raw_Data!G343, "YYYY-MM-DD"),"Review")</f>
        <v>2024-05-03</v>
      </c>
      <c r="I343" s="4">
        <f>IF(Raw_Data!H343="", "", IFERROR(VALUE(Raw_Data!H343), ""))</f>
        <v>72846.37</v>
      </c>
      <c r="J343" s="2" t="str">
        <f>IF(Raw_Data!I343="", "", IF(ISNUMBER(FIND("@", Raw_Data!I343)), Raw_Data!I343, "Review"))</f>
        <v>frank.brown@example.com</v>
      </c>
      <c r="K343" s="5" t="str">
        <f>IFERROR(TEXT(ABS(Raw_Data!J343), "0"), "Review")</f>
        <v>4201654234</v>
      </c>
      <c r="L343" s="2" t="str">
        <f>IFERROR(TRIM(Raw_Data!K343), "Review")</f>
        <v>Good</v>
      </c>
      <c r="M343" s="2" t="b">
        <f>IF(Raw_Data!L343="", "",
    IF(ISLOGICAL(Raw_Data!L343), Raw_Data!L343,
        IF(OR(UPPER(Raw_Data!L343)="TRUE", UPPER(Raw_Data!L343)="YES", UPPER(Raw_Data!L343)="1"), TRUE,
            IF(OR(UPPER(Raw_Data!L343)="FALSE", UPPER(Raw_Data!L343)="NO", UPPER(Raw_Data!L343)="0"), FALSE, "Review")
        )
    )
)</f>
        <v>1</v>
      </c>
    </row>
    <row r="344" spans="1:13" x14ac:dyDescent="0.4">
      <c r="A344" s="2" t="str">
        <f>IFERROR(TRIM(Raw_Data!A344), "Review")</f>
        <v>EMP1342</v>
      </c>
      <c r="B344" s="2" t="str">
        <f>IFERROR(TRIM(Raw_Data!B344), "Review")</f>
        <v>Heidi</v>
      </c>
      <c r="C344" s="2" t="str">
        <f>IFERROR(TRIM(Raw_Data!C344), "Review")</f>
        <v>Williams</v>
      </c>
      <c r="D344" s="2">
        <f>IF(Raw_Data!D344="", "", IFERROR(VALUE(Raw_Data!D344), ""))</f>
        <v>40</v>
      </c>
      <c r="E344" s="2" t="str">
        <f>IFERROR(LEFT(Raw_Data!E344,SEARCH("-",Raw_Data!E344)-1),"Review")</f>
        <v>Admin</v>
      </c>
      <c r="F344" s="2" t="str">
        <f>IFERROR(_xlfn.TEXTAFTER(Raw_Data!E344,"-"),"Review")</f>
        <v>California</v>
      </c>
      <c r="G344" s="2" t="str">
        <f>IFERROR(TRIM(Raw_Data!F344), "Review")</f>
        <v>Pending</v>
      </c>
      <c r="H344" s="3" t="str">
        <f>IFERROR(TEXT(Raw_Data!G344, "YYYY-MM-DD"),"Review")</f>
        <v>2022-02-07</v>
      </c>
      <c r="I344" s="4">
        <f>IF(Raw_Data!H344="", "", IFERROR(VALUE(Raw_Data!H344), ""))</f>
        <v>80229.36</v>
      </c>
      <c r="J344" s="2" t="str">
        <f>IF(Raw_Data!I344="", "", IF(ISNUMBER(FIND("@", Raw_Data!I344)), Raw_Data!I344, "Review"))</f>
        <v>heidi.williams@example.com</v>
      </c>
      <c r="K344" s="5" t="str">
        <f>IFERROR(TEXT(ABS(Raw_Data!J344), "0"), "Review")</f>
        <v>6778265959</v>
      </c>
      <c r="L344" s="2" t="str">
        <f>IFERROR(TRIM(Raw_Data!K344), "Review")</f>
        <v>Excellent</v>
      </c>
      <c r="M344" s="2" t="b">
        <f>IF(Raw_Data!L344="", "",
    IF(ISLOGICAL(Raw_Data!L344), Raw_Data!L344,
        IF(OR(UPPER(Raw_Data!L344)="TRUE", UPPER(Raw_Data!L344)="YES", UPPER(Raw_Data!L344)="1"), TRUE,
            IF(OR(UPPER(Raw_Data!L344)="FALSE", UPPER(Raw_Data!L344)="NO", UPPER(Raw_Data!L344)="0"), FALSE, "Review")
        )
    )
)</f>
        <v>0</v>
      </c>
    </row>
    <row r="345" spans="1:13" x14ac:dyDescent="0.4">
      <c r="A345" s="2" t="str">
        <f>IFERROR(TRIM(Raw_Data!A345), "Review")</f>
        <v>EMP1343</v>
      </c>
      <c r="B345" s="2" t="str">
        <f>IFERROR(TRIM(Raw_Data!B345), "Review")</f>
        <v>Grace</v>
      </c>
      <c r="C345" s="2" t="str">
        <f>IFERROR(TRIM(Raw_Data!C345), "Review")</f>
        <v>Johnson</v>
      </c>
      <c r="D345" s="2">
        <f>IF(Raw_Data!D345="", "", IFERROR(VALUE(Raw_Data!D345), ""))</f>
        <v>25</v>
      </c>
      <c r="E345" s="2" t="str">
        <f>IFERROR(LEFT(Raw_Data!E345,SEARCH("-",Raw_Data!E345)-1),"Review")</f>
        <v>Sales</v>
      </c>
      <c r="F345" s="2" t="str">
        <f>IFERROR(_xlfn.TEXTAFTER(Raw_Data!E345,"-"),"Review")</f>
        <v>California</v>
      </c>
      <c r="G345" s="2" t="str">
        <f>IFERROR(TRIM(Raw_Data!F345), "Review")</f>
        <v>Active</v>
      </c>
      <c r="H345" s="3" t="str">
        <f>IFERROR(TEXT(Raw_Data!G345, "YYYY-MM-DD"),"Review")</f>
        <v>2023-12-31</v>
      </c>
      <c r="I345" s="4">
        <f>IF(Raw_Data!H345="", "", IFERROR(VALUE(Raw_Data!H345), ""))</f>
        <v>55145.47</v>
      </c>
      <c r="J345" s="2" t="str">
        <f>IF(Raw_Data!I345="", "", IF(ISNUMBER(FIND("@", Raw_Data!I345)), Raw_Data!I345, "Review"))</f>
        <v>grace.johnson@example.com</v>
      </c>
      <c r="K345" s="5" t="str">
        <f>IFERROR(TEXT(ABS(Raw_Data!J345), "0"), "Review")</f>
        <v>8931992549</v>
      </c>
      <c r="L345" s="2" t="str">
        <f>IFERROR(TRIM(Raw_Data!K345), "Review")</f>
        <v>Good</v>
      </c>
      <c r="M345" s="2" t="b">
        <f>IF(Raw_Data!L345="", "",
    IF(ISLOGICAL(Raw_Data!L345), Raw_Data!L345,
        IF(OR(UPPER(Raw_Data!L345)="TRUE", UPPER(Raw_Data!L345)="YES", UPPER(Raw_Data!L345)="1"), TRUE,
            IF(OR(UPPER(Raw_Data!L345)="FALSE", UPPER(Raw_Data!L345)="NO", UPPER(Raw_Data!L345)="0"), FALSE, "Review")
        )
    )
)</f>
        <v>0</v>
      </c>
    </row>
    <row r="346" spans="1:13" x14ac:dyDescent="0.4">
      <c r="A346" s="2" t="str">
        <f>IFERROR(TRIM(Raw_Data!A346), "Review")</f>
        <v>EMP1344</v>
      </c>
      <c r="B346" s="2" t="str">
        <f>IFERROR(TRIM(Raw_Data!B346), "Review")</f>
        <v>Grace</v>
      </c>
      <c r="C346" s="2" t="str">
        <f>IFERROR(TRIM(Raw_Data!C346), "Review")</f>
        <v>Williams</v>
      </c>
      <c r="D346" s="2">
        <f>IF(Raw_Data!D346="", "", IFERROR(VALUE(Raw_Data!D346), ""))</f>
        <v>30</v>
      </c>
      <c r="E346" s="2" t="str">
        <f>IFERROR(LEFT(Raw_Data!E346,SEARCH("-",Raw_Data!E346)-1),"Review")</f>
        <v>DevOps</v>
      </c>
      <c r="F346" s="2" t="str">
        <f>IFERROR(_xlfn.TEXTAFTER(Raw_Data!E346,"-"),"Review")</f>
        <v>Florida</v>
      </c>
      <c r="G346" s="2" t="str">
        <f>IFERROR(TRIM(Raw_Data!F346), "Review")</f>
        <v>Inactive</v>
      </c>
      <c r="H346" s="3" t="str">
        <f>IFERROR(TEXT(Raw_Data!G346, "YYYY-MM-DD"),"Review")</f>
        <v>2022-01-08</v>
      </c>
      <c r="I346" s="4" t="str">
        <f>IF(Raw_Data!H346="", "", IFERROR(VALUE(Raw_Data!H346), ""))</f>
        <v/>
      </c>
      <c r="J346" s="2" t="str">
        <f>IF(Raw_Data!I346="", "", IF(ISNUMBER(FIND("@", Raw_Data!I346)), Raw_Data!I346, "Review"))</f>
        <v>grace.williams@example.com</v>
      </c>
      <c r="K346" s="5" t="str">
        <f>IFERROR(TEXT(ABS(Raw_Data!J346), "0"), "Review")</f>
        <v>2727516479</v>
      </c>
      <c r="L346" s="2" t="str">
        <f>IFERROR(TRIM(Raw_Data!K346), "Review")</f>
        <v>Poor</v>
      </c>
      <c r="M346" s="2" t="b">
        <f>IF(Raw_Data!L346="", "",
    IF(ISLOGICAL(Raw_Data!L346), Raw_Data!L346,
        IF(OR(UPPER(Raw_Data!L346)="TRUE", UPPER(Raw_Data!L346)="YES", UPPER(Raw_Data!L346)="1"), TRUE,
            IF(OR(UPPER(Raw_Data!L346)="FALSE", UPPER(Raw_Data!L346)="NO", UPPER(Raw_Data!L346)="0"), FALSE, "Review")
        )
    )
)</f>
        <v>1</v>
      </c>
    </row>
    <row r="347" spans="1:13" x14ac:dyDescent="0.4">
      <c r="A347" s="2" t="str">
        <f>IFERROR(TRIM(Raw_Data!A347), "Review")</f>
        <v>EMP1345</v>
      </c>
      <c r="B347" s="2" t="str">
        <f>IFERROR(TRIM(Raw_Data!B347), "Review")</f>
        <v>Eva</v>
      </c>
      <c r="C347" s="2" t="str">
        <f>IFERROR(TRIM(Raw_Data!C347), "Review")</f>
        <v>Davis</v>
      </c>
      <c r="D347" s="2">
        <f>IF(Raw_Data!D347="", "", IFERROR(VALUE(Raw_Data!D347), ""))</f>
        <v>40</v>
      </c>
      <c r="E347" s="2" t="str">
        <f>IFERROR(LEFT(Raw_Data!E347,SEARCH("-",Raw_Data!E347)-1),"Review")</f>
        <v>HR</v>
      </c>
      <c r="F347" s="2" t="str">
        <f>IFERROR(_xlfn.TEXTAFTER(Raw_Data!E347,"-"),"Review")</f>
        <v>California</v>
      </c>
      <c r="G347" s="2" t="str">
        <f>IFERROR(TRIM(Raw_Data!F347), "Review")</f>
        <v>Active</v>
      </c>
      <c r="H347" s="3" t="str">
        <f>IFERROR(TEXT(Raw_Data!G347, "YYYY-MM-DD"),"Review")</f>
        <v>2020-09-28</v>
      </c>
      <c r="I347" s="4">
        <f>IF(Raw_Data!H347="", "", IFERROR(VALUE(Raw_Data!H347), ""))</f>
        <v>56110.81</v>
      </c>
      <c r="J347" s="2" t="str">
        <f>IF(Raw_Data!I347="", "", IF(ISNUMBER(FIND("@", Raw_Data!I347)), Raw_Data!I347, "Review"))</f>
        <v>eva.davis@example.com</v>
      </c>
      <c r="K347" s="5" t="str">
        <f>IFERROR(TEXT(ABS(Raw_Data!J347), "0"), "Review")</f>
        <v>7279103367</v>
      </c>
      <c r="L347" s="2" t="str">
        <f>IFERROR(TRIM(Raw_Data!K347), "Review")</f>
        <v>Good</v>
      </c>
      <c r="M347" s="2" t="b">
        <f>IF(Raw_Data!L347="", "",
    IF(ISLOGICAL(Raw_Data!L347), Raw_Data!L347,
        IF(OR(UPPER(Raw_Data!L347)="TRUE", UPPER(Raw_Data!L347)="YES", UPPER(Raw_Data!L347)="1"), TRUE,
            IF(OR(UPPER(Raw_Data!L347)="FALSE", UPPER(Raw_Data!L347)="NO", UPPER(Raw_Data!L347)="0"), FALSE, "Review")
        )
    )
)</f>
        <v>0</v>
      </c>
    </row>
    <row r="348" spans="1:13" x14ac:dyDescent="0.4">
      <c r="A348" s="2" t="str">
        <f>IFERROR(TRIM(Raw_Data!A348), "Review")</f>
        <v>EMP1346</v>
      </c>
      <c r="B348" s="2" t="str">
        <f>IFERROR(TRIM(Raw_Data!B348), "Review")</f>
        <v>Grace</v>
      </c>
      <c r="C348" s="2" t="str">
        <f>IFERROR(TRIM(Raw_Data!C348), "Review")</f>
        <v>Williams</v>
      </c>
      <c r="D348" s="2">
        <f>IF(Raw_Data!D348="", "", IFERROR(VALUE(Raw_Data!D348), ""))</f>
        <v>25</v>
      </c>
      <c r="E348" s="2" t="str">
        <f>IFERROR(LEFT(Raw_Data!E348,SEARCH("-",Raw_Data!E348)-1),"Review")</f>
        <v>Cloud Tech</v>
      </c>
      <c r="F348" s="2" t="str">
        <f>IFERROR(_xlfn.TEXTAFTER(Raw_Data!E348,"-"),"Review")</f>
        <v>Texas</v>
      </c>
      <c r="G348" s="2" t="str">
        <f>IFERROR(TRIM(Raw_Data!F348), "Review")</f>
        <v>Inactive</v>
      </c>
      <c r="H348" s="3" t="str">
        <f>IFERROR(TEXT(Raw_Data!G348, "YYYY-MM-DD"),"Review")</f>
        <v>2023-02-09</v>
      </c>
      <c r="I348" s="4">
        <f>IF(Raw_Data!H348="", "", IFERROR(VALUE(Raw_Data!H348), ""))</f>
        <v>56514.5</v>
      </c>
      <c r="J348" s="2" t="str">
        <f>IF(Raw_Data!I348="", "", IF(ISNUMBER(FIND("@", Raw_Data!I348)), Raw_Data!I348, "Review"))</f>
        <v>grace.williams@example.com</v>
      </c>
      <c r="K348" s="5" t="str">
        <f>IFERROR(TEXT(ABS(Raw_Data!J348), "0"), "Review")</f>
        <v>2963533904</v>
      </c>
      <c r="L348" s="2" t="str">
        <f>IFERROR(TRIM(Raw_Data!K348), "Review")</f>
        <v>Average</v>
      </c>
      <c r="M348" s="2" t="b">
        <f>IF(Raw_Data!L348="", "",
    IF(ISLOGICAL(Raw_Data!L348), Raw_Data!L348,
        IF(OR(UPPER(Raw_Data!L348)="TRUE", UPPER(Raw_Data!L348)="YES", UPPER(Raw_Data!L348)="1"), TRUE,
            IF(OR(UPPER(Raw_Data!L348)="FALSE", UPPER(Raw_Data!L348)="NO", UPPER(Raw_Data!L348)="0"), FALSE, "Review")
        )
    )
)</f>
        <v>0</v>
      </c>
    </row>
    <row r="349" spans="1:13" x14ac:dyDescent="0.4">
      <c r="A349" s="2" t="str">
        <f>IFERROR(TRIM(Raw_Data!A349), "Review")</f>
        <v>EMP1347</v>
      </c>
      <c r="B349" s="2" t="str">
        <f>IFERROR(TRIM(Raw_Data!B349), "Review")</f>
        <v>Frank</v>
      </c>
      <c r="C349" s="2" t="str">
        <f>IFERROR(TRIM(Raw_Data!C349), "Review")</f>
        <v>Brown</v>
      </c>
      <c r="D349" s="2">
        <f>IF(Raw_Data!D349="", "", IFERROR(VALUE(Raw_Data!D349), ""))</f>
        <v>40</v>
      </c>
      <c r="E349" s="2" t="str">
        <f>IFERROR(LEFT(Raw_Data!E349,SEARCH("-",Raw_Data!E349)-1),"Review")</f>
        <v>Cloud Tech</v>
      </c>
      <c r="F349" s="2" t="str">
        <f>IFERROR(_xlfn.TEXTAFTER(Raw_Data!E349,"-"),"Review")</f>
        <v>California</v>
      </c>
      <c r="G349" s="2" t="str">
        <f>IFERROR(TRIM(Raw_Data!F349), "Review")</f>
        <v>Inactive</v>
      </c>
      <c r="H349" s="3" t="str">
        <f>IFERROR(TEXT(Raw_Data!G349, "YYYY-MM-DD"),"Review")</f>
        <v>2022-03-05</v>
      </c>
      <c r="I349" s="4">
        <f>IF(Raw_Data!H349="", "", IFERROR(VALUE(Raw_Data!H349), ""))</f>
        <v>104541.84</v>
      </c>
      <c r="J349" s="2" t="str">
        <f>IF(Raw_Data!I349="", "", IF(ISNUMBER(FIND("@", Raw_Data!I349)), Raw_Data!I349, "Review"))</f>
        <v>frank.brown@example.com</v>
      </c>
      <c r="K349" s="5" t="str">
        <f>IFERROR(TEXT(ABS(Raw_Data!J349), "0"), "Review")</f>
        <v>5044817765</v>
      </c>
      <c r="L349" s="2" t="str">
        <f>IFERROR(TRIM(Raw_Data!K349), "Review")</f>
        <v>Good</v>
      </c>
      <c r="M349" s="2" t="b">
        <f>IF(Raw_Data!L349="", "",
    IF(ISLOGICAL(Raw_Data!L349), Raw_Data!L349,
        IF(OR(UPPER(Raw_Data!L349)="TRUE", UPPER(Raw_Data!L349)="YES", UPPER(Raw_Data!L349)="1"), TRUE,
            IF(OR(UPPER(Raw_Data!L349)="FALSE", UPPER(Raw_Data!L349)="NO", UPPER(Raw_Data!L349)="0"), FALSE, "Review")
        )
    )
)</f>
        <v>0</v>
      </c>
    </row>
    <row r="350" spans="1:13" x14ac:dyDescent="0.4">
      <c r="A350" s="2" t="str">
        <f>IFERROR(TRIM(Raw_Data!A350), "Review")</f>
        <v>EMP1348</v>
      </c>
      <c r="B350" s="2" t="str">
        <f>IFERROR(TRIM(Raw_Data!B350), "Review")</f>
        <v>David</v>
      </c>
      <c r="C350" s="2" t="str">
        <f>IFERROR(TRIM(Raw_Data!C350), "Review")</f>
        <v>Garcia</v>
      </c>
      <c r="D350" s="2" t="str">
        <f>IF(Raw_Data!D350="", "", IFERROR(VALUE(Raw_Data!D350), ""))</f>
        <v/>
      </c>
      <c r="E350" s="2" t="str">
        <f>IFERROR(LEFT(Raw_Data!E350,SEARCH("-",Raw_Data!E350)-1),"Review")</f>
        <v>Sales</v>
      </c>
      <c r="F350" s="2" t="str">
        <f>IFERROR(_xlfn.TEXTAFTER(Raw_Data!E350,"-"),"Review")</f>
        <v>New York</v>
      </c>
      <c r="G350" s="2" t="str">
        <f>IFERROR(TRIM(Raw_Data!F350), "Review")</f>
        <v>Pending</v>
      </c>
      <c r="H350" s="3" t="str">
        <f>IFERROR(TEXT(Raw_Data!G350, "YYYY-MM-DD"),"Review")</f>
        <v>2022-02-18</v>
      </c>
      <c r="I350" s="4">
        <f>IF(Raw_Data!H350="", "", IFERROR(VALUE(Raw_Data!H350), ""))</f>
        <v>61865.120000000003</v>
      </c>
      <c r="J350" s="2" t="str">
        <f>IF(Raw_Data!I350="", "", IF(ISNUMBER(FIND("@", Raw_Data!I350)), Raw_Data!I350, "Review"))</f>
        <v>david.garcia@example.com</v>
      </c>
      <c r="K350" s="5" t="str">
        <f>IFERROR(TEXT(ABS(Raw_Data!J350), "0"), "Review")</f>
        <v>5586851275</v>
      </c>
      <c r="L350" s="2" t="str">
        <f>IFERROR(TRIM(Raw_Data!K350), "Review")</f>
        <v>Excellent</v>
      </c>
      <c r="M350" s="2" t="b">
        <f>IF(Raw_Data!L350="", "",
    IF(ISLOGICAL(Raw_Data!L350), Raw_Data!L350,
        IF(OR(UPPER(Raw_Data!L350)="TRUE", UPPER(Raw_Data!L350)="YES", UPPER(Raw_Data!L350)="1"), TRUE,
            IF(OR(UPPER(Raw_Data!L350)="FALSE", UPPER(Raw_Data!L350)="NO", UPPER(Raw_Data!L350)="0"), FALSE, "Review")
        )
    )
)</f>
        <v>1</v>
      </c>
    </row>
    <row r="351" spans="1:13" x14ac:dyDescent="0.4">
      <c r="A351" s="2" t="str">
        <f>IFERROR(TRIM(Raw_Data!A351), "Review")</f>
        <v>EMP1349</v>
      </c>
      <c r="B351" s="2" t="str">
        <f>IFERROR(TRIM(Raw_Data!B351), "Review")</f>
        <v>Eva</v>
      </c>
      <c r="C351" s="2" t="str">
        <f>IFERROR(TRIM(Raw_Data!C351), "Review")</f>
        <v>Davis</v>
      </c>
      <c r="D351" s="2">
        <f>IF(Raw_Data!D351="", "", IFERROR(VALUE(Raw_Data!D351), ""))</f>
        <v>40</v>
      </c>
      <c r="E351" s="2" t="str">
        <f>IFERROR(LEFT(Raw_Data!E351,SEARCH("-",Raw_Data!E351)-1),"Review")</f>
        <v>Admin</v>
      </c>
      <c r="F351" s="2" t="str">
        <f>IFERROR(_xlfn.TEXTAFTER(Raw_Data!E351,"-"),"Review")</f>
        <v>Texas</v>
      </c>
      <c r="G351" s="2" t="str">
        <f>IFERROR(TRIM(Raw_Data!F351), "Review")</f>
        <v>Active</v>
      </c>
      <c r="H351" s="3" t="str">
        <f>IFERROR(TEXT(Raw_Data!G351, "YYYY-MM-DD"),"Review")</f>
        <v>2022-06-09</v>
      </c>
      <c r="I351" s="4">
        <f>IF(Raw_Data!H351="", "", IFERROR(VALUE(Raw_Data!H351), ""))</f>
        <v>69317.33</v>
      </c>
      <c r="J351" s="2" t="str">
        <f>IF(Raw_Data!I351="", "", IF(ISNUMBER(FIND("@", Raw_Data!I351)), Raw_Data!I351, "Review"))</f>
        <v>eva.davis@example.com</v>
      </c>
      <c r="K351" s="5" t="str">
        <f>IFERROR(TEXT(ABS(Raw_Data!J351), "0"), "Review")</f>
        <v>5289286645</v>
      </c>
      <c r="L351" s="2" t="str">
        <f>IFERROR(TRIM(Raw_Data!K351), "Review")</f>
        <v>Good</v>
      </c>
      <c r="M351" s="2" t="b">
        <f>IF(Raw_Data!L351="", "",
    IF(ISLOGICAL(Raw_Data!L351), Raw_Data!L351,
        IF(OR(UPPER(Raw_Data!L351)="TRUE", UPPER(Raw_Data!L351)="YES", UPPER(Raw_Data!L351)="1"), TRUE,
            IF(OR(UPPER(Raw_Data!L351)="FALSE", UPPER(Raw_Data!L351)="NO", UPPER(Raw_Data!L351)="0"), FALSE, "Review")
        )
    )
)</f>
        <v>0</v>
      </c>
    </row>
    <row r="352" spans="1:13" x14ac:dyDescent="0.4">
      <c r="A352" s="2" t="str">
        <f>IFERROR(TRIM(Raw_Data!A352), "Review")</f>
        <v>EMP1350</v>
      </c>
      <c r="B352" s="2" t="str">
        <f>IFERROR(TRIM(Raw_Data!B352), "Review")</f>
        <v>Bob</v>
      </c>
      <c r="C352" s="2" t="str">
        <f>IFERROR(TRIM(Raw_Data!C352), "Review")</f>
        <v>Brown</v>
      </c>
      <c r="D352" s="2">
        <f>IF(Raw_Data!D352="", "", IFERROR(VALUE(Raw_Data!D352), ""))</f>
        <v>35</v>
      </c>
      <c r="E352" s="2" t="str">
        <f>IFERROR(LEFT(Raw_Data!E352,SEARCH("-",Raw_Data!E352)-1),"Review")</f>
        <v>HR</v>
      </c>
      <c r="F352" s="2" t="str">
        <f>IFERROR(_xlfn.TEXTAFTER(Raw_Data!E352,"-"),"Review")</f>
        <v>New York</v>
      </c>
      <c r="G352" s="2" t="str">
        <f>IFERROR(TRIM(Raw_Data!F352), "Review")</f>
        <v>Pending</v>
      </c>
      <c r="H352" s="3" t="str">
        <f>IFERROR(TEXT(Raw_Data!G352, "YYYY-MM-DD"),"Review")</f>
        <v>2023-07-04</v>
      </c>
      <c r="I352" s="4">
        <f>IF(Raw_Data!H352="", "", IFERROR(VALUE(Raw_Data!H352), ""))</f>
        <v>84706.17</v>
      </c>
      <c r="J352" s="2" t="str">
        <f>IF(Raw_Data!I352="", "", IF(ISNUMBER(FIND("@", Raw_Data!I352)), Raw_Data!I352, "Review"))</f>
        <v>bob.brown@example.com</v>
      </c>
      <c r="K352" s="5" t="str">
        <f>IFERROR(TEXT(ABS(Raw_Data!J352), "0"), "Review")</f>
        <v>4911110960</v>
      </c>
      <c r="L352" s="2" t="str">
        <f>IFERROR(TRIM(Raw_Data!K352), "Review")</f>
        <v>Average</v>
      </c>
      <c r="M352" s="2" t="b">
        <f>IF(Raw_Data!L352="", "",
    IF(ISLOGICAL(Raw_Data!L352), Raw_Data!L352,
        IF(OR(UPPER(Raw_Data!L352)="TRUE", UPPER(Raw_Data!L352)="YES", UPPER(Raw_Data!L352)="1"), TRUE,
            IF(OR(UPPER(Raw_Data!L352)="FALSE", UPPER(Raw_Data!L352)="NO", UPPER(Raw_Data!L352)="0"), FALSE, "Review")
        )
    )
)</f>
        <v>0</v>
      </c>
    </row>
    <row r="353" spans="1:13" x14ac:dyDescent="0.4">
      <c r="A353" s="2" t="str">
        <f>IFERROR(TRIM(Raw_Data!A353), "Review")</f>
        <v>EMP1351</v>
      </c>
      <c r="B353" s="2" t="str">
        <f>IFERROR(TRIM(Raw_Data!B353), "Review")</f>
        <v>Heidi</v>
      </c>
      <c r="C353" s="2" t="str">
        <f>IFERROR(TRIM(Raw_Data!C353), "Review")</f>
        <v>Smith</v>
      </c>
      <c r="D353" s="2">
        <f>IF(Raw_Data!D353="", "", IFERROR(VALUE(Raw_Data!D353), ""))</f>
        <v>25</v>
      </c>
      <c r="E353" s="2" t="str">
        <f>IFERROR(LEFT(Raw_Data!E353,SEARCH("-",Raw_Data!E353)-1),"Review")</f>
        <v>Admin</v>
      </c>
      <c r="F353" s="2" t="str">
        <f>IFERROR(_xlfn.TEXTAFTER(Raw_Data!E353,"-"),"Review")</f>
        <v>California</v>
      </c>
      <c r="G353" s="2" t="str">
        <f>IFERROR(TRIM(Raw_Data!F353), "Review")</f>
        <v>Active</v>
      </c>
      <c r="H353" s="3" t="str">
        <f>IFERROR(TEXT(Raw_Data!G353, "YYYY-MM-DD"),"Review")</f>
        <v>2022-03-21</v>
      </c>
      <c r="I353" s="4">
        <f>IF(Raw_Data!H353="", "", IFERROR(VALUE(Raw_Data!H353), ""))</f>
        <v>73255.210000000006</v>
      </c>
      <c r="J353" s="2" t="str">
        <f>IF(Raw_Data!I353="", "", IF(ISNUMBER(FIND("@", Raw_Data!I353)), Raw_Data!I353, "Review"))</f>
        <v>heidi.smith@example.com</v>
      </c>
      <c r="K353" s="5" t="str">
        <f>IFERROR(TEXT(ABS(Raw_Data!J353), "0"), "Review")</f>
        <v>7981789045</v>
      </c>
      <c r="L353" s="2" t="str">
        <f>IFERROR(TRIM(Raw_Data!K353), "Review")</f>
        <v>Average</v>
      </c>
      <c r="M353" s="2" t="b">
        <f>IF(Raw_Data!L353="", "",
    IF(ISLOGICAL(Raw_Data!L353), Raw_Data!L353,
        IF(OR(UPPER(Raw_Data!L353)="TRUE", UPPER(Raw_Data!L353)="YES", UPPER(Raw_Data!L353)="1"), TRUE,
            IF(OR(UPPER(Raw_Data!L353)="FALSE", UPPER(Raw_Data!L353)="NO", UPPER(Raw_Data!L353)="0"), FALSE, "Review")
        )
    )
)</f>
        <v>0</v>
      </c>
    </row>
    <row r="354" spans="1:13" x14ac:dyDescent="0.4">
      <c r="A354" s="2" t="str">
        <f>IFERROR(TRIM(Raw_Data!A354), "Review")</f>
        <v>EMP1352</v>
      </c>
      <c r="B354" s="2" t="str">
        <f>IFERROR(TRIM(Raw_Data!B354), "Review")</f>
        <v>Frank</v>
      </c>
      <c r="C354" s="2" t="str">
        <f>IFERROR(TRIM(Raw_Data!C354), "Review")</f>
        <v>Smith</v>
      </c>
      <c r="D354" s="2">
        <f>IF(Raw_Data!D354="", "", IFERROR(VALUE(Raw_Data!D354), ""))</f>
        <v>40</v>
      </c>
      <c r="E354" s="2" t="str">
        <f>IFERROR(LEFT(Raw_Data!E354,SEARCH("-",Raw_Data!E354)-1),"Review")</f>
        <v>HR</v>
      </c>
      <c r="F354" s="2" t="str">
        <f>IFERROR(_xlfn.TEXTAFTER(Raw_Data!E354,"-"),"Review")</f>
        <v>Florida</v>
      </c>
      <c r="G354" s="2" t="str">
        <f>IFERROR(TRIM(Raw_Data!F354), "Review")</f>
        <v>Pending</v>
      </c>
      <c r="H354" s="3" t="str">
        <f>IFERROR(TEXT(Raw_Data!G354, "YYYY-MM-DD"),"Review")</f>
        <v>2023-05-02</v>
      </c>
      <c r="I354" s="4">
        <f>IF(Raw_Data!H354="", "", IFERROR(VALUE(Raw_Data!H354), ""))</f>
        <v>59528.71</v>
      </c>
      <c r="J354" s="2" t="str">
        <f>IF(Raw_Data!I354="", "", IF(ISNUMBER(FIND("@", Raw_Data!I354)), Raw_Data!I354, "Review"))</f>
        <v>frank.smith@example.com</v>
      </c>
      <c r="K354" s="5" t="str">
        <f>IFERROR(TEXT(ABS(Raw_Data!J354), "0"), "Review")</f>
        <v>3378613714</v>
      </c>
      <c r="L354" s="2" t="str">
        <f>IFERROR(TRIM(Raw_Data!K354), "Review")</f>
        <v>Poor</v>
      </c>
      <c r="M354" s="2" t="b">
        <f>IF(Raw_Data!L354="", "",
    IF(ISLOGICAL(Raw_Data!L354), Raw_Data!L354,
        IF(OR(UPPER(Raw_Data!L354)="TRUE", UPPER(Raw_Data!L354)="YES", UPPER(Raw_Data!L354)="1"), TRUE,
            IF(OR(UPPER(Raw_Data!L354)="FALSE", UPPER(Raw_Data!L354)="NO", UPPER(Raw_Data!L354)="0"), FALSE, "Review")
        )
    )
)</f>
        <v>0</v>
      </c>
    </row>
    <row r="355" spans="1:13" x14ac:dyDescent="0.4">
      <c r="A355" s="2" t="str">
        <f>IFERROR(TRIM(Raw_Data!A355), "Review")</f>
        <v>EMP1353</v>
      </c>
      <c r="B355" s="2" t="str">
        <f>IFERROR(TRIM(Raw_Data!B355), "Review")</f>
        <v>David</v>
      </c>
      <c r="C355" s="2" t="str">
        <f>IFERROR(TRIM(Raw_Data!C355), "Review")</f>
        <v>Garcia</v>
      </c>
      <c r="D355" s="2">
        <f>IF(Raw_Data!D355="", "", IFERROR(VALUE(Raw_Data!D355), ""))</f>
        <v>40</v>
      </c>
      <c r="E355" s="2" t="str">
        <f>IFERROR(LEFT(Raw_Data!E355,SEARCH("-",Raw_Data!E355)-1),"Review")</f>
        <v>HR</v>
      </c>
      <c r="F355" s="2" t="str">
        <f>IFERROR(_xlfn.TEXTAFTER(Raw_Data!E355,"-"),"Review")</f>
        <v>New York</v>
      </c>
      <c r="G355" s="2" t="str">
        <f>IFERROR(TRIM(Raw_Data!F355), "Review")</f>
        <v>Inactive</v>
      </c>
      <c r="H355" s="3" t="str">
        <f>IFERROR(TEXT(Raw_Data!G355, "YYYY-MM-DD"),"Review")</f>
        <v>2021-10-15</v>
      </c>
      <c r="I355" s="4">
        <f>IF(Raw_Data!H355="", "", IFERROR(VALUE(Raw_Data!H355), ""))</f>
        <v>70401.37</v>
      </c>
      <c r="J355" s="2" t="str">
        <f>IF(Raw_Data!I355="", "", IF(ISNUMBER(FIND("@", Raw_Data!I355)), Raw_Data!I355, "Review"))</f>
        <v>david.garcia@example.com</v>
      </c>
      <c r="K355" s="5" t="str">
        <f>IFERROR(TEXT(ABS(Raw_Data!J355), "0"), "Review")</f>
        <v>7660538443</v>
      </c>
      <c r="L355" s="2" t="str">
        <f>IFERROR(TRIM(Raw_Data!K355), "Review")</f>
        <v>Good</v>
      </c>
      <c r="M355" s="2" t="b">
        <f>IF(Raw_Data!L355="", "",
    IF(ISLOGICAL(Raw_Data!L355), Raw_Data!L355,
        IF(OR(UPPER(Raw_Data!L355)="TRUE", UPPER(Raw_Data!L355)="YES", UPPER(Raw_Data!L355)="1"), TRUE,
            IF(OR(UPPER(Raw_Data!L355)="FALSE", UPPER(Raw_Data!L355)="NO", UPPER(Raw_Data!L355)="0"), FALSE, "Review")
        )
    )
)</f>
        <v>1</v>
      </c>
    </row>
    <row r="356" spans="1:13" x14ac:dyDescent="0.4">
      <c r="A356" s="2" t="str">
        <f>IFERROR(TRIM(Raw_Data!A356), "Review")</f>
        <v>EMP1354</v>
      </c>
      <c r="B356" s="2" t="str">
        <f>IFERROR(TRIM(Raw_Data!B356), "Review")</f>
        <v>Heidi</v>
      </c>
      <c r="C356" s="2" t="str">
        <f>IFERROR(TRIM(Raw_Data!C356), "Review")</f>
        <v>Garcia</v>
      </c>
      <c r="D356" s="2" t="str">
        <f>IF(Raw_Data!D356="", "", IFERROR(VALUE(Raw_Data!D356), ""))</f>
        <v/>
      </c>
      <c r="E356" s="2" t="str">
        <f>IFERROR(LEFT(Raw_Data!E356,SEARCH("-",Raw_Data!E356)-1),"Review")</f>
        <v>Admin</v>
      </c>
      <c r="F356" s="2" t="str">
        <f>IFERROR(_xlfn.TEXTAFTER(Raw_Data!E356,"-"),"Review")</f>
        <v>California</v>
      </c>
      <c r="G356" s="2" t="str">
        <f>IFERROR(TRIM(Raw_Data!F356), "Review")</f>
        <v>Inactive</v>
      </c>
      <c r="H356" s="3" t="str">
        <f>IFERROR(TEXT(Raw_Data!G356, "YYYY-MM-DD"),"Review")</f>
        <v>2021-07-28</v>
      </c>
      <c r="I356" s="4">
        <f>IF(Raw_Data!H356="", "", IFERROR(VALUE(Raw_Data!H356), ""))</f>
        <v>107154.62</v>
      </c>
      <c r="J356" s="2" t="str">
        <f>IF(Raw_Data!I356="", "", IF(ISNUMBER(FIND("@", Raw_Data!I356)), Raw_Data!I356, "Review"))</f>
        <v>heidi.garcia@example.com</v>
      </c>
      <c r="K356" s="5" t="str">
        <f>IFERROR(TEXT(ABS(Raw_Data!J356), "0"), "Review")</f>
        <v>4630600024</v>
      </c>
      <c r="L356" s="2" t="str">
        <f>IFERROR(TRIM(Raw_Data!K356), "Review")</f>
        <v>Average</v>
      </c>
      <c r="M356" s="2" t="b">
        <f>IF(Raw_Data!L356="", "",
    IF(ISLOGICAL(Raw_Data!L356), Raw_Data!L356,
        IF(OR(UPPER(Raw_Data!L356)="TRUE", UPPER(Raw_Data!L356)="YES", UPPER(Raw_Data!L356)="1"), TRUE,
            IF(OR(UPPER(Raw_Data!L356)="FALSE", UPPER(Raw_Data!L356)="NO", UPPER(Raw_Data!L356)="0"), FALSE, "Review")
        )
    )
)</f>
        <v>1</v>
      </c>
    </row>
    <row r="357" spans="1:13" x14ac:dyDescent="0.4">
      <c r="A357" s="2" t="str">
        <f>IFERROR(TRIM(Raw_Data!A357), "Review")</f>
        <v>EMP1355</v>
      </c>
      <c r="B357" s="2" t="str">
        <f>IFERROR(TRIM(Raw_Data!B357), "Review")</f>
        <v>Bob</v>
      </c>
      <c r="C357" s="2" t="str">
        <f>IFERROR(TRIM(Raw_Data!C357), "Review")</f>
        <v>Davis</v>
      </c>
      <c r="D357" s="2" t="str">
        <f>IF(Raw_Data!D357="", "", IFERROR(VALUE(Raw_Data!D357), ""))</f>
        <v/>
      </c>
      <c r="E357" s="2" t="str">
        <f>IFERROR(LEFT(Raw_Data!E357,SEARCH("-",Raw_Data!E357)-1),"Review")</f>
        <v>Admin</v>
      </c>
      <c r="F357" s="2" t="str">
        <f>IFERROR(_xlfn.TEXTAFTER(Raw_Data!E357,"-"),"Review")</f>
        <v>Illinois</v>
      </c>
      <c r="G357" s="2" t="str">
        <f>IFERROR(TRIM(Raw_Data!F357), "Review")</f>
        <v>Pending</v>
      </c>
      <c r="H357" s="3" t="str">
        <f>IFERROR(TEXT(Raw_Data!G357, "YYYY-MM-DD"),"Review")</f>
        <v>2021-01-03</v>
      </c>
      <c r="I357" s="4">
        <f>IF(Raw_Data!H357="", "", IFERROR(VALUE(Raw_Data!H357), ""))</f>
        <v>97719.88</v>
      </c>
      <c r="J357" s="2" t="str">
        <f>IF(Raw_Data!I357="", "", IF(ISNUMBER(FIND("@", Raw_Data!I357)), Raw_Data!I357, "Review"))</f>
        <v>bob.davis@example.com</v>
      </c>
      <c r="K357" s="5" t="str">
        <f>IFERROR(TEXT(ABS(Raw_Data!J357), "0"), "Review")</f>
        <v>8955296385</v>
      </c>
      <c r="L357" s="2" t="str">
        <f>IFERROR(TRIM(Raw_Data!K357), "Review")</f>
        <v>Excellent</v>
      </c>
      <c r="M357" s="2" t="b">
        <f>IF(Raw_Data!L357="", "",
    IF(ISLOGICAL(Raw_Data!L357), Raw_Data!L357,
        IF(OR(UPPER(Raw_Data!L357)="TRUE", UPPER(Raw_Data!L357)="YES", UPPER(Raw_Data!L357)="1"), TRUE,
            IF(OR(UPPER(Raw_Data!L357)="FALSE", UPPER(Raw_Data!L357)="NO", UPPER(Raw_Data!L357)="0"), FALSE, "Review")
        )
    )
)</f>
        <v>0</v>
      </c>
    </row>
    <row r="358" spans="1:13" x14ac:dyDescent="0.4">
      <c r="A358" s="2" t="str">
        <f>IFERROR(TRIM(Raw_Data!A358), "Review")</f>
        <v>EMP1356</v>
      </c>
      <c r="B358" s="2" t="str">
        <f>IFERROR(TRIM(Raw_Data!B358), "Review")</f>
        <v>Heidi</v>
      </c>
      <c r="C358" s="2" t="str">
        <f>IFERROR(TRIM(Raw_Data!C358), "Review")</f>
        <v>Johnson</v>
      </c>
      <c r="D358" s="2">
        <f>IF(Raw_Data!D358="", "", IFERROR(VALUE(Raw_Data!D358), ""))</f>
        <v>30</v>
      </c>
      <c r="E358" s="2" t="str">
        <f>IFERROR(LEFT(Raw_Data!E358,SEARCH("-",Raw_Data!E358)-1),"Review")</f>
        <v>Finance</v>
      </c>
      <c r="F358" s="2" t="str">
        <f>IFERROR(_xlfn.TEXTAFTER(Raw_Data!E358,"-"),"Review")</f>
        <v>California</v>
      </c>
      <c r="G358" s="2" t="str">
        <f>IFERROR(TRIM(Raw_Data!F358), "Review")</f>
        <v>Pending</v>
      </c>
      <c r="H358" s="3" t="str">
        <f>IFERROR(TEXT(Raw_Data!G358, "YYYY-MM-DD"),"Review")</f>
        <v>2020-05-21</v>
      </c>
      <c r="I358" s="4">
        <f>IF(Raw_Data!H358="", "", IFERROR(VALUE(Raw_Data!H358), ""))</f>
        <v>107327.59</v>
      </c>
      <c r="J358" s="2" t="str">
        <f>IF(Raw_Data!I358="", "", IF(ISNUMBER(FIND("@", Raw_Data!I358)), Raw_Data!I358, "Review"))</f>
        <v>heidi.johnson@example.com</v>
      </c>
      <c r="K358" s="5" t="str">
        <f>IFERROR(TEXT(ABS(Raw_Data!J358), "0"), "Review")</f>
        <v>3960962625</v>
      </c>
      <c r="L358" s="2" t="str">
        <f>IFERROR(TRIM(Raw_Data!K358), "Review")</f>
        <v>Poor</v>
      </c>
      <c r="M358" s="2" t="b">
        <f>IF(Raw_Data!L358="", "",
    IF(ISLOGICAL(Raw_Data!L358), Raw_Data!L358,
        IF(OR(UPPER(Raw_Data!L358)="TRUE", UPPER(Raw_Data!L358)="YES", UPPER(Raw_Data!L358)="1"), TRUE,
            IF(OR(UPPER(Raw_Data!L358)="FALSE", UPPER(Raw_Data!L358)="NO", UPPER(Raw_Data!L358)="0"), FALSE, "Review")
        )
    )
)</f>
        <v>0</v>
      </c>
    </row>
    <row r="359" spans="1:13" x14ac:dyDescent="0.4">
      <c r="A359" s="2" t="str">
        <f>IFERROR(TRIM(Raw_Data!A359), "Review")</f>
        <v>EMP1357</v>
      </c>
      <c r="B359" s="2" t="str">
        <f>IFERROR(TRIM(Raw_Data!B359), "Review")</f>
        <v>Grace</v>
      </c>
      <c r="C359" s="2" t="str">
        <f>IFERROR(TRIM(Raw_Data!C359), "Review")</f>
        <v>Garcia</v>
      </c>
      <c r="D359" s="2">
        <f>IF(Raw_Data!D359="", "", IFERROR(VALUE(Raw_Data!D359), ""))</f>
        <v>40</v>
      </c>
      <c r="E359" s="2" t="str">
        <f>IFERROR(LEFT(Raw_Data!E359,SEARCH("-",Raw_Data!E359)-1),"Review")</f>
        <v>Admin</v>
      </c>
      <c r="F359" s="2" t="str">
        <f>IFERROR(_xlfn.TEXTAFTER(Raw_Data!E359,"-"),"Review")</f>
        <v>Nevada</v>
      </c>
      <c r="G359" s="2" t="str">
        <f>IFERROR(TRIM(Raw_Data!F359), "Review")</f>
        <v>Inactive</v>
      </c>
      <c r="H359" s="3" t="str">
        <f>IFERROR(TEXT(Raw_Data!G359, "YYYY-MM-DD"),"Review")</f>
        <v>2021-05-10</v>
      </c>
      <c r="I359" s="4">
        <f>IF(Raw_Data!H359="", "", IFERROR(VALUE(Raw_Data!H359), ""))</f>
        <v>67687.72</v>
      </c>
      <c r="J359" s="2" t="str">
        <f>IF(Raw_Data!I359="", "", IF(ISNUMBER(FIND("@", Raw_Data!I359)), Raw_Data!I359, "Review"))</f>
        <v>grace.garcia@example.com</v>
      </c>
      <c r="K359" s="5" t="str">
        <f>IFERROR(TEXT(ABS(Raw_Data!J359), "0"), "Review")</f>
        <v>5826312818</v>
      </c>
      <c r="L359" s="2" t="str">
        <f>IFERROR(TRIM(Raw_Data!K359), "Review")</f>
        <v>Excellent</v>
      </c>
      <c r="M359" s="2" t="b">
        <f>IF(Raw_Data!L359="", "",
    IF(ISLOGICAL(Raw_Data!L359), Raw_Data!L359,
        IF(OR(UPPER(Raw_Data!L359)="TRUE", UPPER(Raw_Data!L359)="YES", UPPER(Raw_Data!L359)="1"), TRUE,
            IF(OR(UPPER(Raw_Data!L359)="FALSE", UPPER(Raw_Data!L359)="NO", UPPER(Raw_Data!L359)="0"), FALSE, "Review")
        )
    )
)</f>
        <v>1</v>
      </c>
    </row>
    <row r="360" spans="1:13" x14ac:dyDescent="0.4">
      <c r="A360" s="2" t="str">
        <f>IFERROR(TRIM(Raw_Data!A360), "Review")</f>
        <v>EMP1358</v>
      </c>
      <c r="B360" s="2" t="str">
        <f>IFERROR(TRIM(Raw_Data!B360), "Review")</f>
        <v>Grace</v>
      </c>
      <c r="C360" s="2" t="str">
        <f>IFERROR(TRIM(Raw_Data!C360), "Review")</f>
        <v>Smith</v>
      </c>
      <c r="D360" s="2">
        <f>IF(Raw_Data!D360="", "", IFERROR(VALUE(Raw_Data!D360), ""))</f>
        <v>40</v>
      </c>
      <c r="E360" s="2" t="str">
        <f>IFERROR(LEFT(Raw_Data!E360,SEARCH("-",Raw_Data!E360)-1),"Review")</f>
        <v>Cloud Tech</v>
      </c>
      <c r="F360" s="2" t="str">
        <f>IFERROR(_xlfn.TEXTAFTER(Raw_Data!E360,"-"),"Review")</f>
        <v>Florida</v>
      </c>
      <c r="G360" s="2" t="str">
        <f>IFERROR(TRIM(Raw_Data!F360), "Review")</f>
        <v>Pending</v>
      </c>
      <c r="H360" s="3" t="str">
        <f>IFERROR(TEXT(Raw_Data!G360, "YYYY-MM-DD"),"Review")</f>
        <v>2022-09-08</v>
      </c>
      <c r="I360" s="4">
        <f>IF(Raw_Data!H360="", "", IFERROR(VALUE(Raw_Data!H360), ""))</f>
        <v>90757.08</v>
      </c>
      <c r="J360" s="2" t="str">
        <f>IF(Raw_Data!I360="", "", IF(ISNUMBER(FIND("@", Raw_Data!I360)), Raw_Data!I360, "Review"))</f>
        <v>grace.smith@example.com</v>
      </c>
      <c r="K360" s="5" t="str">
        <f>IFERROR(TEXT(ABS(Raw_Data!J360), "0"), "Review")</f>
        <v>6482531105</v>
      </c>
      <c r="L360" s="2" t="str">
        <f>IFERROR(TRIM(Raw_Data!K360), "Review")</f>
        <v>Good</v>
      </c>
      <c r="M360" s="2" t="b">
        <f>IF(Raw_Data!L360="", "",
    IF(ISLOGICAL(Raw_Data!L360), Raw_Data!L360,
        IF(OR(UPPER(Raw_Data!L360)="TRUE", UPPER(Raw_Data!L360)="YES", UPPER(Raw_Data!L360)="1"), TRUE,
            IF(OR(UPPER(Raw_Data!L360)="FALSE", UPPER(Raw_Data!L360)="NO", UPPER(Raw_Data!L360)="0"), FALSE, "Review")
        )
    )
)</f>
        <v>1</v>
      </c>
    </row>
    <row r="361" spans="1:13" x14ac:dyDescent="0.4">
      <c r="A361" s="2" t="str">
        <f>IFERROR(TRIM(Raw_Data!A361), "Review")</f>
        <v>EMP1359</v>
      </c>
      <c r="B361" s="2" t="str">
        <f>IFERROR(TRIM(Raw_Data!B361), "Review")</f>
        <v>Grace</v>
      </c>
      <c r="C361" s="2" t="str">
        <f>IFERROR(TRIM(Raw_Data!C361), "Review")</f>
        <v>Williams</v>
      </c>
      <c r="D361" s="2" t="str">
        <f>IF(Raw_Data!D361="", "", IFERROR(VALUE(Raw_Data!D361), ""))</f>
        <v/>
      </c>
      <c r="E361" s="2" t="str">
        <f>IFERROR(LEFT(Raw_Data!E361,SEARCH("-",Raw_Data!E361)-1),"Review")</f>
        <v>Cloud Tech</v>
      </c>
      <c r="F361" s="2" t="str">
        <f>IFERROR(_xlfn.TEXTAFTER(Raw_Data!E361,"-"),"Review")</f>
        <v>California</v>
      </c>
      <c r="G361" s="2" t="str">
        <f>IFERROR(TRIM(Raw_Data!F361), "Review")</f>
        <v>Pending</v>
      </c>
      <c r="H361" s="3" t="str">
        <f>IFERROR(TEXT(Raw_Data!G361, "YYYY-MM-DD"),"Review")</f>
        <v>2024-07-21</v>
      </c>
      <c r="I361" s="4">
        <f>IF(Raw_Data!H361="", "", IFERROR(VALUE(Raw_Data!H361), ""))</f>
        <v>87583.42</v>
      </c>
      <c r="J361" s="2" t="str">
        <f>IF(Raw_Data!I361="", "", IF(ISNUMBER(FIND("@", Raw_Data!I361)), Raw_Data!I361, "Review"))</f>
        <v>grace.williams@example.com</v>
      </c>
      <c r="K361" s="5" t="str">
        <f>IFERROR(TEXT(ABS(Raw_Data!J361), "0"), "Review")</f>
        <v>920981959</v>
      </c>
      <c r="L361" s="2" t="str">
        <f>IFERROR(TRIM(Raw_Data!K361), "Review")</f>
        <v>Good</v>
      </c>
      <c r="M361" s="2" t="b">
        <f>IF(Raw_Data!L361="", "",
    IF(ISLOGICAL(Raw_Data!L361), Raw_Data!L361,
        IF(OR(UPPER(Raw_Data!L361)="TRUE", UPPER(Raw_Data!L361)="YES", UPPER(Raw_Data!L361)="1"), TRUE,
            IF(OR(UPPER(Raw_Data!L361)="FALSE", UPPER(Raw_Data!L361)="NO", UPPER(Raw_Data!L361)="0"), FALSE, "Review")
        )
    )
)</f>
        <v>0</v>
      </c>
    </row>
    <row r="362" spans="1:13" x14ac:dyDescent="0.4">
      <c r="A362" s="2" t="str">
        <f>IFERROR(TRIM(Raw_Data!A362), "Review")</f>
        <v>EMP1360</v>
      </c>
      <c r="B362" s="2" t="str">
        <f>IFERROR(TRIM(Raw_Data!B362), "Review")</f>
        <v>Bob</v>
      </c>
      <c r="C362" s="2" t="str">
        <f>IFERROR(TRIM(Raw_Data!C362), "Review")</f>
        <v>Brown</v>
      </c>
      <c r="D362" s="2">
        <f>IF(Raw_Data!D362="", "", IFERROR(VALUE(Raw_Data!D362), ""))</f>
        <v>25</v>
      </c>
      <c r="E362" s="2" t="str">
        <f>IFERROR(LEFT(Raw_Data!E362,SEARCH("-",Raw_Data!E362)-1),"Review")</f>
        <v>Admin</v>
      </c>
      <c r="F362" s="2" t="str">
        <f>IFERROR(_xlfn.TEXTAFTER(Raw_Data!E362,"-"),"Review")</f>
        <v>Nevada</v>
      </c>
      <c r="G362" s="2" t="str">
        <f>IFERROR(TRIM(Raw_Data!F362), "Review")</f>
        <v>Pending</v>
      </c>
      <c r="H362" s="3" t="str">
        <f>IFERROR(TEXT(Raw_Data!G362, "YYYY-MM-DD"),"Review")</f>
        <v>2021-12-28</v>
      </c>
      <c r="I362" s="4">
        <f>IF(Raw_Data!H362="", "", IFERROR(VALUE(Raw_Data!H362), ""))</f>
        <v>61643.69</v>
      </c>
      <c r="J362" s="2" t="str">
        <f>IF(Raw_Data!I362="", "", IF(ISNUMBER(FIND("@", Raw_Data!I362)), Raw_Data!I362, "Review"))</f>
        <v>bob.brown@example.com</v>
      </c>
      <c r="K362" s="5" t="str">
        <f>IFERROR(TEXT(ABS(Raw_Data!J362), "0"), "Review")</f>
        <v>2752334382</v>
      </c>
      <c r="L362" s="2" t="str">
        <f>IFERROR(TRIM(Raw_Data!K362), "Review")</f>
        <v>Good</v>
      </c>
      <c r="M362" s="2" t="b">
        <f>IF(Raw_Data!L362="", "",
    IF(ISLOGICAL(Raw_Data!L362), Raw_Data!L362,
        IF(OR(UPPER(Raw_Data!L362)="TRUE", UPPER(Raw_Data!L362)="YES", UPPER(Raw_Data!L362)="1"), TRUE,
            IF(OR(UPPER(Raw_Data!L362)="FALSE", UPPER(Raw_Data!L362)="NO", UPPER(Raw_Data!L362)="0"), FALSE, "Review")
        )
    )
)</f>
        <v>1</v>
      </c>
    </row>
    <row r="363" spans="1:13" x14ac:dyDescent="0.4">
      <c r="A363" s="2" t="str">
        <f>IFERROR(TRIM(Raw_Data!A363), "Review")</f>
        <v>EMP1361</v>
      </c>
      <c r="B363" s="2" t="str">
        <f>IFERROR(TRIM(Raw_Data!B363), "Review")</f>
        <v>Grace</v>
      </c>
      <c r="C363" s="2" t="str">
        <f>IFERROR(TRIM(Raw_Data!C363), "Review")</f>
        <v>Smith</v>
      </c>
      <c r="D363" s="2">
        <f>IF(Raw_Data!D363="", "", IFERROR(VALUE(Raw_Data!D363), ""))</f>
        <v>35</v>
      </c>
      <c r="E363" s="2" t="str">
        <f>IFERROR(LEFT(Raw_Data!E363,SEARCH("-",Raw_Data!E363)-1),"Review")</f>
        <v>Finance</v>
      </c>
      <c r="F363" s="2" t="str">
        <f>IFERROR(_xlfn.TEXTAFTER(Raw_Data!E363,"-"),"Review")</f>
        <v>Texas</v>
      </c>
      <c r="G363" s="2" t="str">
        <f>IFERROR(TRIM(Raw_Data!F363), "Review")</f>
        <v>Active</v>
      </c>
      <c r="H363" s="3" t="str">
        <f>IFERROR(TEXT(Raw_Data!G363, "YYYY-MM-DD"),"Review")</f>
        <v>2020-07-20</v>
      </c>
      <c r="I363" s="4">
        <f>IF(Raw_Data!H363="", "", IFERROR(VALUE(Raw_Data!H363), ""))</f>
        <v>68111.69</v>
      </c>
      <c r="J363" s="2" t="str">
        <f>IF(Raw_Data!I363="", "", IF(ISNUMBER(FIND("@", Raw_Data!I363)), Raw_Data!I363, "Review"))</f>
        <v>grace.smith@example.com</v>
      </c>
      <c r="K363" s="5" t="str">
        <f>IFERROR(TEXT(ABS(Raw_Data!J363), "0"), "Review")</f>
        <v>6404120910</v>
      </c>
      <c r="L363" s="2" t="str">
        <f>IFERROR(TRIM(Raw_Data!K363), "Review")</f>
        <v>Poor</v>
      </c>
      <c r="M363" s="2" t="b">
        <f>IF(Raw_Data!L363="", "",
    IF(ISLOGICAL(Raw_Data!L363), Raw_Data!L363,
        IF(OR(UPPER(Raw_Data!L363)="TRUE", UPPER(Raw_Data!L363)="YES", UPPER(Raw_Data!L363)="1"), TRUE,
            IF(OR(UPPER(Raw_Data!L363)="FALSE", UPPER(Raw_Data!L363)="NO", UPPER(Raw_Data!L363)="0"), FALSE, "Review")
        )
    )
)</f>
        <v>0</v>
      </c>
    </row>
    <row r="364" spans="1:13" x14ac:dyDescent="0.4">
      <c r="A364" s="2" t="str">
        <f>IFERROR(TRIM(Raw_Data!A364), "Review")</f>
        <v>EMP1362</v>
      </c>
      <c r="B364" s="2" t="str">
        <f>IFERROR(TRIM(Raw_Data!B364), "Review")</f>
        <v>David</v>
      </c>
      <c r="C364" s="2" t="str">
        <f>IFERROR(TRIM(Raw_Data!C364), "Review")</f>
        <v>Smith</v>
      </c>
      <c r="D364" s="2">
        <f>IF(Raw_Data!D364="", "", IFERROR(VALUE(Raw_Data!D364), ""))</f>
        <v>40</v>
      </c>
      <c r="E364" s="2" t="str">
        <f>IFERROR(LEFT(Raw_Data!E364,SEARCH("-",Raw_Data!E364)-1),"Review")</f>
        <v>HR</v>
      </c>
      <c r="F364" s="2" t="str">
        <f>IFERROR(_xlfn.TEXTAFTER(Raw_Data!E364,"-"),"Review")</f>
        <v>Florida</v>
      </c>
      <c r="G364" s="2" t="str">
        <f>IFERROR(TRIM(Raw_Data!F364), "Review")</f>
        <v>Inactive</v>
      </c>
      <c r="H364" s="3" t="str">
        <f>IFERROR(TEXT(Raw_Data!G364, "YYYY-MM-DD"),"Review")</f>
        <v>2024-04-30</v>
      </c>
      <c r="I364" s="4">
        <f>IF(Raw_Data!H364="", "", IFERROR(VALUE(Raw_Data!H364), ""))</f>
        <v>97568.88</v>
      </c>
      <c r="J364" s="2" t="str">
        <f>IF(Raw_Data!I364="", "", IF(ISNUMBER(FIND("@", Raw_Data!I364)), Raw_Data!I364, "Review"))</f>
        <v>david.smith@example.com</v>
      </c>
      <c r="K364" s="5" t="str">
        <f>IFERROR(TEXT(ABS(Raw_Data!J364), "0"), "Review")</f>
        <v>7911244210</v>
      </c>
      <c r="L364" s="2" t="str">
        <f>IFERROR(TRIM(Raw_Data!K364), "Review")</f>
        <v>Average</v>
      </c>
      <c r="M364" s="2" t="b">
        <f>IF(Raw_Data!L364="", "",
    IF(ISLOGICAL(Raw_Data!L364), Raw_Data!L364,
        IF(OR(UPPER(Raw_Data!L364)="TRUE", UPPER(Raw_Data!L364)="YES", UPPER(Raw_Data!L364)="1"), TRUE,
            IF(OR(UPPER(Raw_Data!L364)="FALSE", UPPER(Raw_Data!L364)="NO", UPPER(Raw_Data!L364)="0"), FALSE, "Review")
        )
    )
)</f>
        <v>1</v>
      </c>
    </row>
    <row r="365" spans="1:13" x14ac:dyDescent="0.4">
      <c r="A365" s="2" t="str">
        <f>IFERROR(TRIM(Raw_Data!A365), "Review")</f>
        <v>EMP1363</v>
      </c>
      <c r="B365" s="2" t="str">
        <f>IFERROR(TRIM(Raw_Data!B365), "Review")</f>
        <v>Charlie</v>
      </c>
      <c r="C365" s="2" t="str">
        <f>IFERROR(TRIM(Raw_Data!C365), "Review")</f>
        <v>Johnson</v>
      </c>
      <c r="D365" s="2">
        <f>IF(Raw_Data!D365="", "", IFERROR(VALUE(Raw_Data!D365), ""))</f>
        <v>35</v>
      </c>
      <c r="E365" s="2" t="str">
        <f>IFERROR(LEFT(Raw_Data!E365,SEARCH("-",Raw_Data!E365)-1),"Review")</f>
        <v>Cloud Tech</v>
      </c>
      <c r="F365" s="2" t="str">
        <f>IFERROR(_xlfn.TEXTAFTER(Raw_Data!E365,"-"),"Review")</f>
        <v>Florida</v>
      </c>
      <c r="G365" s="2" t="str">
        <f>IFERROR(TRIM(Raw_Data!F365), "Review")</f>
        <v>Active</v>
      </c>
      <c r="H365" s="3" t="str">
        <f>IFERROR(TEXT(Raw_Data!G365, "YYYY-MM-DD"),"Review")</f>
        <v>2021-08-28</v>
      </c>
      <c r="I365" s="4">
        <f>IF(Raw_Data!H365="", "", IFERROR(VALUE(Raw_Data!H365), ""))</f>
        <v>79118.28</v>
      </c>
      <c r="J365" s="2" t="str">
        <f>IF(Raw_Data!I365="", "", IF(ISNUMBER(FIND("@", Raw_Data!I365)), Raw_Data!I365, "Review"))</f>
        <v>charlie.johnson@example.com</v>
      </c>
      <c r="K365" s="5" t="str">
        <f>IFERROR(TEXT(ABS(Raw_Data!J365), "0"), "Review")</f>
        <v>7536170616</v>
      </c>
      <c r="L365" s="2" t="str">
        <f>IFERROR(TRIM(Raw_Data!K365), "Review")</f>
        <v>Poor</v>
      </c>
      <c r="M365" s="2" t="b">
        <f>IF(Raw_Data!L365="", "",
    IF(ISLOGICAL(Raw_Data!L365), Raw_Data!L365,
        IF(OR(UPPER(Raw_Data!L365)="TRUE", UPPER(Raw_Data!L365)="YES", UPPER(Raw_Data!L365)="1"), TRUE,
            IF(OR(UPPER(Raw_Data!L365)="FALSE", UPPER(Raw_Data!L365)="NO", UPPER(Raw_Data!L365)="0"), FALSE, "Review")
        )
    )
)</f>
        <v>1</v>
      </c>
    </row>
    <row r="366" spans="1:13" x14ac:dyDescent="0.4">
      <c r="A366" s="2" t="str">
        <f>IFERROR(TRIM(Raw_Data!A366), "Review")</f>
        <v>EMP1364</v>
      </c>
      <c r="B366" s="2" t="str">
        <f>IFERROR(TRIM(Raw_Data!B366), "Review")</f>
        <v>Bob</v>
      </c>
      <c r="C366" s="2" t="str">
        <f>IFERROR(TRIM(Raw_Data!C366), "Review")</f>
        <v>Davis</v>
      </c>
      <c r="D366" s="2">
        <f>IF(Raw_Data!D366="", "", IFERROR(VALUE(Raw_Data!D366), ""))</f>
        <v>30</v>
      </c>
      <c r="E366" s="2" t="str">
        <f>IFERROR(LEFT(Raw_Data!E366,SEARCH("-",Raw_Data!E366)-1),"Review")</f>
        <v>HR</v>
      </c>
      <c r="F366" s="2" t="str">
        <f>IFERROR(_xlfn.TEXTAFTER(Raw_Data!E366,"-"),"Review")</f>
        <v>California</v>
      </c>
      <c r="G366" s="2" t="str">
        <f>IFERROR(TRIM(Raw_Data!F366), "Review")</f>
        <v>Inactive</v>
      </c>
      <c r="H366" s="3" t="str">
        <f>IFERROR(TEXT(Raw_Data!G366, "YYYY-MM-DD"),"Review")</f>
        <v>2022-07-21</v>
      </c>
      <c r="I366" s="4">
        <f>IF(Raw_Data!H366="", "", IFERROR(VALUE(Raw_Data!H366), ""))</f>
        <v>104898.9</v>
      </c>
      <c r="J366" s="2" t="str">
        <f>IF(Raw_Data!I366="", "", IF(ISNUMBER(FIND("@", Raw_Data!I366)), Raw_Data!I366, "Review"))</f>
        <v>bob.davis@example.com</v>
      </c>
      <c r="K366" s="5" t="str">
        <f>IFERROR(TEXT(ABS(Raw_Data!J366), "0"), "Review")</f>
        <v>1366572239</v>
      </c>
      <c r="L366" s="2" t="str">
        <f>IFERROR(TRIM(Raw_Data!K366), "Review")</f>
        <v>Excellent</v>
      </c>
      <c r="M366" s="2" t="b">
        <f>IF(Raw_Data!L366="", "",
    IF(ISLOGICAL(Raw_Data!L366), Raw_Data!L366,
        IF(OR(UPPER(Raw_Data!L366)="TRUE", UPPER(Raw_Data!L366)="YES", UPPER(Raw_Data!L366)="1"), TRUE,
            IF(OR(UPPER(Raw_Data!L366)="FALSE", UPPER(Raw_Data!L366)="NO", UPPER(Raw_Data!L366)="0"), FALSE, "Review")
        )
    )
)</f>
        <v>1</v>
      </c>
    </row>
    <row r="367" spans="1:13" x14ac:dyDescent="0.4">
      <c r="A367" s="2" t="str">
        <f>IFERROR(TRIM(Raw_Data!A367), "Review")</f>
        <v>EMP1365</v>
      </c>
      <c r="B367" s="2" t="str">
        <f>IFERROR(TRIM(Raw_Data!B367), "Review")</f>
        <v>Frank</v>
      </c>
      <c r="C367" s="2" t="str">
        <f>IFERROR(TRIM(Raw_Data!C367), "Review")</f>
        <v>Davis</v>
      </c>
      <c r="D367" s="2">
        <f>IF(Raw_Data!D367="", "", IFERROR(VALUE(Raw_Data!D367), ""))</f>
        <v>40</v>
      </c>
      <c r="E367" s="2" t="str">
        <f>IFERROR(LEFT(Raw_Data!E367,SEARCH("-",Raw_Data!E367)-1),"Review")</f>
        <v>Cloud Tech</v>
      </c>
      <c r="F367" s="2" t="str">
        <f>IFERROR(_xlfn.TEXTAFTER(Raw_Data!E367,"-"),"Review")</f>
        <v>Florida</v>
      </c>
      <c r="G367" s="2" t="str">
        <f>IFERROR(TRIM(Raw_Data!F367), "Review")</f>
        <v>Pending</v>
      </c>
      <c r="H367" s="3" t="str">
        <f>IFERROR(TEXT(Raw_Data!G367, "YYYY-MM-DD"),"Review")</f>
        <v>2023-11-27</v>
      </c>
      <c r="I367" s="4">
        <f>IF(Raw_Data!H367="", "", IFERROR(VALUE(Raw_Data!H367), ""))</f>
        <v>81671.3</v>
      </c>
      <c r="J367" s="2" t="str">
        <f>IF(Raw_Data!I367="", "", IF(ISNUMBER(FIND("@", Raw_Data!I367)), Raw_Data!I367, "Review"))</f>
        <v>frank.davis@example.com</v>
      </c>
      <c r="K367" s="5" t="str">
        <f>IFERROR(TEXT(ABS(Raw_Data!J367), "0"), "Review")</f>
        <v>2990155798</v>
      </c>
      <c r="L367" s="2" t="str">
        <f>IFERROR(TRIM(Raw_Data!K367), "Review")</f>
        <v>Poor</v>
      </c>
      <c r="M367" s="2" t="b">
        <f>IF(Raw_Data!L367="", "",
    IF(ISLOGICAL(Raw_Data!L367), Raw_Data!L367,
        IF(OR(UPPER(Raw_Data!L367)="TRUE", UPPER(Raw_Data!L367)="YES", UPPER(Raw_Data!L367)="1"), TRUE,
            IF(OR(UPPER(Raw_Data!L367)="FALSE", UPPER(Raw_Data!L367)="NO", UPPER(Raw_Data!L367)="0"), FALSE, "Review")
        )
    )
)</f>
        <v>1</v>
      </c>
    </row>
    <row r="368" spans="1:13" x14ac:dyDescent="0.4">
      <c r="A368" s="2" t="str">
        <f>IFERROR(TRIM(Raw_Data!A368), "Review")</f>
        <v>EMP1366</v>
      </c>
      <c r="B368" s="2" t="str">
        <f>IFERROR(TRIM(Raw_Data!B368), "Review")</f>
        <v>Alice</v>
      </c>
      <c r="C368" s="2" t="str">
        <f>IFERROR(TRIM(Raw_Data!C368), "Review")</f>
        <v>Miller</v>
      </c>
      <c r="D368" s="2">
        <f>IF(Raw_Data!D368="", "", IFERROR(VALUE(Raw_Data!D368), ""))</f>
        <v>25</v>
      </c>
      <c r="E368" s="2" t="str">
        <f>IFERROR(LEFT(Raw_Data!E368,SEARCH("-",Raw_Data!E368)-1),"Review")</f>
        <v>Cloud Tech</v>
      </c>
      <c r="F368" s="2" t="str">
        <f>IFERROR(_xlfn.TEXTAFTER(Raw_Data!E368,"-"),"Review")</f>
        <v>California</v>
      </c>
      <c r="G368" s="2" t="str">
        <f>IFERROR(TRIM(Raw_Data!F368), "Review")</f>
        <v>Pending</v>
      </c>
      <c r="H368" s="3" t="str">
        <f>IFERROR(TEXT(Raw_Data!G368, "YYYY-MM-DD"),"Review")</f>
        <v>2020-08-11</v>
      </c>
      <c r="I368" s="4">
        <f>IF(Raw_Data!H368="", "", IFERROR(VALUE(Raw_Data!H368), ""))</f>
        <v>97399.75</v>
      </c>
      <c r="J368" s="2" t="str">
        <f>IF(Raw_Data!I368="", "", IF(ISNUMBER(FIND("@", Raw_Data!I368)), Raw_Data!I368, "Review"))</f>
        <v>alice.miller@example.com</v>
      </c>
      <c r="K368" s="5" t="str">
        <f>IFERROR(TEXT(ABS(Raw_Data!J368), "0"), "Review")</f>
        <v>8028413907</v>
      </c>
      <c r="L368" s="2" t="str">
        <f>IFERROR(TRIM(Raw_Data!K368), "Review")</f>
        <v>Excellent</v>
      </c>
      <c r="M368" s="2" t="b">
        <f>IF(Raw_Data!L368="", "",
    IF(ISLOGICAL(Raw_Data!L368), Raw_Data!L368,
        IF(OR(UPPER(Raw_Data!L368)="TRUE", UPPER(Raw_Data!L368)="YES", UPPER(Raw_Data!L368)="1"), TRUE,
            IF(OR(UPPER(Raw_Data!L368)="FALSE", UPPER(Raw_Data!L368)="NO", UPPER(Raw_Data!L368)="0"), FALSE, "Review")
        )
    )
)</f>
        <v>0</v>
      </c>
    </row>
    <row r="369" spans="1:13" x14ac:dyDescent="0.4">
      <c r="A369" s="2" t="str">
        <f>IFERROR(TRIM(Raw_Data!A369), "Review")</f>
        <v>EMP1367</v>
      </c>
      <c r="B369" s="2" t="str">
        <f>IFERROR(TRIM(Raw_Data!B369), "Review")</f>
        <v>David</v>
      </c>
      <c r="C369" s="2" t="str">
        <f>IFERROR(TRIM(Raw_Data!C369), "Review")</f>
        <v>Johnson</v>
      </c>
      <c r="D369" s="2" t="str">
        <f>IF(Raw_Data!D369="", "", IFERROR(VALUE(Raw_Data!D369), ""))</f>
        <v/>
      </c>
      <c r="E369" s="2" t="str">
        <f>IFERROR(LEFT(Raw_Data!E369,SEARCH("-",Raw_Data!E369)-1),"Review")</f>
        <v>Admin</v>
      </c>
      <c r="F369" s="2" t="str">
        <f>IFERROR(_xlfn.TEXTAFTER(Raw_Data!E369,"-"),"Review")</f>
        <v>Illinois</v>
      </c>
      <c r="G369" s="2" t="str">
        <f>IFERROR(TRIM(Raw_Data!F369), "Review")</f>
        <v>Active</v>
      </c>
      <c r="H369" s="3" t="str">
        <f>IFERROR(TEXT(Raw_Data!G369, "YYYY-MM-DD"),"Review")</f>
        <v>2021-11-08</v>
      </c>
      <c r="I369" s="4">
        <f>IF(Raw_Data!H369="", "", IFERROR(VALUE(Raw_Data!H369), ""))</f>
        <v>89189.43</v>
      </c>
      <c r="J369" s="2" t="str">
        <f>IF(Raw_Data!I369="", "", IF(ISNUMBER(FIND("@", Raw_Data!I369)), Raw_Data!I369, "Review"))</f>
        <v>david.johnson@example.com</v>
      </c>
      <c r="K369" s="5" t="str">
        <f>IFERROR(TEXT(ABS(Raw_Data!J369), "0"), "Review")</f>
        <v>882351304</v>
      </c>
      <c r="L369" s="2" t="str">
        <f>IFERROR(TRIM(Raw_Data!K369), "Review")</f>
        <v>Poor</v>
      </c>
      <c r="M369" s="2" t="b">
        <f>IF(Raw_Data!L369="", "",
    IF(ISLOGICAL(Raw_Data!L369), Raw_Data!L369,
        IF(OR(UPPER(Raw_Data!L369)="TRUE", UPPER(Raw_Data!L369)="YES", UPPER(Raw_Data!L369)="1"), TRUE,
            IF(OR(UPPER(Raw_Data!L369)="FALSE", UPPER(Raw_Data!L369)="NO", UPPER(Raw_Data!L369)="0"), FALSE, "Review")
        )
    )
)</f>
        <v>1</v>
      </c>
    </row>
    <row r="370" spans="1:13" x14ac:dyDescent="0.4">
      <c r="A370" s="2" t="str">
        <f>IFERROR(TRIM(Raw_Data!A370), "Review")</f>
        <v>EMP1368</v>
      </c>
      <c r="B370" s="2" t="str">
        <f>IFERROR(TRIM(Raw_Data!B370), "Review")</f>
        <v>David</v>
      </c>
      <c r="C370" s="2" t="str">
        <f>IFERROR(TRIM(Raw_Data!C370), "Review")</f>
        <v>Williams</v>
      </c>
      <c r="D370" s="2">
        <f>IF(Raw_Data!D370="", "", IFERROR(VALUE(Raw_Data!D370), ""))</f>
        <v>40</v>
      </c>
      <c r="E370" s="2" t="str">
        <f>IFERROR(LEFT(Raw_Data!E370,SEARCH("-",Raw_Data!E370)-1),"Review")</f>
        <v>DevOps</v>
      </c>
      <c r="F370" s="2" t="str">
        <f>IFERROR(_xlfn.TEXTAFTER(Raw_Data!E370,"-"),"Review")</f>
        <v>New York</v>
      </c>
      <c r="G370" s="2" t="str">
        <f>IFERROR(TRIM(Raw_Data!F370), "Review")</f>
        <v>Active</v>
      </c>
      <c r="H370" s="3" t="str">
        <f>IFERROR(TEXT(Raw_Data!G370, "YYYY-MM-DD"),"Review")</f>
        <v>2023-08-04</v>
      </c>
      <c r="I370" s="4">
        <f>IF(Raw_Data!H370="", "", IFERROR(VALUE(Raw_Data!H370), ""))</f>
        <v>96011.55</v>
      </c>
      <c r="J370" s="2" t="str">
        <f>IF(Raw_Data!I370="", "", IF(ISNUMBER(FIND("@", Raw_Data!I370)), Raw_Data!I370, "Review"))</f>
        <v>david.williams@example.com</v>
      </c>
      <c r="K370" s="5" t="str">
        <f>IFERROR(TEXT(ABS(Raw_Data!J370), "0"), "Review")</f>
        <v>2312447314</v>
      </c>
      <c r="L370" s="2" t="str">
        <f>IFERROR(TRIM(Raw_Data!K370), "Review")</f>
        <v>Average</v>
      </c>
      <c r="M370" s="2" t="b">
        <f>IF(Raw_Data!L370="", "",
    IF(ISLOGICAL(Raw_Data!L370), Raw_Data!L370,
        IF(OR(UPPER(Raw_Data!L370)="TRUE", UPPER(Raw_Data!L370)="YES", UPPER(Raw_Data!L370)="1"), TRUE,
            IF(OR(UPPER(Raw_Data!L370)="FALSE", UPPER(Raw_Data!L370)="NO", UPPER(Raw_Data!L370)="0"), FALSE, "Review")
        )
    )
)</f>
        <v>1</v>
      </c>
    </row>
    <row r="371" spans="1:13" x14ac:dyDescent="0.4">
      <c r="A371" s="2" t="str">
        <f>IFERROR(TRIM(Raw_Data!A371), "Review")</f>
        <v>EMP1369</v>
      </c>
      <c r="B371" s="2" t="str">
        <f>IFERROR(TRIM(Raw_Data!B371), "Review")</f>
        <v>David</v>
      </c>
      <c r="C371" s="2" t="str">
        <f>IFERROR(TRIM(Raw_Data!C371), "Review")</f>
        <v>Davis</v>
      </c>
      <c r="D371" s="2">
        <f>IF(Raw_Data!D371="", "", IFERROR(VALUE(Raw_Data!D371), ""))</f>
        <v>40</v>
      </c>
      <c r="E371" s="2" t="str">
        <f>IFERROR(LEFT(Raw_Data!E371,SEARCH("-",Raw_Data!E371)-1),"Review")</f>
        <v>Sales</v>
      </c>
      <c r="F371" s="2" t="str">
        <f>IFERROR(_xlfn.TEXTAFTER(Raw_Data!E371,"-"),"Review")</f>
        <v>Florida</v>
      </c>
      <c r="G371" s="2" t="str">
        <f>IFERROR(TRIM(Raw_Data!F371), "Review")</f>
        <v>Inactive</v>
      </c>
      <c r="H371" s="3" t="str">
        <f>IFERROR(TEXT(Raw_Data!G371, "YYYY-MM-DD"),"Review")</f>
        <v>2020-01-10</v>
      </c>
      <c r="I371" s="4">
        <f>IF(Raw_Data!H371="", "", IFERROR(VALUE(Raw_Data!H371), ""))</f>
        <v>99331.49</v>
      </c>
      <c r="J371" s="2" t="str">
        <f>IF(Raw_Data!I371="", "", IF(ISNUMBER(FIND("@", Raw_Data!I371)), Raw_Data!I371, "Review"))</f>
        <v>david.davis@example.com</v>
      </c>
      <c r="K371" s="5" t="str">
        <f>IFERROR(TEXT(ABS(Raw_Data!J371), "0"), "Review")</f>
        <v>8477686341</v>
      </c>
      <c r="L371" s="2" t="str">
        <f>IFERROR(TRIM(Raw_Data!K371), "Review")</f>
        <v>Excellent</v>
      </c>
      <c r="M371" s="2" t="b">
        <f>IF(Raw_Data!L371="", "",
    IF(ISLOGICAL(Raw_Data!L371), Raw_Data!L371,
        IF(OR(UPPER(Raw_Data!L371)="TRUE", UPPER(Raw_Data!L371)="YES", UPPER(Raw_Data!L371)="1"), TRUE,
            IF(OR(UPPER(Raw_Data!L371)="FALSE", UPPER(Raw_Data!L371)="NO", UPPER(Raw_Data!L371)="0"), FALSE, "Review")
        )
    )
)</f>
        <v>0</v>
      </c>
    </row>
    <row r="372" spans="1:13" x14ac:dyDescent="0.4">
      <c r="A372" s="2" t="str">
        <f>IFERROR(TRIM(Raw_Data!A372), "Review")</f>
        <v>EMP1370</v>
      </c>
      <c r="B372" s="2" t="str">
        <f>IFERROR(TRIM(Raw_Data!B372), "Review")</f>
        <v>Bob</v>
      </c>
      <c r="C372" s="2" t="str">
        <f>IFERROR(TRIM(Raw_Data!C372), "Review")</f>
        <v>Brown</v>
      </c>
      <c r="D372" s="2" t="str">
        <f>IF(Raw_Data!D372="", "", IFERROR(VALUE(Raw_Data!D372), ""))</f>
        <v/>
      </c>
      <c r="E372" s="2" t="str">
        <f>IFERROR(LEFT(Raw_Data!E372,SEARCH("-",Raw_Data!E372)-1),"Review")</f>
        <v>Cloud Tech</v>
      </c>
      <c r="F372" s="2" t="str">
        <f>IFERROR(_xlfn.TEXTAFTER(Raw_Data!E372,"-"),"Review")</f>
        <v>Illinois</v>
      </c>
      <c r="G372" s="2" t="str">
        <f>IFERROR(TRIM(Raw_Data!F372), "Review")</f>
        <v>Active</v>
      </c>
      <c r="H372" s="3" t="str">
        <f>IFERROR(TEXT(Raw_Data!G372, "YYYY-MM-DD"),"Review")</f>
        <v>2022-01-19</v>
      </c>
      <c r="I372" s="4">
        <f>IF(Raw_Data!H372="", "", IFERROR(VALUE(Raw_Data!H372), ""))</f>
        <v>72818.94</v>
      </c>
      <c r="J372" s="2" t="str">
        <f>IF(Raw_Data!I372="", "", IF(ISNUMBER(FIND("@", Raw_Data!I372)), Raw_Data!I372, "Review"))</f>
        <v>bob.brown@example.com</v>
      </c>
      <c r="K372" s="5" t="str">
        <f>IFERROR(TEXT(ABS(Raw_Data!J372), "0"), "Review")</f>
        <v>3461994236</v>
      </c>
      <c r="L372" s="2" t="str">
        <f>IFERROR(TRIM(Raw_Data!K372), "Review")</f>
        <v>Good</v>
      </c>
      <c r="M372" s="2" t="b">
        <f>IF(Raw_Data!L372="", "",
    IF(ISLOGICAL(Raw_Data!L372), Raw_Data!L372,
        IF(OR(UPPER(Raw_Data!L372)="TRUE", UPPER(Raw_Data!L372)="YES", UPPER(Raw_Data!L372)="1"), TRUE,
            IF(OR(UPPER(Raw_Data!L372)="FALSE", UPPER(Raw_Data!L372)="NO", UPPER(Raw_Data!L372)="0"), FALSE, "Review")
        )
    )
)</f>
        <v>1</v>
      </c>
    </row>
    <row r="373" spans="1:13" x14ac:dyDescent="0.4">
      <c r="A373" s="2" t="str">
        <f>IFERROR(TRIM(Raw_Data!A373), "Review")</f>
        <v>EMP1371</v>
      </c>
      <c r="B373" s="2" t="str">
        <f>IFERROR(TRIM(Raw_Data!B373), "Review")</f>
        <v>Eva</v>
      </c>
      <c r="C373" s="2" t="str">
        <f>IFERROR(TRIM(Raw_Data!C373), "Review")</f>
        <v>Garcia</v>
      </c>
      <c r="D373" s="2">
        <f>IF(Raw_Data!D373="", "", IFERROR(VALUE(Raw_Data!D373), ""))</f>
        <v>40</v>
      </c>
      <c r="E373" s="2" t="str">
        <f>IFERROR(LEFT(Raw_Data!E373,SEARCH("-",Raw_Data!E373)-1),"Review")</f>
        <v>Sales</v>
      </c>
      <c r="F373" s="2" t="str">
        <f>IFERROR(_xlfn.TEXTAFTER(Raw_Data!E373,"-"),"Review")</f>
        <v>Nevada</v>
      </c>
      <c r="G373" s="2" t="str">
        <f>IFERROR(TRIM(Raw_Data!F373), "Review")</f>
        <v>Inactive</v>
      </c>
      <c r="H373" s="3" t="str">
        <f>IFERROR(TEXT(Raw_Data!G373, "YYYY-MM-DD"),"Review")</f>
        <v>2023-05-07</v>
      </c>
      <c r="I373" s="4">
        <f>IF(Raw_Data!H373="", "", IFERROR(VALUE(Raw_Data!H373), ""))</f>
        <v>77204.75</v>
      </c>
      <c r="J373" s="2" t="str">
        <f>IF(Raw_Data!I373="", "", IF(ISNUMBER(FIND("@", Raw_Data!I373)), Raw_Data!I373, "Review"))</f>
        <v>eva.garcia@example.com</v>
      </c>
      <c r="K373" s="5" t="str">
        <f>IFERROR(TEXT(ABS(Raw_Data!J373), "0"), "Review")</f>
        <v>6769459195</v>
      </c>
      <c r="L373" s="2" t="str">
        <f>IFERROR(TRIM(Raw_Data!K373), "Review")</f>
        <v>Good</v>
      </c>
      <c r="M373" s="2" t="b">
        <f>IF(Raw_Data!L373="", "",
    IF(ISLOGICAL(Raw_Data!L373), Raw_Data!L373,
        IF(OR(UPPER(Raw_Data!L373)="TRUE", UPPER(Raw_Data!L373)="YES", UPPER(Raw_Data!L373)="1"), TRUE,
            IF(OR(UPPER(Raw_Data!L373)="FALSE", UPPER(Raw_Data!L373)="NO", UPPER(Raw_Data!L373)="0"), FALSE, "Review")
        )
    )
)</f>
        <v>1</v>
      </c>
    </row>
    <row r="374" spans="1:13" x14ac:dyDescent="0.4">
      <c r="A374" s="2" t="str">
        <f>IFERROR(TRIM(Raw_Data!A374), "Review")</f>
        <v>EMP1372</v>
      </c>
      <c r="B374" s="2" t="str">
        <f>IFERROR(TRIM(Raw_Data!B374), "Review")</f>
        <v>Bob</v>
      </c>
      <c r="C374" s="2" t="str">
        <f>IFERROR(TRIM(Raw_Data!C374), "Review")</f>
        <v>Johnson</v>
      </c>
      <c r="D374" s="2">
        <f>IF(Raw_Data!D374="", "", IFERROR(VALUE(Raw_Data!D374), ""))</f>
        <v>35</v>
      </c>
      <c r="E374" s="2" t="str">
        <f>IFERROR(LEFT(Raw_Data!E374,SEARCH("-",Raw_Data!E374)-1),"Review")</f>
        <v>HR</v>
      </c>
      <c r="F374" s="2" t="str">
        <f>IFERROR(_xlfn.TEXTAFTER(Raw_Data!E374,"-"),"Review")</f>
        <v>Florida</v>
      </c>
      <c r="G374" s="2" t="str">
        <f>IFERROR(TRIM(Raw_Data!F374), "Review")</f>
        <v>Pending</v>
      </c>
      <c r="H374" s="3" t="str">
        <f>IFERROR(TEXT(Raw_Data!G374, "YYYY-MM-DD"),"Review")</f>
        <v>2020-12-19</v>
      </c>
      <c r="I374" s="4">
        <f>IF(Raw_Data!H374="", "", IFERROR(VALUE(Raw_Data!H374), ""))</f>
        <v>106961.68</v>
      </c>
      <c r="J374" s="2" t="str">
        <f>IF(Raw_Data!I374="", "", IF(ISNUMBER(FIND("@", Raw_Data!I374)), Raw_Data!I374, "Review"))</f>
        <v>bob.johnson@example.com</v>
      </c>
      <c r="K374" s="5" t="str">
        <f>IFERROR(TEXT(ABS(Raw_Data!J374), "0"), "Review")</f>
        <v>6395517207</v>
      </c>
      <c r="L374" s="2" t="str">
        <f>IFERROR(TRIM(Raw_Data!K374), "Review")</f>
        <v>Poor</v>
      </c>
      <c r="M374" s="2" t="b">
        <f>IF(Raw_Data!L374="", "",
    IF(ISLOGICAL(Raw_Data!L374), Raw_Data!L374,
        IF(OR(UPPER(Raw_Data!L374)="TRUE", UPPER(Raw_Data!L374)="YES", UPPER(Raw_Data!L374)="1"), TRUE,
            IF(OR(UPPER(Raw_Data!L374)="FALSE", UPPER(Raw_Data!L374)="NO", UPPER(Raw_Data!L374)="0"), FALSE, "Review")
        )
    )
)</f>
        <v>0</v>
      </c>
    </row>
    <row r="375" spans="1:13" x14ac:dyDescent="0.4">
      <c r="A375" s="2" t="str">
        <f>IFERROR(TRIM(Raw_Data!A375), "Review")</f>
        <v>EMP1373</v>
      </c>
      <c r="B375" s="2" t="str">
        <f>IFERROR(TRIM(Raw_Data!B375), "Review")</f>
        <v>Eva</v>
      </c>
      <c r="C375" s="2" t="str">
        <f>IFERROR(TRIM(Raw_Data!C375), "Review")</f>
        <v>Garcia</v>
      </c>
      <c r="D375" s="2" t="str">
        <f>IF(Raw_Data!D375="", "", IFERROR(VALUE(Raw_Data!D375), ""))</f>
        <v/>
      </c>
      <c r="E375" s="2" t="str">
        <f>IFERROR(LEFT(Raw_Data!E375,SEARCH("-",Raw_Data!E375)-1),"Review")</f>
        <v>Sales</v>
      </c>
      <c r="F375" s="2" t="str">
        <f>IFERROR(_xlfn.TEXTAFTER(Raw_Data!E375,"-"),"Review")</f>
        <v>Texas</v>
      </c>
      <c r="G375" s="2" t="str">
        <f>IFERROR(TRIM(Raw_Data!F375), "Review")</f>
        <v>Pending</v>
      </c>
      <c r="H375" s="3" t="str">
        <f>IFERROR(TEXT(Raw_Data!G375, "YYYY-MM-DD"),"Review")</f>
        <v>2020-10-01</v>
      </c>
      <c r="I375" s="4">
        <f>IF(Raw_Data!H375="", "", IFERROR(VALUE(Raw_Data!H375), ""))</f>
        <v>71923</v>
      </c>
      <c r="J375" s="2" t="str">
        <f>IF(Raw_Data!I375="", "", IF(ISNUMBER(FIND("@", Raw_Data!I375)), Raw_Data!I375, "Review"))</f>
        <v>eva.garcia@example.com</v>
      </c>
      <c r="K375" s="5" t="str">
        <f>IFERROR(TEXT(ABS(Raw_Data!J375), "0"), "Review")</f>
        <v>4964985600</v>
      </c>
      <c r="L375" s="2" t="str">
        <f>IFERROR(TRIM(Raw_Data!K375), "Review")</f>
        <v>Good</v>
      </c>
      <c r="M375" s="2" t="b">
        <f>IF(Raw_Data!L375="", "",
    IF(ISLOGICAL(Raw_Data!L375), Raw_Data!L375,
        IF(OR(UPPER(Raw_Data!L375)="TRUE", UPPER(Raw_Data!L375)="YES", UPPER(Raw_Data!L375)="1"), TRUE,
            IF(OR(UPPER(Raw_Data!L375)="FALSE", UPPER(Raw_Data!L375)="NO", UPPER(Raw_Data!L375)="0"), FALSE, "Review")
        )
    )
)</f>
        <v>1</v>
      </c>
    </row>
    <row r="376" spans="1:13" x14ac:dyDescent="0.4">
      <c r="A376" s="2" t="str">
        <f>IFERROR(TRIM(Raw_Data!A376), "Review")</f>
        <v>EMP1374</v>
      </c>
      <c r="B376" s="2" t="str">
        <f>IFERROR(TRIM(Raw_Data!B376), "Review")</f>
        <v>Bob</v>
      </c>
      <c r="C376" s="2" t="str">
        <f>IFERROR(TRIM(Raw_Data!C376), "Review")</f>
        <v>Smith</v>
      </c>
      <c r="D376" s="2">
        <f>IF(Raw_Data!D376="", "", IFERROR(VALUE(Raw_Data!D376), ""))</f>
        <v>30</v>
      </c>
      <c r="E376" s="2" t="str">
        <f>IFERROR(LEFT(Raw_Data!E376,SEARCH("-",Raw_Data!E376)-1),"Review")</f>
        <v>HR</v>
      </c>
      <c r="F376" s="2" t="str">
        <f>IFERROR(_xlfn.TEXTAFTER(Raw_Data!E376,"-"),"Review")</f>
        <v>Nevada</v>
      </c>
      <c r="G376" s="2" t="str">
        <f>IFERROR(TRIM(Raw_Data!F376), "Review")</f>
        <v>Active</v>
      </c>
      <c r="H376" s="3" t="str">
        <f>IFERROR(TEXT(Raw_Data!G376, "YYYY-MM-DD"),"Review")</f>
        <v>2022-11-12</v>
      </c>
      <c r="I376" s="4">
        <f>IF(Raw_Data!H376="", "", IFERROR(VALUE(Raw_Data!H376), ""))</f>
        <v>77192.429999999993</v>
      </c>
      <c r="J376" s="2" t="str">
        <f>IF(Raw_Data!I376="", "", IF(ISNUMBER(FIND("@", Raw_Data!I376)), Raw_Data!I376, "Review"))</f>
        <v>bob.smith@example.com</v>
      </c>
      <c r="K376" s="5" t="str">
        <f>IFERROR(TEXT(ABS(Raw_Data!J376), "0"), "Review")</f>
        <v>2562531354</v>
      </c>
      <c r="L376" s="2" t="str">
        <f>IFERROR(TRIM(Raw_Data!K376), "Review")</f>
        <v>Excellent</v>
      </c>
      <c r="M376" s="2" t="b">
        <f>IF(Raw_Data!L376="", "",
    IF(ISLOGICAL(Raw_Data!L376), Raw_Data!L376,
        IF(OR(UPPER(Raw_Data!L376)="TRUE", UPPER(Raw_Data!L376)="YES", UPPER(Raw_Data!L376)="1"), TRUE,
            IF(OR(UPPER(Raw_Data!L376)="FALSE", UPPER(Raw_Data!L376)="NO", UPPER(Raw_Data!L376)="0"), FALSE, "Review")
        )
    )
)</f>
        <v>0</v>
      </c>
    </row>
    <row r="377" spans="1:13" x14ac:dyDescent="0.4">
      <c r="A377" s="2" t="str">
        <f>IFERROR(TRIM(Raw_Data!A377), "Review")</f>
        <v>EMP1375</v>
      </c>
      <c r="B377" s="2" t="str">
        <f>IFERROR(TRIM(Raw_Data!B377), "Review")</f>
        <v>Grace</v>
      </c>
      <c r="C377" s="2" t="str">
        <f>IFERROR(TRIM(Raw_Data!C377), "Review")</f>
        <v>Brown</v>
      </c>
      <c r="D377" s="2">
        <f>IF(Raw_Data!D377="", "", IFERROR(VALUE(Raw_Data!D377), ""))</f>
        <v>40</v>
      </c>
      <c r="E377" s="2" t="str">
        <f>IFERROR(LEFT(Raw_Data!E377,SEARCH("-",Raw_Data!E377)-1),"Review")</f>
        <v>Admin</v>
      </c>
      <c r="F377" s="2" t="str">
        <f>IFERROR(_xlfn.TEXTAFTER(Raw_Data!E377,"-"),"Review")</f>
        <v>Florida</v>
      </c>
      <c r="G377" s="2" t="str">
        <f>IFERROR(TRIM(Raw_Data!F377), "Review")</f>
        <v>Pending</v>
      </c>
      <c r="H377" s="3" t="str">
        <f>IFERROR(TEXT(Raw_Data!G377, "YYYY-MM-DD"),"Review")</f>
        <v>2023-01-05</v>
      </c>
      <c r="I377" s="4">
        <f>IF(Raw_Data!H377="", "", IFERROR(VALUE(Raw_Data!H377), ""))</f>
        <v>98540.3</v>
      </c>
      <c r="J377" s="2" t="str">
        <f>IF(Raw_Data!I377="", "", IF(ISNUMBER(FIND("@", Raw_Data!I377)), Raw_Data!I377, "Review"))</f>
        <v>grace.brown@example.com</v>
      </c>
      <c r="K377" s="5" t="str">
        <f>IFERROR(TEXT(ABS(Raw_Data!J377), "0"), "Review")</f>
        <v>2510505378</v>
      </c>
      <c r="L377" s="2" t="str">
        <f>IFERROR(TRIM(Raw_Data!K377), "Review")</f>
        <v>Good</v>
      </c>
      <c r="M377" s="2" t="b">
        <f>IF(Raw_Data!L377="", "",
    IF(ISLOGICAL(Raw_Data!L377), Raw_Data!L377,
        IF(OR(UPPER(Raw_Data!L377)="TRUE", UPPER(Raw_Data!L377)="YES", UPPER(Raw_Data!L377)="1"), TRUE,
            IF(OR(UPPER(Raw_Data!L377)="FALSE", UPPER(Raw_Data!L377)="NO", UPPER(Raw_Data!L377)="0"), FALSE, "Review")
        )
    )
)</f>
        <v>0</v>
      </c>
    </row>
    <row r="378" spans="1:13" x14ac:dyDescent="0.4">
      <c r="A378" s="2" t="str">
        <f>IFERROR(TRIM(Raw_Data!A378), "Review")</f>
        <v>EMP1376</v>
      </c>
      <c r="B378" s="2" t="str">
        <f>IFERROR(TRIM(Raw_Data!B378), "Review")</f>
        <v>Charlie</v>
      </c>
      <c r="C378" s="2" t="str">
        <f>IFERROR(TRIM(Raw_Data!C378), "Review")</f>
        <v>Brown</v>
      </c>
      <c r="D378" s="2" t="str">
        <f>IF(Raw_Data!D378="", "", IFERROR(VALUE(Raw_Data!D378), ""))</f>
        <v/>
      </c>
      <c r="E378" s="2" t="str">
        <f>IFERROR(LEFT(Raw_Data!E378,SEARCH("-",Raw_Data!E378)-1),"Review")</f>
        <v>Admin</v>
      </c>
      <c r="F378" s="2" t="str">
        <f>IFERROR(_xlfn.TEXTAFTER(Raw_Data!E378,"-"),"Review")</f>
        <v>Florida</v>
      </c>
      <c r="G378" s="2" t="str">
        <f>IFERROR(TRIM(Raw_Data!F378), "Review")</f>
        <v>Inactive</v>
      </c>
      <c r="H378" s="3" t="str">
        <f>IFERROR(TEXT(Raw_Data!G378, "YYYY-MM-DD"),"Review")</f>
        <v>2020-10-14</v>
      </c>
      <c r="I378" s="4">
        <f>IF(Raw_Data!H378="", "", IFERROR(VALUE(Raw_Data!H378), ""))</f>
        <v>63096.9</v>
      </c>
      <c r="J378" s="2" t="str">
        <f>IF(Raw_Data!I378="", "", IF(ISNUMBER(FIND("@", Raw_Data!I378)), Raw_Data!I378, "Review"))</f>
        <v>charlie.brown@example.com</v>
      </c>
      <c r="K378" s="5" t="str">
        <f>IFERROR(TEXT(ABS(Raw_Data!J378), "0"), "Review")</f>
        <v>5381649382</v>
      </c>
      <c r="L378" s="2" t="str">
        <f>IFERROR(TRIM(Raw_Data!K378), "Review")</f>
        <v>Average</v>
      </c>
      <c r="M378" s="2" t="b">
        <f>IF(Raw_Data!L378="", "",
    IF(ISLOGICAL(Raw_Data!L378), Raw_Data!L378,
        IF(OR(UPPER(Raw_Data!L378)="TRUE", UPPER(Raw_Data!L378)="YES", UPPER(Raw_Data!L378)="1"), TRUE,
            IF(OR(UPPER(Raw_Data!L378)="FALSE", UPPER(Raw_Data!L378)="NO", UPPER(Raw_Data!L378)="0"), FALSE, "Review")
        )
    )
)</f>
        <v>0</v>
      </c>
    </row>
    <row r="379" spans="1:13" x14ac:dyDescent="0.4">
      <c r="A379" s="2" t="str">
        <f>IFERROR(TRIM(Raw_Data!A379), "Review")</f>
        <v>EMP1377</v>
      </c>
      <c r="B379" s="2" t="str">
        <f>IFERROR(TRIM(Raw_Data!B379), "Review")</f>
        <v>Alice</v>
      </c>
      <c r="C379" s="2" t="str">
        <f>IFERROR(TRIM(Raw_Data!C379), "Review")</f>
        <v>Smith</v>
      </c>
      <c r="D379" s="2">
        <f>IF(Raw_Data!D379="", "", IFERROR(VALUE(Raw_Data!D379), ""))</f>
        <v>35</v>
      </c>
      <c r="E379" s="2" t="str">
        <f>IFERROR(LEFT(Raw_Data!E379,SEARCH("-",Raw_Data!E379)-1),"Review")</f>
        <v>Cloud Tech</v>
      </c>
      <c r="F379" s="2" t="str">
        <f>IFERROR(_xlfn.TEXTAFTER(Raw_Data!E379,"-"),"Review")</f>
        <v>Florida</v>
      </c>
      <c r="G379" s="2" t="str">
        <f>IFERROR(TRIM(Raw_Data!F379), "Review")</f>
        <v>Active</v>
      </c>
      <c r="H379" s="3" t="str">
        <f>IFERROR(TEXT(Raw_Data!G379, "YYYY-MM-DD"),"Review")</f>
        <v>2021-02-03</v>
      </c>
      <c r="I379" s="4">
        <f>IF(Raw_Data!H379="", "", IFERROR(VALUE(Raw_Data!H379), ""))</f>
        <v>107065.12</v>
      </c>
      <c r="J379" s="2" t="str">
        <f>IF(Raw_Data!I379="", "", IF(ISNUMBER(FIND("@", Raw_Data!I379)), Raw_Data!I379, "Review"))</f>
        <v>alice.smith@example.com</v>
      </c>
      <c r="K379" s="5" t="str">
        <f>IFERROR(TEXT(ABS(Raw_Data!J379), "0"), "Review")</f>
        <v>1849196654</v>
      </c>
      <c r="L379" s="2" t="str">
        <f>IFERROR(TRIM(Raw_Data!K379), "Review")</f>
        <v>Average</v>
      </c>
      <c r="M379" s="2" t="b">
        <f>IF(Raw_Data!L379="", "",
    IF(ISLOGICAL(Raw_Data!L379), Raw_Data!L379,
        IF(OR(UPPER(Raw_Data!L379)="TRUE", UPPER(Raw_Data!L379)="YES", UPPER(Raw_Data!L379)="1"), TRUE,
            IF(OR(UPPER(Raw_Data!L379)="FALSE", UPPER(Raw_Data!L379)="NO", UPPER(Raw_Data!L379)="0"), FALSE, "Review")
        )
    )
)</f>
        <v>0</v>
      </c>
    </row>
    <row r="380" spans="1:13" x14ac:dyDescent="0.4">
      <c r="A380" s="2" t="str">
        <f>IFERROR(TRIM(Raw_Data!A380), "Review")</f>
        <v>EMP1378</v>
      </c>
      <c r="B380" s="2" t="str">
        <f>IFERROR(TRIM(Raw_Data!B380), "Review")</f>
        <v>Heidi</v>
      </c>
      <c r="C380" s="2" t="str">
        <f>IFERROR(TRIM(Raw_Data!C380), "Review")</f>
        <v>Johnson</v>
      </c>
      <c r="D380" s="2">
        <f>IF(Raw_Data!D380="", "", IFERROR(VALUE(Raw_Data!D380), ""))</f>
        <v>40</v>
      </c>
      <c r="E380" s="2" t="str">
        <f>IFERROR(LEFT(Raw_Data!E380,SEARCH("-",Raw_Data!E380)-1),"Review")</f>
        <v>DevOps</v>
      </c>
      <c r="F380" s="2" t="str">
        <f>IFERROR(_xlfn.TEXTAFTER(Raw_Data!E380,"-"),"Review")</f>
        <v>Florida</v>
      </c>
      <c r="G380" s="2" t="str">
        <f>IFERROR(TRIM(Raw_Data!F380), "Review")</f>
        <v>Inactive</v>
      </c>
      <c r="H380" s="3" t="str">
        <f>IFERROR(TEXT(Raw_Data!G380, "YYYY-MM-DD"),"Review")</f>
        <v>2023-12-25</v>
      </c>
      <c r="I380" s="4">
        <f>IF(Raw_Data!H380="", "", IFERROR(VALUE(Raw_Data!H380), ""))</f>
        <v>108792.43</v>
      </c>
      <c r="J380" s="2" t="str">
        <f>IF(Raw_Data!I380="", "", IF(ISNUMBER(FIND("@", Raw_Data!I380)), Raw_Data!I380, "Review"))</f>
        <v>heidi.johnson@example.com</v>
      </c>
      <c r="K380" s="5" t="str">
        <f>IFERROR(TEXT(ABS(Raw_Data!J380), "0"), "Review")</f>
        <v>3307704610</v>
      </c>
      <c r="L380" s="2" t="str">
        <f>IFERROR(TRIM(Raw_Data!K380), "Review")</f>
        <v>Poor</v>
      </c>
      <c r="M380" s="2" t="b">
        <f>IF(Raw_Data!L380="", "",
    IF(ISLOGICAL(Raw_Data!L380), Raw_Data!L380,
        IF(OR(UPPER(Raw_Data!L380)="TRUE", UPPER(Raw_Data!L380)="YES", UPPER(Raw_Data!L380)="1"), TRUE,
            IF(OR(UPPER(Raw_Data!L380)="FALSE", UPPER(Raw_Data!L380)="NO", UPPER(Raw_Data!L380)="0"), FALSE, "Review")
        )
    )
)</f>
        <v>1</v>
      </c>
    </row>
    <row r="381" spans="1:13" x14ac:dyDescent="0.4">
      <c r="A381" s="2" t="str">
        <f>IFERROR(TRIM(Raw_Data!A381), "Review")</f>
        <v>EMP1379</v>
      </c>
      <c r="B381" s="2" t="str">
        <f>IFERROR(TRIM(Raw_Data!B381), "Review")</f>
        <v>Bob</v>
      </c>
      <c r="C381" s="2" t="str">
        <f>IFERROR(TRIM(Raw_Data!C381), "Review")</f>
        <v>Smith</v>
      </c>
      <c r="D381" s="2" t="str">
        <f>IF(Raw_Data!D381="", "", IFERROR(VALUE(Raw_Data!D381), ""))</f>
        <v/>
      </c>
      <c r="E381" s="2" t="str">
        <f>IFERROR(LEFT(Raw_Data!E381,SEARCH("-",Raw_Data!E381)-1),"Review")</f>
        <v>Cloud Tech</v>
      </c>
      <c r="F381" s="2" t="str">
        <f>IFERROR(_xlfn.TEXTAFTER(Raw_Data!E381,"-"),"Review")</f>
        <v>New York</v>
      </c>
      <c r="G381" s="2" t="str">
        <f>IFERROR(TRIM(Raw_Data!F381), "Review")</f>
        <v>Inactive</v>
      </c>
      <c r="H381" s="3" t="str">
        <f>IFERROR(TEXT(Raw_Data!G381, "YYYY-MM-DD"),"Review")</f>
        <v>2020-03-07</v>
      </c>
      <c r="I381" s="4">
        <f>IF(Raw_Data!H381="", "", IFERROR(VALUE(Raw_Data!H381), ""))</f>
        <v>69239.7</v>
      </c>
      <c r="J381" s="2" t="str">
        <f>IF(Raw_Data!I381="", "", IF(ISNUMBER(FIND("@", Raw_Data!I381)), Raw_Data!I381, "Review"))</f>
        <v>bob.smith@example.com</v>
      </c>
      <c r="K381" s="5" t="str">
        <f>IFERROR(TEXT(ABS(Raw_Data!J381), "0"), "Review")</f>
        <v>7295963903</v>
      </c>
      <c r="L381" s="2" t="str">
        <f>IFERROR(TRIM(Raw_Data!K381), "Review")</f>
        <v>Excellent</v>
      </c>
      <c r="M381" s="2" t="b">
        <f>IF(Raw_Data!L381="", "",
    IF(ISLOGICAL(Raw_Data!L381), Raw_Data!L381,
        IF(OR(UPPER(Raw_Data!L381)="TRUE", UPPER(Raw_Data!L381)="YES", UPPER(Raw_Data!L381)="1"), TRUE,
            IF(OR(UPPER(Raw_Data!L381)="FALSE", UPPER(Raw_Data!L381)="NO", UPPER(Raw_Data!L381)="0"), FALSE, "Review")
        )
    )
)</f>
        <v>0</v>
      </c>
    </row>
    <row r="382" spans="1:13" x14ac:dyDescent="0.4">
      <c r="A382" s="2" t="str">
        <f>IFERROR(TRIM(Raw_Data!A382), "Review")</f>
        <v>EMP1380</v>
      </c>
      <c r="B382" s="2" t="str">
        <f>IFERROR(TRIM(Raw_Data!B382), "Review")</f>
        <v>Charlie</v>
      </c>
      <c r="C382" s="2" t="str">
        <f>IFERROR(TRIM(Raw_Data!C382), "Review")</f>
        <v>Garcia</v>
      </c>
      <c r="D382" s="2">
        <f>IF(Raw_Data!D382="", "", IFERROR(VALUE(Raw_Data!D382), ""))</f>
        <v>40</v>
      </c>
      <c r="E382" s="2" t="str">
        <f>IFERROR(LEFT(Raw_Data!E382,SEARCH("-",Raw_Data!E382)-1),"Review")</f>
        <v>Sales</v>
      </c>
      <c r="F382" s="2" t="str">
        <f>IFERROR(_xlfn.TEXTAFTER(Raw_Data!E382,"-"),"Review")</f>
        <v>Nevada</v>
      </c>
      <c r="G382" s="2" t="str">
        <f>IFERROR(TRIM(Raw_Data!F382), "Review")</f>
        <v>Inactive</v>
      </c>
      <c r="H382" s="3" t="str">
        <f>IFERROR(TEXT(Raw_Data!G382, "YYYY-MM-DD"),"Review")</f>
        <v>2023-01-30</v>
      </c>
      <c r="I382" s="4">
        <f>IF(Raw_Data!H382="", "", IFERROR(VALUE(Raw_Data!H382), ""))</f>
        <v>85756.42</v>
      </c>
      <c r="J382" s="2" t="str">
        <f>IF(Raw_Data!I382="", "", IF(ISNUMBER(FIND("@", Raw_Data!I382)), Raw_Data!I382, "Review"))</f>
        <v>charlie.garcia@example.com</v>
      </c>
      <c r="K382" s="5" t="str">
        <f>IFERROR(TEXT(ABS(Raw_Data!J382), "0"), "Review")</f>
        <v>907426087</v>
      </c>
      <c r="L382" s="2" t="str">
        <f>IFERROR(TRIM(Raw_Data!K382), "Review")</f>
        <v>Average</v>
      </c>
      <c r="M382" s="2" t="b">
        <f>IF(Raw_Data!L382="", "",
    IF(ISLOGICAL(Raw_Data!L382), Raw_Data!L382,
        IF(OR(UPPER(Raw_Data!L382)="TRUE", UPPER(Raw_Data!L382)="YES", UPPER(Raw_Data!L382)="1"), TRUE,
            IF(OR(UPPER(Raw_Data!L382)="FALSE", UPPER(Raw_Data!L382)="NO", UPPER(Raw_Data!L382)="0"), FALSE, "Review")
        )
    )
)</f>
        <v>1</v>
      </c>
    </row>
    <row r="383" spans="1:13" x14ac:dyDescent="0.4">
      <c r="A383" s="2" t="str">
        <f>IFERROR(TRIM(Raw_Data!A383), "Review")</f>
        <v>EMP1381</v>
      </c>
      <c r="B383" s="2" t="str">
        <f>IFERROR(TRIM(Raw_Data!B383), "Review")</f>
        <v>Eva</v>
      </c>
      <c r="C383" s="2" t="str">
        <f>IFERROR(TRIM(Raw_Data!C383), "Review")</f>
        <v>Miller</v>
      </c>
      <c r="D383" s="2" t="str">
        <f>IF(Raw_Data!D383="", "", IFERROR(VALUE(Raw_Data!D383), ""))</f>
        <v/>
      </c>
      <c r="E383" s="2" t="str">
        <f>IFERROR(LEFT(Raw_Data!E383,SEARCH("-",Raw_Data!E383)-1),"Review")</f>
        <v>HR</v>
      </c>
      <c r="F383" s="2" t="str">
        <f>IFERROR(_xlfn.TEXTAFTER(Raw_Data!E383,"-"),"Review")</f>
        <v>Illinois</v>
      </c>
      <c r="G383" s="2" t="str">
        <f>IFERROR(TRIM(Raw_Data!F383), "Review")</f>
        <v>Active</v>
      </c>
      <c r="H383" s="3" t="str">
        <f>IFERROR(TEXT(Raw_Data!G383, "YYYY-MM-DD"),"Review")</f>
        <v>2024-04-05</v>
      </c>
      <c r="I383" s="4">
        <f>IF(Raw_Data!H383="", "", IFERROR(VALUE(Raw_Data!H383), ""))</f>
        <v>100328.62</v>
      </c>
      <c r="J383" s="2" t="str">
        <f>IF(Raw_Data!I383="", "", IF(ISNUMBER(FIND("@", Raw_Data!I383)), Raw_Data!I383, "Review"))</f>
        <v>eva.miller@example.com</v>
      </c>
      <c r="K383" s="5" t="str">
        <f>IFERROR(TEXT(ABS(Raw_Data!J383), "0"), "Review")</f>
        <v>501716444</v>
      </c>
      <c r="L383" s="2" t="str">
        <f>IFERROR(TRIM(Raw_Data!K383), "Review")</f>
        <v>Average</v>
      </c>
      <c r="M383" s="2" t="b">
        <f>IF(Raw_Data!L383="", "",
    IF(ISLOGICAL(Raw_Data!L383), Raw_Data!L383,
        IF(OR(UPPER(Raw_Data!L383)="TRUE", UPPER(Raw_Data!L383)="YES", UPPER(Raw_Data!L383)="1"), TRUE,
            IF(OR(UPPER(Raw_Data!L383)="FALSE", UPPER(Raw_Data!L383)="NO", UPPER(Raw_Data!L383)="0"), FALSE, "Review")
        )
    )
)</f>
        <v>1</v>
      </c>
    </row>
    <row r="384" spans="1:13" x14ac:dyDescent="0.4">
      <c r="A384" s="2" t="str">
        <f>IFERROR(TRIM(Raw_Data!A384), "Review")</f>
        <v>EMP1382</v>
      </c>
      <c r="B384" s="2" t="str">
        <f>IFERROR(TRIM(Raw_Data!B384), "Review")</f>
        <v>Grace</v>
      </c>
      <c r="C384" s="2" t="str">
        <f>IFERROR(TRIM(Raw_Data!C384), "Review")</f>
        <v>Brown</v>
      </c>
      <c r="D384" s="2">
        <f>IF(Raw_Data!D384="", "", IFERROR(VALUE(Raw_Data!D384), ""))</f>
        <v>25</v>
      </c>
      <c r="E384" s="2" t="str">
        <f>IFERROR(LEFT(Raw_Data!E384,SEARCH("-",Raw_Data!E384)-1),"Review")</f>
        <v>DevOps</v>
      </c>
      <c r="F384" s="2" t="str">
        <f>IFERROR(_xlfn.TEXTAFTER(Raw_Data!E384,"-"),"Review")</f>
        <v>Nevada</v>
      </c>
      <c r="G384" s="2" t="str">
        <f>IFERROR(TRIM(Raw_Data!F384), "Review")</f>
        <v>Active</v>
      </c>
      <c r="H384" s="3" t="str">
        <f>IFERROR(TEXT(Raw_Data!G384, "YYYY-MM-DD"),"Review")</f>
        <v>2021-09-01</v>
      </c>
      <c r="I384" s="4">
        <f>IF(Raw_Data!H384="", "", IFERROR(VALUE(Raw_Data!H384), ""))</f>
        <v>111236.69</v>
      </c>
      <c r="J384" s="2" t="str">
        <f>IF(Raw_Data!I384="", "", IF(ISNUMBER(FIND("@", Raw_Data!I384)), Raw_Data!I384, "Review"))</f>
        <v>grace.brown@example.com</v>
      </c>
      <c r="K384" s="5" t="str">
        <f>IFERROR(TEXT(ABS(Raw_Data!J384), "0"), "Review")</f>
        <v>5618579063</v>
      </c>
      <c r="L384" s="2" t="str">
        <f>IFERROR(TRIM(Raw_Data!K384), "Review")</f>
        <v>Excellent</v>
      </c>
      <c r="M384" s="2" t="b">
        <f>IF(Raw_Data!L384="", "",
    IF(ISLOGICAL(Raw_Data!L384), Raw_Data!L384,
        IF(OR(UPPER(Raw_Data!L384)="TRUE", UPPER(Raw_Data!L384)="YES", UPPER(Raw_Data!L384)="1"), TRUE,
            IF(OR(UPPER(Raw_Data!L384)="FALSE", UPPER(Raw_Data!L384)="NO", UPPER(Raw_Data!L384)="0"), FALSE, "Review")
        )
    )
)</f>
        <v>1</v>
      </c>
    </row>
    <row r="385" spans="1:13" x14ac:dyDescent="0.4">
      <c r="A385" s="2" t="str">
        <f>IFERROR(TRIM(Raw_Data!A385), "Review")</f>
        <v>EMP1383</v>
      </c>
      <c r="B385" s="2" t="str">
        <f>IFERROR(TRIM(Raw_Data!B385), "Review")</f>
        <v>Eva</v>
      </c>
      <c r="C385" s="2" t="str">
        <f>IFERROR(TRIM(Raw_Data!C385), "Review")</f>
        <v>Jones</v>
      </c>
      <c r="D385" s="2">
        <f>IF(Raw_Data!D385="", "", IFERROR(VALUE(Raw_Data!D385), ""))</f>
        <v>35</v>
      </c>
      <c r="E385" s="2" t="str">
        <f>IFERROR(LEFT(Raw_Data!E385,SEARCH("-",Raw_Data!E385)-1),"Review")</f>
        <v>Cloud Tech</v>
      </c>
      <c r="F385" s="2" t="str">
        <f>IFERROR(_xlfn.TEXTAFTER(Raw_Data!E385,"-"),"Review")</f>
        <v>Florida</v>
      </c>
      <c r="G385" s="2" t="str">
        <f>IFERROR(TRIM(Raw_Data!F385), "Review")</f>
        <v>Active</v>
      </c>
      <c r="H385" s="3" t="str">
        <f>IFERROR(TEXT(Raw_Data!G385, "YYYY-MM-DD"),"Review")</f>
        <v>2024-05-07</v>
      </c>
      <c r="I385" s="4">
        <f>IF(Raw_Data!H385="", "", IFERROR(VALUE(Raw_Data!H385), ""))</f>
        <v>106832.22</v>
      </c>
      <c r="J385" s="2" t="str">
        <f>IF(Raw_Data!I385="", "", IF(ISNUMBER(FIND("@", Raw_Data!I385)), Raw_Data!I385, "Review"))</f>
        <v>eva.jones@example.com</v>
      </c>
      <c r="K385" s="5" t="str">
        <f>IFERROR(TEXT(ABS(Raw_Data!J385), "0"), "Review")</f>
        <v>7715910299</v>
      </c>
      <c r="L385" s="2" t="str">
        <f>IFERROR(TRIM(Raw_Data!K385), "Review")</f>
        <v>Good</v>
      </c>
      <c r="M385" s="2" t="b">
        <f>IF(Raw_Data!L385="", "",
    IF(ISLOGICAL(Raw_Data!L385), Raw_Data!L385,
        IF(OR(UPPER(Raw_Data!L385)="TRUE", UPPER(Raw_Data!L385)="YES", UPPER(Raw_Data!L385)="1"), TRUE,
            IF(OR(UPPER(Raw_Data!L385)="FALSE", UPPER(Raw_Data!L385)="NO", UPPER(Raw_Data!L385)="0"), FALSE, "Review")
        )
    )
)</f>
        <v>1</v>
      </c>
    </row>
    <row r="386" spans="1:13" x14ac:dyDescent="0.4">
      <c r="A386" s="2" t="str">
        <f>IFERROR(TRIM(Raw_Data!A386), "Review")</f>
        <v>EMP1384</v>
      </c>
      <c r="B386" s="2" t="str">
        <f>IFERROR(TRIM(Raw_Data!B386), "Review")</f>
        <v>Frank</v>
      </c>
      <c r="C386" s="2" t="str">
        <f>IFERROR(TRIM(Raw_Data!C386), "Review")</f>
        <v>Jones</v>
      </c>
      <c r="D386" s="2" t="str">
        <f>IF(Raw_Data!D386="", "", IFERROR(VALUE(Raw_Data!D386), ""))</f>
        <v/>
      </c>
      <c r="E386" s="2" t="str">
        <f>IFERROR(LEFT(Raw_Data!E386,SEARCH("-",Raw_Data!E386)-1),"Review")</f>
        <v>DevOps</v>
      </c>
      <c r="F386" s="2" t="str">
        <f>IFERROR(_xlfn.TEXTAFTER(Raw_Data!E386,"-"),"Review")</f>
        <v>Florida</v>
      </c>
      <c r="G386" s="2" t="str">
        <f>IFERROR(TRIM(Raw_Data!F386), "Review")</f>
        <v>Active</v>
      </c>
      <c r="H386" s="3" t="str">
        <f>IFERROR(TEXT(Raw_Data!G386, "YYYY-MM-DD"),"Review")</f>
        <v>2023-06-15</v>
      </c>
      <c r="I386" s="4">
        <f>IF(Raw_Data!H386="", "", IFERROR(VALUE(Raw_Data!H386), ""))</f>
        <v>59746.45</v>
      </c>
      <c r="J386" s="2" t="str">
        <f>IF(Raw_Data!I386="", "", IF(ISNUMBER(FIND("@", Raw_Data!I386)), Raw_Data!I386, "Review"))</f>
        <v>frank.jones@example.com</v>
      </c>
      <c r="K386" s="5" t="str">
        <f>IFERROR(TEXT(ABS(Raw_Data!J386), "0"), "Review")</f>
        <v>2156321357</v>
      </c>
      <c r="L386" s="2" t="str">
        <f>IFERROR(TRIM(Raw_Data!K386), "Review")</f>
        <v>Good</v>
      </c>
      <c r="M386" s="2" t="b">
        <f>IF(Raw_Data!L386="", "",
    IF(ISLOGICAL(Raw_Data!L386), Raw_Data!L386,
        IF(OR(UPPER(Raw_Data!L386)="TRUE", UPPER(Raw_Data!L386)="YES", UPPER(Raw_Data!L386)="1"), TRUE,
            IF(OR(UPPER(Raw_Data!L386)="FALSE", UPPER(Raw_Data!L386)="NO", UPPER(Raw_Data!L386)="0"), FALSE, "Review")
        )
    )
)</f>
        <v>1</v>
      </c>
    </row>
    <row r="387" spans="1:13" x14ac:dyDescent="0.4">
      <c r="A387" s="2" t="str">
        <f>IFERROR(TRIM(Raw_Data!A387), "Review")</f>
        <v>EMP1385</v>
      </c>
      <c r="B387" s="2" t="str">
        <f>IFERROR(TRIM(Raw_Data!B387), "Review")</f>
        <v>David</v>
      </c>
      <c r="C387" s="2" t="str">
        <f>IFERROR(TRIM(Raw_Data!C387), "Review")</f>
        <v>Garcia</v>
      </c>
      <c r="D387" s="2">
        <f>IF(Raw_Data!D387="", "", IFERROR(VALUE(Raw_Data!D387), ""))</f>
        <v>25</v>
      </c>
      <c r="E387" s="2" t="str">
        <f>IFERROR(LEFT(Raw_Data!E387,SEARCH("-",Raw_Data!E387)-1),"Review")</f>
        <v>Sales</v>
      </c>
      <c r="F387" s="2" t="str">
        <f>IFERROR(_xlfn.TEXTAFTER(Raw_Data!E387,"-"),"Review")</f>
        <v>California</v>
      </c>
      <c r="G387" s="2" t="str">
        <f>IFERROR(TRIM(Raw_Data!F387), "Review")</f>
        <v>Pending</v>
      </c>
      <c r="H387" s="3" t="str">
        <f>IFERROR(TEXT(Raw_Data!G387, "YYYY-MM-DD"),"Review")</f>
        <v>2021-07-29</v>
      </c>
      <c r="I387" s="4">
        <f>IF(Raw_Data!H387="", "", IFERROR(VALUE(Raw_Data!H387), ""))</f>
        <v>91780.04</v>
      </c>
      <c r="J387" s="2" t="str">
        <f>IF(Raw_Data!I387="", "", IF(ISNUMBER(FIND("@", Raw_Data!I387)), Raw_Data!I387, "Review"))</f>
        <v>david.garcia@example.com</v>
      </c>
      <c r="K387" s="5" t="str">
        <f>IFERROR(TEXT(ABS(Raw_Data!J387), "0"), "Review")</f>
        <v>40104144</v>
      </c>
      <c r="L387" s="2" t="str">
        <f>IFERROR(TRIM(Raw_Data!K387), "Review")</f>
        <v>Poor</v>
      </c>
      <c r="M387" s="2" t="b">
        <f>IF(Raw_Data!L387="", "",
    IF(ISLOGICAL(Raw_Data!L387), Raw_Data!L387,
        IF(OR(UPPER(Raw_Data!L387)="TRUE", UPPER(Raw_Data!L387)="YES", UPPER(Raw_Data!L387)="1"), TRUE,
            IF(OR(UPPER(Raw_Data!L387)="FALSE", UPPER(Raw_Data!L387)="NO", UPPER(Raw_Data!L387)="0"), FALSE, "Review")
        )
    )
)</f>
        <v>1</v>
      </c>
    </row>
    <row r="388" spans="1:13" x14ac:dyDescent="0.4">
      <c r="A388" s="2" t="str">
        <f>IFERROR(TRIM(Raw_Data!A388), "Review")</f>
        <v>EMP1386</v>
      </c>
      <c r="B388" s="2" t="str">
        <f>IFERROR(TRIM(Raw_Data!B388), "Review")</f>
        <v>Eva</v>
      </c>
      <c r="C388" s="2" t="str">
        <f>IFERROR(TRIM(Raw_Data!C388), "Review")</f>
        <v>Williams</v>
      </c>
      <c r="D388" s="2">
        <f>IF(Raw_Data!D388="", "", IFERROR(VALUE(Raw_Data!D388), ""))</f>
        <v>35</v>
      </c>
      <c r="E388" s="2" t="str">
        <f>IFERROR(LEFT(Raw_Data!E388,SEARCH("-",Raw_Data!E388)-1),"Review")</f>
        <v>Sales</v>
      </c>
      <c r="F388" s="2" t="str">
        <f>IFERROR(_xlfn.TEXTAFTER(Raw_Data!E388,"-"),"Review")</f>
        <v>California</v>
      </c>
      <c r="G388" s="2" t="str">
        <f>IFERROR(TRIM(Raw_Data!F388), "Review")</f>
        <v>Pending</v>
      </c>
      <c r="H388" s="3" t="str">
        <f>IFERROR(TEXT(Raw_Data!G388, "YYYY-MM-DD"),"Review")</f>
        <v>2023-10-23</v>
      </c>
      <c r="I388" s="4">
        <f>IF(Raw_Data!H388="", "", IFERROR(VALUE(Raw_Data!H388), ""))</f>
        <v>107062.66</v>
      </c>
      <c r="J388" s="2" t="str">
        <f>IF(Raw_Data!I388="", "", IF(ISNUMBER(FIND("@", Raw_Data!I388)), Raw_Data!I388, "Review"))</f>
        <v>eva.williams@example.com</v>
      </c>
      <c r="K388" s="5" t="str">
        <f>IFERROR(TEXT(ABS(Raw_Data!J388), "0"), "Review")</f>
        <v>9642297124</v>
      </c>
      <c r="L388" s="2" t="str">
        <f>IFERROR(TRIM(Raw_Data!K388), "Review")</f>
        <v>Good</v>
      </c>
      <c r="M388" s="2" t="b">
        <f>IF(Raw_Data!L388="", "",
    IF(ISLOGICAL(Raw_Data!L388), Raw_Data!L388,
        IF(OR(UPPER(Raw_Data!L388)="TRUE", UPPER(Raw_Data!L388)="YES", UPPER(Raw_Data!L388)="1"), TRUE,
            IF(OR(UPPER(Raw_Data!L388)="FALSE", UPPER(Raw_Data!L388)="NO", UPPER(Raw_Data!L388)="0"), FALSE, "Review")
        )
    )
)</f>
        <v>1</v>
      </c>
    </row>
    <row r="389" spans="1:13" x14ac:dyDescent="0.4">
      <c r="A389" s="2" t="str">
        <f>IFERROR(TRIM(Raw_Data!A389), "Review")</f>
        <v>EMP1387</v>
      </c>
      <c r="B389" s="2" t="str">
        <f>IFERROR(TRIM(Raw_Data!B389), "Review")</f>
        <v>Grace</v>
      </c>
      <c r="C389" s="2" t="str">
        <f>IFERROR(TRIM(Raw_Data!C389), "Review")</f>
        <v>Davis</v>
      </c>
      <c r="D389" s="2">
        <f>IF(Raw_Data!D389="", "", IFERROR(VALUE(Raw_Data!D389), ""))</f>
        <v>25</v>
      </c>
      <c r="E389" s="2" t="str">
        <f>IFERROR(LEFT(Raw_Data!E389,SEARCH("-",Raw_Data!E389)-1),"Review")</f>
        <v>HR</v>
      </c>
      <c r="F389" s="2" t="str">
        <f>IFERROR(_xlfn.TEXTAFTER(Raw_Data!E389,"-"),"Review")</f>
        <v>Nevada</v>
      </c>
      <c r="G389" s="2" t="str">
        <f>IFERROR(TRIM(Raw_Data!F389), "Review")</f>
        <v>Active</v>
      </c>
      <c r="H389" s="3" t="str">
        <f>IFERROR(TEXT(Raw_Data!G389, "YYYY-MM-DD"),"Review")</f>
        <v>2023-12-07</v>
      </c>
      <c r="I389" s="4">
        <f>IF(Raw_Data!H389="", "", IFERROR(VALUE(Raw_Data!H389), ""))</f>
        <v>110625.52</v>
      </c>
      <c r="J389" s="2" t="str">
        <f>IF(Raw_Data!I389="", "", IF(ISNUMBER(FIND("@", Raw_Data!I389)), Raw_Data!I389, "Review"))</f>
        <v>grace.davis@example.com</v>
      </c>
      <c r="K389" s="5" t="str">
        <f>IFERROR(TEXT(ABS(Raw_Data!J389), "0"), "Review")</f>
        <v>2967188396</v>
      </c>
      <c r="L389" s="2" t="str">
        <f>IFERROR(TRIM(Raw_Data!K389), "Review")</f>
        <v>Excellent</v>
      </c>
      <c r="M389" s="2" t="b">
        <f>IF(Raw_Data!L389="", "",
    IF(ISLOGICAL(Raw_Data!L389), Raw_Data!L389,
        IF(OR(UPPER(Raw_Data!L389)="TRUE", UPPER(Raw_Data!L389)="YES", UPPER(Raw_Data!L389)="1"), TRUE,
            IF(OR(UPPER(Raw_Data!L389)="FALSE", UPPER(Raw_Data!L389)="NO", UPPER(Raw_Data!L389)="0"), FALSE, "Review")
        )
    )
)</f>
        <v>1</v>
      </c>
    </row>
    <row r="390" spans="1:13" x14ac:dyDescent="0.4">
      <c r="A390" s="2" t="str">
        <f>IFERROR(TRIM(Raw_Data!A390), "Review")</f>
        <v>EMP1388</v>
      </c>
      <c r="B390" s="2" t="str">
        <f>IFERROR(TRIM(Raw_Data!B390), "Review")</f>
        <v>Frank</v>
      </c>
      <c r="C390" s="2" t="str">
        <f>IFERROR(TRIM(Raw_Data!C390), "Review")</f>
        <v>Smith</v>
      </c>
      <c r="D390" s="2">
        <f>IF(Raw_Data!D390="", "", IFERROR(VALUE(Raw_Data!D390), ""))</f>
        <v>30</v>
      </c>
      <c r="E390" s="2" t="str">
        <f>IFERROR(LEFT(Raw_Data!E390,SEARCH("-",Raw_Data!E390)-1),"Review")</f>
        <v>DevOps</v>
      </c>
      <c r="F390" s="2" t="str">
        <f>IFERROR(_xlfn.TEXTAFTER(Raw_Data!E390,"-"),"Review")</f>
        <v>Florida</v>
      </c>
      <c r="G390" s="2" t="str">
        <f>IFERROR(TRIM(Raw_Data!F390), "Review")</f>
        <v>Inactive</v>
      </c>
      <c r="H390" s="3" t="str">
        <f>IFERROR(TEXT(Raw_Data!G390, "YYYY-MM-DD"),"Review")</f>
        <v>2020-10-18</v>
      </c>
      <c r="I390" s="4">
        <f>IF(Raw_Data!H390="", "", IFERROR(VALUE(Raw_Data!H390), ""))</f>
        <v>90419.79</v>
      </c>
      <c r="J390" s="2" t="str">
        <f>IF(Raw_Data!I390="", "", IF(ISNUMBER(FIND("@", Raw_Data!I390)), Raw_Data!I390, "Review"))</f>
        <v>frank.smith@example.com</v>
      </c>
      <c r="K390" s="5" t="str">
        <f>IFERROR(TEXT(ABS(Raw_Data!J390), "0"), "Review")</f>
        <v>7457314414</v>
      </c>
      <c r="L390" s="2" t="str">
        <f>IFERROR(TRIM(Raw_Data!K390), "Review")</f>
        <v>Average</v>
      </c>
      <c r="M390" s="2" t="b">
        <f>IF(Raw_Data!L390="", "",
    IF(ISLOGICAL(Raw_Data!L390), Raw_Data!L390,
        IF(OR(UPPER(Raw_Data!L390)="TRUE", UPPER(Raw_Data!L390)="YES", UPPER(Raw_Data!L390)="1"), TRUE,
            IF(OR(UPPER(Raw_Data!L390)="FALSE", UPPER(Raw_Data!L390)="NO", UPPER(Raw_Data!L390)="0"), FALSE, "Review")
        )
    )
)</f>
        <v>1</v>
      </c>
    </row>
    <row r="391" spans="1:13" x14ac:dyDescent="0.4">
      <c r="A391" s="2" t="str">
        <f>IFERROR(TRIM(Raw_Data!A391), "Review")</f>
        <v>EMP1389</v>
      </c>
      <c r="B391" s="2" t="str">
        <f>IFERROR(TRIM(Raw_Data!B391), "Review")</f>
        <v>Grace</v>
      </c>
      <c r="C391" s="2" t="str">
        <f>IFERROR(TRIM(Raw_Data!C391), "Review")</f>
        <v>Smith</v>
      </c>
      <c r="D391" s="2">
        <f>IF(Raw_Data!D391="", "", IFERROR(VALUE(Raw_Data!D391), ""))</f>
        <v>40</v>
      </c>
      <c r="E391" s="2" t="str">
        <f>IFERROR(LEFT(Raw_Data!E391,SEARCH("-",Raw_Data!E391)-1),"Review")</f>
        <v>Finance</v>
      </c>
      <c r="F391" s="2" t="str">
        <f>IFERROR(_xlfn.TEXTAFTER(Raw_Data!E391,"-"),"Review")</f>
        <v>Texas</v>
      </c>
      <c r="G391" s="2" t="str">
        <f>IFERROR(TRIM(Raw_Data!F391), "Review")</f>
        <v>Pending</v>
      </c>
      <c r="H391" s="3" t="str">
        <f>IFERROR(TEXT(Raw_Data!G391, "YYYY-MM-DD"),"Review")</f>
        <v>2024-06-15</v>
      </c>
      <c r="I391" s="4">
        <f>IF(Raw_Data!H391="", "", IFERROR(VALUE(Raw_Data!H391), ""))</f>
        <v>111608.76</v>
      </c>
      <c r="J391" s="2" t="str">
        <f>IF(Raw_Data!I391="", "", IF(ISNUMBER(FIND("@", Raw_Data!I391)), Raw_Data!I391, "Review"))</f>
        <v>grace.smith@example.com</v>
      </c>
      <c r="K391" s="5" t="str">
        <f>IFERROR(TEXT(ABS(Raw_Data!J391), "0"), "Review")</f>
        <v>8331170302</v>
      </c>
      <c r="L391" s="2" t="str">
        <f>IFERROR(TRIM(Raw_Data!K391), "Review")</f>
        <v>Good</v>
      </c>
      <c r="M391" s="2" t="b">
        <f>IF(Raw_Data!L391="", "",
    IF(ISLOGICAL(Raw_Data!L391), Raw_Data!L391,
        IF(OR(UPPER(Raw_Data!L391)="TRUE", UPPER(Raw_Data!L391)="YES", UPPER(Raw_Data!L391)="1"), TRUE,
            IF(OR(UPPER(Raw_Data!L391)="FALSE", UPPER(Raw_Data!L391)="NO", UPPER(Raw_Data!L391)="0"), FALSE, "Review")
        )
    )
)</f>
        <v>1</v>
      </c>
    </row>
    <row r="392" spans="1:13" x14ac:dyDescent="0.4">
      <c r="A392" s="2" t="str">
        <f>IFERROR(TRIM(Raw_Data!A392), "Review")</f>
        <v>EMP1390</v>
      </c>
      <c r="B392" s="2" t="str">
        <f>IFERROR(TRIM(Raw_Data!B392), "Review")</f>
        <v>Eva</v>
      </c>
      <c r="C392" s="2" t="str">
        <f>IFERROR(TRIM(Raw_Data!C392), "Review")</f>
        <v>Williams</v>
      </c>
      <c r="D392" s="2">
        <f>IF(Raw_Data!D392="", "", IFERROR(VALUE(Raw_Data!D392), ""))</f>
        <v>35</v>
      </c>
      <c r="E392" s="2" t="str">
        <f>IFERROR(LEFT(Raw_Data!E392,SEARCH("-",Raw_Data!E392)-1),"Review")</f>
        <v>Finance</v>
      </c>
      <c r="F392" s="2" t="str">
        <f>IFERROR(_xlfn.TEXTAFTER(Raw_Data!E392,"-"),"Review")</f>
        <v>Florida</v>
      </c>
      <c r="G392" s="2" t="str">
        <f>IFERROR(TRIM(Raw_Data!F392), "Review")</f>
        <v>Inactive</v>
      </c>
      <c r="H392" s="3" t="str">
        <f>IFERROR(TEXT(Raw_Data!G392, "YYYY-MM-DD"),"Review")</f>
        <v>2023-04-06</v>
      </c>
      <c r="I392" s="4">
        <f>IF(Raw_Data!H392="", "", IFERROR(VALUE(Raw_Data!H392), ""))</f>
        <v>50173.120000000003</v>
      </c>
      <c r="J392" s="2" t="str">
        <f>IF(Raw_Data!I392="", "", IF(ISNUMBER(FIND("@", Raw_Data!I392)), Raw_Data!I392, "Review"))</f>
        <v>eva.williams@example.com</v>
      </c>
      <c r="K392" s="5" t="str">
        <f>IFERROR(TEXT(ABS(Raw_Data!J392), "0"), "Review")</f>
        <v>7637153987</v>
      </c>
      <c r="L392" s="2" t="str">
        <f>IFERROR(TRIM(Raw_Data!K392), "Review")</f>
        <v>Poor</v>
      </c>
      <c r="M392" s="2" t="b">
        <f>IF(Raw_Data!L392="", "",
    IF(ISLOGICAL(Raw_Data!L392), Raw_Data!L392,
        IF(OR(UPPER(Raw_Data!L392)="TRUE", UPPER(Raw_Data!L392)="YES", UPPER(Raw_Data!L392)="1"), TRUE,
            IF(OR(UPPER(Raw_Data!L392)="FALSE", UPPER(Raw_Data!L392)="NO", UPPER(Raw_Data!L392)="0"), FALSE, "Review")
        )
    )
)</f>
        <v>0</v>
      </c>
    </row>
    <row r="393" spans="1:13" x14ac:dyDescent="0.4">
      <c r="A393" s="2" t="str">
        <f>IFERROR(TRIM(Raw_Data!A393), "Review")</f>
        <v>EMP1391</v>
      </c>
      <c r="B393" s="2" t="str">
        <f>IFERROR(TRIM(Raw_Data!B393), "Review")</f>
        <v>Bob</v>
      </c>
      <c r="C393" s="2" t="str">
        <f>IFERROR(TRIM(Raw_Data!C393), "Review")</f>
        <v>Williams</v>
      </c>
      <c r="D393" s="2">
        <f>IF(Raw_Data!D393="", "", IFERROR(VALUE(Raw_Data!D393), ""))</f>
        <v>40</v>
      </c>
      <c r="E393" s="2" t="str">
        <f>IFERROR(LEFT(Raw_Data!E393,SEARCH("-",Raw_Data!E393)-1),"Review")</f>
        <v>DevOps</v>
      </c>
      <c r="F393" s="2" t="str">
        <f>IFERROR(_xlfn.TEXTAFTER(Raw_Data!E393,"-"),"Review")</f>
        <v>Nevada</v>
      </c>
      <c r="G393" s="2" t="str">
        <f>IFERROR(TRIM(Raw_Data!F393), "Review")</f>
        <v>Pending</v>
      </c>
      <c r="H393" s="3" t="str">
        <f>IFERROR(TEXT(Raw_Data!G393, "YYYY-MM-DD"),"Review")</f>
        <v>2022-01-03</v>
      </c>
      <c r="I393" s="4">
        <f>IF(Raw_Data!H393="", "", IFERROR(VALUE(Raw_Data!H393), ""))</f>
        <v>109507.44</v>
      </c>
      <c r="J393" s="2" t="str">
        <f>IF(Raw_Data!I393="", "", IF(ISNUMBER(FIND("@", Raw_Data!I393)), Raw_Data!I393, "Review"))</f>
        <v>bob.williams@example.com</v>
      </c>
      <c r="K393" s="5" t="str">
        <f>IFERROR(TEXT(ABS(Raw_Data!J393), "0"), "Review")</f>
        <v>5472812355</v>
      </c>
      <c r="L393" s="2" t="str">
        <f>IFERROR(TRIM(Raw_Data!K393), "Review")</f>
        <v>Good</v>
      </c>
      <c r="M393" s="2" t="b">
        <f>IF(Raw_Data!L393="", "",
    IF(ISLOGICAL(Raw_Data!L393), Raw_Data!L393,
        IF(OR(UPPER(Raw_Data!L393)="TRUE", UPPER(Raw_Data!L393)="YES", UPPER(Raw_Data!L393)="1"), TRUE,
            IF(OR(UPPER(Raw_Data!L393)="FALSE", UPPER(Raw_Data!L393)="NO", UPPER(Raw_Data!L393)="0"), FALSE, "Review")
        )
    )
)</f>
        <v>0</v>
      </c>
    </row>
    <row r="394" spans="1:13" x14ac:dyDescent="0.4">
      <c r="A394" s="2" t="str">
        <f>IFERROR(TRIM(Raw_Data!A394), "Review")</f>
        <v>EMP1392</v>
      </c>
      <c r="B394" s="2" t="str">
        <f>IFERROR(TRIM(Raw_Data!B394), "Review")</f>
        <v>Grace</v>
      </c>
      <c r="C394" s="2" t="str">
        <f>IFERROR(TRIM(Raw_Data!C394), "Review")</f>
        <v>Garcia</v>
      </c>
      <c r="D394" s="2">
        <f>IF(Raw_Data!D394="", "", IFERROR(VALUE(Raw_Data!D394), ""))</f>
        <v>30</v>
      </c>
      <c r="E394" s="2" t="str">
        <f>IFERROR(LEFT(Raw_Data!E394,SEARCH("-",Raw_Data!E394)-1),"Review")</f>
        <v>Finance</v>
      </c>
      <c r="F394" s="2" t="str">
        <f>IFERROR(_xlfn.TEXTAFTER(Raw_Data!E394,"-"),"Review")</f>
        <v>New York</v>
      </c>
      <c r="G394" s="2" t="str">
        <f>IFERROR(TRIM(Raw_Data!F394), "Review")</f>
        <v>Inactive</v>
      </c>
      <c r="H394" s="3" t="str">
        <f>IFERROR(TEXT(Raw_Data!G394, "YYYY-MM-DD"),"Review")</f>
        <v>2021-07-03</v>
      </c>
      <c r="I394" s="4">
        <f>IF(Raw_Data!H394="", "", IFERROR(VALUE(Raw_Data!H394), ""))</f>
        <v>72600.56</v>
      </c>
      <c r="J394" s="2" t="str">
        <f>IF(Raw_Data!I394="", "", IF(ISNUMBER(FIND("@", Raw_Data!I394)), Raw_Data!I394, "Review"))</f>
        <v>grace.garcia@example.com</v>
      </c>
      <c r="K394" s="5" t="str">
        <f>IFERROR(TEXT(ABS(Raw_Data!J394), "0"), "Review")</f>
        <v>7983631461</v>
      </c>
      <c r="L394" s="2" t="str">
        <f>IFERROR(TRIM(Raw_Data!K394), "Review")</f>
        <v>Excellent</v>
      </c>
      <c r="M394" s="2" t="b">
        <f>IF(Raw_Data!L394="", "",
    IF(ISLOGICAL(Raw_Data!L394), Raw_Data!L394,
        IF(OR(UPPER(Raw_Data!L394)="TRUE", UPPER(Raw_Data!L394)="YES", UPPER(Raw_Data!L394)="1"), TRUE,
            IF(OR(UPPER(Raw_Data!L394)="FALSE", UPPER(Raw_Data!L394)="NO", UPPER(Raw_Data!L394)="0"), FALSE, "Review")
        )
    )
)</f>
        <v>0</v>
      </c>
    </row>
    <row r="395" spans="1:13" x14ac:dyDescent="0.4">
      <c r="A395" s="2" t="str">
        <f>IFERROR(TRIM(Raw_Data!A395), "Review")</f>
        <v>EMP1393</v>
      </c>
      <c r="B395" s="2" t="str">
        <f>IFERROR(TRIM(Raw_Data!B395), "Review")</f>
        <v>Charlie</v>
      </c>
      <c r="C395" s="2" t="str">
        <f>IFERROR(TRIM(Raw_Data!C395), "Review")</f>
        <v>Garcia</v>
      </c>
      <c r="D395" s="2" t="str">
        <f>IF(Raw_Data!D395="", "", IFERROR(VALUE(Raw_Data!D395), ""))</f>
        <v/>
      </c>
      <c r="E395" s="2" t="str">
        <f>IFERROR(LEFT(Raw_Data!E395,SEARCH("-",Raw_Data!E395)-1),"Review")</f>
        <v>Finance</v>
      </c>
      <c r="F395" s="2" t="str">
        <f>IFERROR(_xlfn.TEXTAFTER(Raw_Data!E395,"-"),"Review")</f>
        <v>California</v>
      </c>
      <c r="G395" s="2" t="str">
        <f>IFERROR(TRIM(Raw_Data!F395), "Review")</f>
        <v>Pending</v>
      </c>
      <c r="H395" s="3" t="str">
        <f>IFERROR(TEXT(Raw_Data!G395, "YYYY-MM-DD"),"Review")</f>
        <v>2024-04-10</v>
      </c>
      <c r="I395" s="4">
        <f>IF(Raw_Data!H395="", "", IFERROR(VALUE(Raw_Data!H395), ""))</f>
        <v>53388.65</v>
      </c>
      <c r="J395" s="2" t="str">
        <f>IF(Raw_Data!I395="", "", IF(ISNUMBER(FIND("@", Raw_Data!I395)), Raw_Data!I395, "Review"))</f>
        <v>charlie.garcia@example.com</v>
      </c>
      <c r="K395" s="5" t="str">
        <f>IFERROR(TEXT(ABS(Raw_Data!J395), "0"), "Review")</f>
        <v>4912711306</v>
      </c>
      <c r="L395" s="2" t="str">
        <f>IFERROR(TRIM(Raw_Data!K395), "Review")</f>
        <v>Poor</v>
      </c>
      <c r="M395" s="2" t="b">
        <f>IF(Raw_Data!L395="", "",
    IF(ISLOGICAL(Raw_Data!L395), Raw_Data!L395,
        IF(OR(UPPER(Raw_Data!L395)="TRUE", UPPER(Raw_Data!L395)="YES", UPPER(Raw_Data!L395)="1"), TRUE,
            IF(OR(UPPER(Raw_Data!L395)="FALSE", UPPER(Raw_Data!L395)="NO", UPPER(Raw_Data!L395)="0"), FALSE, "Review")
        )
    )
)</f>
        <v>1</v>
      </c>
    </row>
    <row r="396" spans="1:13" x14ac:dyDescent="0.4">
      <c r="A396" s="2" t="str">
        <f>IFERROR(TRIM(Raw_Data!A396), "Review")</f>
        <v>EMP1394</v>
      </c>
      <c r="B396" s="2" t="str">
        <f>IFERROR(TRIM(Raw_Data!B396), "Review")</f>
        <v>Heidi</v>
      </c>
      <c r="C396" s="2" t="str">
        <f>IFERROR(TRIM(Raw_Data!C396), "Review")</f>
        <v>Williams</v>
      </c>
      <c r="D396" s="2">
        <f>IF(Raw_Data!D396="", "", IFERROR(VALUE(Raw_Data!D396), ""))</f>
        <v>25</v>
      </c>
      <c r="E396" s="2" t="str">
        <f>IFERROR(LEFT(Raw_Data!E396,SEARCH("-",Raw_Data!E396)-1),"Review")</f>
        <v>Cloud Tech</v>
      </c>
      <c r="F396" s="2" t="str">
        <f>IFERROR(_xlfn.TEXTAFTER(Raw_Data!E396,"-"),"Review")</f>
        <v>New York</v>
      </c>
      <c r="G396" s="2" t="str">
        <f>IFERROR(TRIM(Raw_Data!F396), "Review")</f>
        <v>Inactive</v>
      </c>
      <c r="H396" s="3" t="str">
        <f>IFERROR(TEXT(Raw_Data!G396, "YYYY-MM-DD"),"Review")</f>
        <v>2022-07-23</v>
      </c>
      <c r="I396" s="4">
        <f>IF(Raw_Data!H396="", "", IFERROR(VALUE(Raw_Data!H396), ""))</f>
        <v>50047.32</v>
      </c>
      <c r="J396" s="2" t="str">
        <f>IF(Raw_Data!I396="", "", IF(ISNUMBER(FIND("@", Raw_Data!I396)), Raw_Data!I396, "Review"))</f>
        <v>heidi.williams@example.com</v>
      </c>
      <c r="K396" s="5" t="str">
        <f>IFERROR(TEXT(ABS(Raw_Data!J396), "0"), "Review")</f>
        <v>2407875417</v>
      </c>
      <c r="L396" s="2" t="str">
        <f>IFERROR(TRIM(Raw_Data!K396), "Review")</f>
        <v>Good</v>
      </c>
      <c r="M396" s="2" t="b">
        <f>IF(Raw_Data!L396="", "",
    IF(ISLOGICAL(Raw_Data!L396), Raw_Data!L396,
        IF(OR(UPPER(Raw_Data!L396)="TRUE", UPPER(Raw_Data!L396)="YES", UPPER(Raw_Data!L396)="1"), TRUE,
            IF(OR(UPPER(Raw_Data!L396)="FALSE", UPPER(Raw_Data!L396)="NO", UPPER(Raw_Data!L396)="0"), FALSE, "Review")
        )
    )
)</f>
        <v>0</v>
      </c>
    </row>
    <row r="397" spans="1:13" x14ac:dyDescent="0.4">
      <c r="A397" s="2" t="str">
        <f>IFERROR(TRIM(Raw_Data!A397), "Review")</f>
        <v>EMP1395</v>
      </c>
      <c r="B397" s="2" t="str">
        <f>IFERROR(TRIM(Raw_Data!B397), "Review")</f>
        <v>David</v>
      </c>
      <c r="C397" s="2" t="str">
        <f>IFERROR(TRIM(Raw_Data!C397), "Review")</f>
        <v>Brown</v>
      </c>
      <c r="D397" s="2">
        <f>IF(Raw_Data!D397="", "", IFERROR(VALUE(Raw_Data!D397), ""))</f>
        <v>30</v>
      </c>
      <c r="E397" s="2" t="str">
        <f>IFERROR(LEFT(Raw_Data!E397,SEARCH("-",Raw_Data!E397)-1),"Review")</f>
        <v>DevOps</v>
      </c>
      <c r="F397" s="2" t="str">
        <f>IFERROR(_xlfn.TEXTAFTER(Raw_Data!E397,"-"),"Review")</f>
        <v>California</v>
      </c>
      <c r="G397" s="2" t="str">
        <f>IFERROR(TRIM(Raw_Data!F397), "Review")</f>
        <v>Active</v>
      </c>
      <c r="H397" s="3" t="str">
        <f>IFERROR(TEXT(Raw_Data!G397, "YYYY-MM-DD"),"Review")</f>
        <v>2024-11-25</v>
      </c>
      <c r="I397" s="4">
        <f>IF(Raw_Data!H397="", "", IFERROR(VALUE(Raw_Data!H397), ""))</f>
        <v>115290.79</v>
      </c>
      <c r="J397" s="2" t="str">
        <f>IF(Raw_Data!I397="", "", IF(ISNUMBER(FIND("@", Raw_Data!I397)), Raw_Data!I397, "Review"))</f>
        <v>david.brown@example.com</v>
      </c>
      <c r="K397" s="5" t="str">
        <f>IFERROR(TEXT(ABS(Raw_Data!J397), "0"), "Review")</f>
        <v>1563268684</v>
      </c>
      <c r="L397" s="2" t="str">
        <f>IFERROR(TRIM(Raw_Data!K397), "Review")</f>
        <v>Poor</v>
      </c>
      <c r="M397" s="2" t="b">
        <f>IF(Raw_Data!L397="", "",
    IF(ISLOGICAL(Raw_Data!L397), Raw_Data!L397,
        IF(OR(UPPER(Raw_Data!L397)="TRUE", UPPER(Raw_Data!L397)="YES", UPPER(Raw_Data!L397)="1"), TRUE,
            IF(OR(UPPER(Raw_Data!L397)="FALSE", UPPER(Raw_Data!L397)="NO", UPPER(Raw_Data!L397)="0"), FALSE, "Review")
        )
    )
)</f>
        <v>0</v>
      </c>
    </row>
    <row r="398" spans="1:13" x14ac:dyDescent="0.4">
      <c r="A398" s="2" t="str">
        <f>IFERROR(TRIM(Raw_Data!A398), "Review")</f>
        <v>EMP1396</v>
      </c>
      <c r="B398" s="2" t="str">
        <f>IFERROR(TRIM(Raw_Data!B398), "Review")</f>
        <v>Frank</v>
      </c>
      <c r="C398" s="2" t="str">
        <f>IFERROR(TRIM(Raw_Data!C398), "Review")</f>
        <v>Garcia</v>
      </c>
      <c r="D398" s="2">
        <f>IF(Raw_Data!D398="", "", IFERROR(VALUE(Raw_Data!D398), ""))</f>
        <v>35</v>
      </c>
      <c r="E398" s="2" t="str">
        <f>IFERROR(LEFT(Raw_Data!E398,SEARCH("-",Raw_Data!E398)-1),"Review")</f>
        <v>Cloud Tech</v>
      </c>
      <c r="F398" s="2" t="str">
        <f>IFERROR(_xlfn.TEXTAFTER(Raw_Data!E398,"-"),"Review")</f>
        <v>California</v>
      </c>
      <c r="G398" s="2" t="str">
        <f>IFERROR(TRIM(Raw_Data!F398), "Review")</f>
        <v>Pending</v>
      </c>
      <c r="H398" s="3" t="str">
        <f>IFERROR(TEXT(Raw_Data!G398, "YYYY-MM-DD"),"Review")</f>
        <v>2023-08-21</v>
      </c>
      <c r="I398" s="4">
        <f>IF(Raw_Data!H398="", "", IFERROR(VALUE(Raw_Data!H398), ""))</f>
        <v>61586.76</v>
      </c>
      <c r="J398" s="2" t="str">
        <f>IF(Raw_Data!I398="", "", IF(ISNUMBER(FIND("@", Raw_Data!I398)), Raw_Data!I398, "Review"))</f>
        <v>frank.garcia@example.com</v>
      </c>
      <c r="K398" s="5" t="str">
        <f>IFERROR(TEXT(ABS(Raw_Data!J398), "0"), "Review")</f>
        <v>745106633</v>
      </c>
      <c r="L398" s="2" t="str">
        <f>IFERROR(TRIM(Raw_Data!K398), "Review")</f>
        <v>Excellent</v>
      </c>
      <c r="M398" s="2" t="b">
        <f>IF(Raw_Data!L398="", "",
    IF(ISLOGICAL(Raw_Data!L398), Raw_Data!L398,
        IF(OR(UPPER(Raw_Data!L398)="TRUE", UPPER(Raw_Data!L398)="YES", UPPER(Raw_Data!L398)="1"), TRUE,
            IF(OR(UPPER(Raw_Data!L398)="FALSE", UPPER(Raw_Data!L398)="NO", UPPER(Raw_Data!L398)="0"), FALSE, "Review")
        )
    )
)</f>
        <v>0</v>
      </c>
    </row>
    <row r="399" spans="1:13" x14ac:dyDescent="0.4">
      <c r="A399" s="2" t="str">
        <f>IFERROR(TRIM(Raw_Data!A399), "Review")</f>
        <v>EMP1397</v>
      </c>
      <c r="B399" s="2" t="str">
        <f>IFERROR(TRIM(Raw_Data!B399), "Review")</f>
        <v>Eva</v>
      </c>
      <c r="C399" s="2" t="str">
        <f>IFERROR(TRIM(Raw_Data!C399), "Review")</f>
        <v>Miller</v>
      </c>
      <c r="D399" s="2">
        <f>IF(Raw_Data!D399="", "", IFERROR(VALUE(Raw_Data!D399), ""))</f>
        <v>30</v>
      </c>
      <c r="E399" s="2" t="str">
        <f>IFERROR(LEFT(Raw_Data!E399,SEARCH("-",Raw_Data!E399)-1),"Review")</f>
        <v>Finance</v>
      </c>
      <c r="F399" s="2" t="str">
        <f>IFERROR(_xlfn.TEXTAFTER(Raw_Data!E399,"-"),"Review")</f>
        <v>Nevada</v>
      </c>
      <c r="G399" s="2" t="str">
        <f>IFERROR(TRIM(Raw_Data!F399), "Review")</f>
        <v>Active</v>
      </c>
      <c r="H399" s="3" t="str">
        <f>IFERROR(TEXT(Raw_Data!G399, "YYYY-MM-DD"),"Review")</f>
        <v>2023-12-12</v>
      </c>
      <c r="I399" s="4">
        <f>IF(Raw_Data!H399="", "", IFERROR(VALUE(Raw_Data!H399), ""))</f>
        <v>56662.86</v>
      </c>
      <c r="J399" s="2" t="str">
        <f>IF(Raw_Data!I399="", "", IF(ISNUMBER(FIND("@", Raw_Data!I399)), Raw_Data!I399, "Review"))</f>
        <v>eva.miller@example.com</v>
      </c>
      <c r="K399" s="5" t="str">
        <f>IFERROR(TEXT(ABS(Raw_Data!J399), "0"), "Review")</f>
        <v>3629489785</v>
      </c>
      <c r="L399" s="2" t="str">
        <f>IFERROR(TRIM(Raw_Data!K399), "Review")</f>
        <v>Average</v>
      </c>
      <c r="M399" s="2" t="b">
        <f>IF(Raw_Data!L399="", "",
    IF(ISLOGICAL(Raw_Data!L399), Raw_Data!L399,
        IF(OR(UPPER(Raw_Data!L399)="TRUE", UPPER(Raw_Data!L399)="YES", UPPER(Raw_Data!L399)="1"), TRUE,
            IF(OR(UPPER(Raw_Data!L399)="FALSE", UPPER(Raw_Data!L399)="NO", UPPER(Raw_Data!L399)="0"), FALSE, "Review")
        )
    )
)</f>
        <v>1</v>
      </c>
    </row>
    <row r="400" spans="1:13" x14ac:dyDescent="0.4">
      <c r="A400" s="2" t="str">
        <f>IFERROR(TRIM(Raw_Data!A400), "Review")</f>
        <v>EMP1398</v>
      </c>
      <c r="B400" s="2" t="str">
        <f>IFERROR(TRIM(Raw_Data!B400), "Review")</f>
        <v>Bob</v>
      </c>
      <c r="C400" s="2" t="str">
        <f>IFERROR(TRIM(Raw_Data!C400), "Review")</f>
        <v>Garcia</v>
      </c>
      <c r="D400" s="2">
        <f>IF(Raw_Data!D400="", "", IFERROR(VALUE(Raw_Data!D400), ""))</f>
        <v>30</v>
      </c>
      <c r="E400" s="2" t="str">
        <f>IFERROR(LEFT(Raw_Data!E400,SEARCH("-",Raw_Data!E400)-1),"Review")</f>
        <v>Sales</v>
      </c>
      <c r="F400" s="2" t="str">
        <f>IFERROR(_xlfn.TEXTAFTER(Raw_Data!E400,"-"),"Review")</f>
        <v>New York</v>
      </c>
      <c r="G400" s="2" t="str">
        <f>IFERROR(TRIM(Raw_Data!F400), "Review")</f>
        <v>Pending</v>
      </c>
      <c r="H400" s="3" t="str">
        <f>IFERROR(TEXT(Raw_Data!G400, "YYYY-MM-DD"),"Review")</f>
        <v>2023-10-24</v>
      </c>
      <c r="I400" s="4" t="str">
        <f>IF(Raw_Data!H400="", "", IFERROR(VALUE(Raw_Data!H400), ""))</f>
        <v/>
      </c>
      <c r="J400" s="2" t="str">
        <f>IF(Raw_Data!I400="", "", IF(ISNUMBER(FIND("@", Raw_Data!I400)), Raw_Data!I400, "Review"))</f>
        <v>bob.garcia@example.com</v>
      </c>
      <c r="K400" s="5" t="str">
        <f>IFERROR(TEXT(ABS(Raw_Data!J400), "0"), "Review")</f>
        <v>1031310093</v>
      </c>
      <c r="L400" s="2" t="str">
        <f>IFERROR(TRIM(Raw_Data!K400), "Review")</f>
        <v>Excellent</v>
      </c>
      <c r="M400" s="2" t="b">
        <f>IF(Raw_Data!L400="", "",
    IF(ISLOGICAL(Raw_Data!L400), Raw_Data!L400,
        IF(OR(UPPER(Raw_Data!L400)="TRUE", UPPER(Raw_Data!L400)="YES", UPPER(Raw_Data!L400)="1"), TRUE,
            IF(OR(UPPER(Raw_Data!L400)="FALSE", UPPER(Raw_Data!L400)="NO", UPPER(Raw_Data!L400)="0"), FALSE, "Review")
        )
    )
)</f>
        <v>1</v>
      </c>
    </row>
    <row r="401" spans="1:13" x14ac:dyDescent="0.4">
      <c r="A401" s="2" t="str">
        <f>IFERROR(TRIM(Raw_Data!A401), "Review")</f>
        <v>EMP1399</v>
      </c>
      <c r="B401" s="2" t="str">
        <f>IFERROR(TRIM(Raw_Data!B401), "Review")</f>
        <v>Frank</v>
      </c>
      <c r="C401" s="2" t="str">
        <f>IFERROR(TRIM(Raw_Data!C401), "Review")</f>
        <v>Smith</v>
      </c>
      <c r="D401" s="2">
        <f>IF(Raw_Data!D401="", "", IFERROR(VALUE(Raw_Data!D401), ""))</f>
        <v>25</v>
      </c>
      <c r="E401" s="2" t="str">
        <f>IFERROR(LEFT(Raw_Data!E401,SEARCH("-",Raw_Data!E401)-1),"Review")</f>
        <v>Finance</v>
      </c>
      <c r="F401" s="2" t="str">
        <f>IFERROR(_xlfn.TEXTAFTER(Raw_Data!E401,"-"),"Review")</f>
        <v>Nevada</v>
      </c>
      <c r="G401" s="2" t="str">
        <f>IFERROR(TRIM(Raw_Data!F401), "Review")</f>
        <v>Active</v>
      </c>
      <c r="H401" s="3" t="str">
        <f>IFERROR(TEXT(Raw_Data!G401, "YYYY-MM-DD"),"Review")</f>
        <v>2022-09-05</v>
      </c>
      <c r="I401" s="4">
        <f>IF(Raw_Data!H401="", "", IFERROR(VALUE(Raw_Data!H401), ""))</f>
        <v>54957.98</v>
      </c>
      <c r="J401" s="2" t="str">
        <f>IF(Raw_Data!I401="", "", IF(ISNUMBER(FIND("@", Raw_Data!I401)), Raw_Data!I401, "Review"))</f>
        <v>frank.smith@example.com</v>
      </c>
      <c r="K401" s="5" t="str">
        <f>IFERROR(TEXT(ABS(Raw_Data!J401), "0"), "Review")</f>
        <v>3181439665</v>
      </c>
      <c r="L401" s="2" t="str">
        <f>IFERROR(TRIM(Raw_Data!K401), "Review")</f>
        <v>Excellent</v>
      </c>
      <c r="M401" s="2" t="b">
        <f>IF(Raw_Data!L401="", "",
    IF(ISLOGICAL(Raw_Data!L401), Raw_Data!L401,
        IF(OR(UPPER(Raw_Data!L401)="TRUE", UPPER(Raw_Data!L401)="YES", UPPER(Raw_Data!L401)="1"), TRUE,
            IF(OR(UPPER(Raw_Data!L401)="FALSE", UPPER(Raw_Data!L401)="NO", UPPER(Raw_Data!L401)="0"), FALSE, "Review")
        )
    )
)</f>
        <v>1</v>
      </c>
    </row>
    <row r="402" spans="1:13" x14ac:dyDescent="0.4">
      <c r="A402" s="2" t="str">
        <f>IFERROR(TRIM(Raw_Data!A402), "Review")</f>
        <v>EMP1400</v>
      </c>
      <c r="B402" s="2" t="str">
        <f>IFERROR(TRIM(Raw_Data!B402), "Review")</f>
        <v>Bob</v>
      </c>
      <c r="C402" s="2" t="str">
        <f>IFERROR(TRIM(Raw_Data!C402), "Review")</f>
        <v>Garcia</v>
      </c>
      <c r="D402" s="2">
        <f>IF(Raw_Data!D402="", "", IFERROR(VALUE(Raw_Data!D402), ""))</f>
        <v>25</v>
      </c>
      <c r="E402" s="2" t="str">
        <f>IFERROR(LEFT(Raw_Data!E402,SEARCH("-",Raw_Data!E402)-1),"Review")</f>
        <v>HR</v>
      </c>
      <c r="F402" s="2" t="str">
        <f>IFERROR(_xlfn.TEXTAFTER(Raw_Data!E402,"-"),"Review")</f>
        <v>California</v>
      </c>
      <c r="G402" s="2" t="str">
        <f>IFERROR(TRIM(Raw_Data!F402), "Review")</f>
        <v>Inactive</v>
      </c>
      <c r="H402" s="3" t="str">
        <f>IFERROR(TEXT(Raw_Data!G402, "YYYY-MM-DD"),"Review")</f>
        <v>2020-10-07</v>
      </c>
      <c r="I402" s="4">
        <f>IF(Raw_Data!H402="", "", IFERROR(VALUE(Raw_Data!H402), ""))</f>
        <v>76790.47</v>
      </c>
      <c r="J402" s="2" t="str">
        <f>IF(Raw_Data!I402="", "", IF(ISNUMBER(FIND("@", Raw_Data!I402)), Raw_Data!I402, "Review"))</f>
        <v>bob.garcia@example.com</v>
      </c>
      <c r="K402" s="5" t="str">
        <f>IFERROR(TEXT(ABS(Raw_Data!J402), "0"), "Review")</f>
        <v>1347323548</v>
      </c>
      <c r="L402" s="2" t="str">
        <f>IFERROR(TRIM(Raw_Data!K402), "Review")</f>
        <v>Excellent</v>
      </c>
      <c r="M402" s="2" t="b">
        <f>IF(Raw_Data!L402="", "",
    IF(ISLOGICAL(Raw_Data!L402), Raw_Data!L402,
        IF(OR(UPPER(Raw_Data!L402)="TRUE", UPPER(Raw_Data!L402)="YES", UPPER(Raw_Data!L402)="1"), TRUE,
            IF(OR(UPPER(Raw_Data!L402)="FALSE", UPPER(Raw_Data!L402)="NO", UPPER(Raw_Data!L402)="0"), FALSE, "Review")
        )
    )
)</f>
        <v>1</v>
      </c>
    </row>
    <row r="403" spans="1:13" x14ac:dyDescent="0.4">
      <c r="A403" s="2" t="str">
        <f>IFERROR(TRIM(Raw_Data!A403), "Review")</f>
        <v>EMP1401</v>
      </c>
      <c r="B403" s="2" t="str">
        <f>IFERROR(TRIM(Raw_Data!B403), "Review")</f>
        <v>Charlie</v>
      </c>
      <c r="C403" s="2" t="str">
        <f>IFERROR(TRIM(Raw_Data!C403), "Review")</f>
        <v>Brown</v>
      </c>
      <c r="D403" s="2">
        <f>IF(Raw_Data!D403="", "", IFERROR(VALUE(Raw_Data!D403), ""))</f>
        <v>30</v>
      </c>
      <c r="E403" s="2" t="str">
        <f>IFERROR(LEFT(Raw_Data!E403,SEARCH("-",Raw_Data!E403)-1),"Review")</f>
        <v>Cloud Tech</v>
      </c>
      <c r="F403" s="2" t="str">
        <f>IFERROR(_xlfn.TEXTAFTER(Raw_Data!E403,"-"),"Review")</f>
        <v>Illinois</v>
      </c>
      <c r="G403" s="2" t="str">
        <f>IFERROR(TRIM(Raw_Data!F403), "Review")</f>
        <v>Pending</v>
      </c>
      <c r="H403" s="3" t="str">
        <f>IFERROR(TEXT(Raw_Data!G403, "YYYY-MM-DD"),"Review")</f>
        <v>2020-01-18</v>
      </c>
      <c r="I403" s="4">
        <f>IF(Raw_Data!H403="", "", IFERROR(VALUE(Raw_Data!H403), ""))</f>
        <v>92722.35</v>
      </c>
      <c r="J403" s="2" t="str">
        <f>IF(Raw_Data!I403="", "", IF(ISNUMBER(FIND("@", Raw_Data!I403)), Raw_Data!I403, "Review"))</f>
        <v>charlie.brown@example.com</v>
      </c>
      <c r="K403" s="5" t="str">
        <f>IFERROR(TEXT(ABS(Raw_Data!J403), "0"), "Review")</f>
        <v>4012897431</v>
      </c>
      <c r="L403" s="2" t="str">
        <f>IFERROR(TRIM(Raw_Data!K403), "Review")</f>
        <v>Excellent</v>
      </c>
      <c r="M403" s="2" t="b">
        <f>IF(Raw_Data!L403="", "",
    IF(ISLOGICAL(Raw_Data!L403), Raw_Data!L403,
        IF(OR(UPPER(Raw_Data!L403)="TRUE", UPPER(Raw_Data!L403)="YES", UPPER(Raw_Data!L403)="1"), TRUE,
            IF(OR(UPPER(Raw_Data!L403)="FALSE", UPPER(Raw_Data!L403)="NO", UPPER(Raw_Data!L403)="0"), FALSE, "Review")
        )
    )
)</f>
        <v>0</v>
      </c>
    </row>
    <row r="404" spans="1:13" x14ac:dyDescent="0.4">
      <c r="A404" s="2" t="str">
        <f>IFERROR(TRIM(Raw_Data!A404), "Review")</f>
        <v>EMP1402</v>
      </c>
      <c r="B404" s="2" t="str">
        <f>IFERROR(TRIM(Raw_Data!B404), "Review")</f>
        <v>Frank</v>
      </c>
      <c r="C404" s="2" t="str">
        <f>IFERROR(TRIM(Raw_Data!C404), "Review")</f>
        <v>Williams</v>
      </c>
      <c r="D404" s="2">
        <f>IF(Raw_Data!D404="", "", IFERROR(VALUE(Raw_Data!D404), ""))</f>
        <v>30</v>
      </c>
      <c r="E404" s="2" t="str">
        <f>IFERROR(LEFT(Raw_Data!E404,SEARCH("-",Raw_Data!E404)-1),"Review")</f>
        <v>DevOps</v>
      </c>
      <c r="F404" s="2" t="str">
        <f>IFERROR(_xlfn.TEXTAFTER(Raw_Data!E404,"-"),"Review")</f>
        <v>Nevada</v>
      </c>
      <c r="G404" s="2" t="str">
        <f>IFERROR(TRIM(Raw_Data!F404), "Review")</f>
        <v>Active</v>
      </c>
      <c r="H404" s="3" t="str">
        <f>IFERROR(TEXT(Raw_Data!G404, "YYYY-MM-DD"),"Review")</f>
        <v>2022-04-23</v>
      </c>
      <c r="I404" s="4">
        <f>IF(Raw_Data!H404="", "", IFERROR(VALUE(Raw_Data!H404), ""))</f>
        <v>93125.32</v>
      </c>
      <c r="J404" s="2" t="str">
        <f>IF(Raw_Data!I404="", "", IF(ISNUMBER(FIND("@", Raw_Data!I404)), Raw_Data!I404, "Review"))</f>
        <v>frank.williams@example.com</v>
      </c>
      <c r="K404" s="5" t="str">
        <f>IFERROR(TEXT(ABS(Raw_Data!J404), "0"), "Review")</f>
        <v>5122572075</v>
      </c>
      <c r="L404" s="2" t="str">
        <f>IFERROR(TRIM(Raw_Data!K404), "Review")</f>
        <v>Average</v>
      </c>
      <c r="M404" s="2" t="b">
        <f>IF(Raw_Data!L404="", "",
    IF(ISLOGICAL(Raw_Data!L404), Raw_Data!L404,
        IF(OR(UPPER(Raw_Data!L404)="TRUE", UPPER(Raw_Data!L404)="YES", UPPER(Raw_Data!L404)="1"), TRUE,
            IF(OR(UPPER(Raw_Data!L404)="FALSE", UPPER(Raw_Data!L404)="NO", UPPER(Raw_Data!L404)="0"), FALSE, "Review")
        )
    )
)</f>
        <v>0</v>
      </c>
    </row>
    <row r="405" spans="1:13" x14ac:dyDescent="0.4">
      <c r="A405" s="2" t="str">
        <f>IFERROR(TRIM(Raw_Data!A405), "Review")</f>
        <v>EMP1403</v>
      </c>
      <c r="B405" s="2" t="str">
        <f>IFERROR(TRIM(Raw_Data!B405), "Review")</f>
        <v>David</v>
      </c>
      <c r="C405" s="2" t="str">
        <f>IFERROR(TRIM(Raw_Data!C405), "Review")</f>
        <v>Smith</v>
      </c>
      <c r="D405" s="2">
        <f>IF(Raw_Data!D405="", "", IFERROR(VALUE(Raw_Data!D405), ""))</f>
        <v>25</v>
      </c>
      <c r="E405" s="2" t="str">
        <f>IFERROR(LEFT(Raw_Data!E405,SEARCH("-",Raw_Data!E405)-1),"Review")</f>
        <v>Cloud Tech</v>
      </c>
      <c r="F405" s="2" t="str">
        <f>IFERROR(_xlfn.TEXTAFTER(Raw_Data!E405,"-"),"Review")</f>
        <v>New York</v>
      </c>
      <c r="G405" s="2" t="str">
        <f>IFERROR(TRIM(Raw_Data!F405), "Review")</f>
        <v>Active</v>
      </c>
      <c r="H405" s="3" t="str">
        <f>IFERROR(TEXT(Raw_Data!G405, "YYYY-MM-DD"),"Review")</f>
        <v>2023-04-22</v>
      </c>
      <c r="I405" s="4">
        <f>IF(Raw_Data!H405="", "", IFERROR(VALUE(Raw_Data!H405), ""))</f>
        <v>101100.64</v>
      </c>
      <c r="J405" s="2" t="str">
        <f>IF(Raw_Data!I405="", "", IF(ISNUMBER(FIND("@", Raw_Data!I405)), Raw_Data!I405, "Review"))</f>
        <v>david.smith@example.com</v>
      </c>
      <c r="K405" s="5" t="str">
        <f>IFERROR(TEXT(ABS(Raw_Data!J405), "0"), "Review")</f>
        <v>5024120956</v>
      </c>
      <c r="L405" s="2" t="str">
        <f>IFERROR(TRIM(Raw_Data!K405), "Review")</f>
        <v>Average</v>
      </c>
      <c r="M405" s="2" t="b">
        <f>IF(Raw_Data!L405="", "",
    IF(ISLOGICAL(Raw_Data!L405), Raw_Data!L405,
        IF(OR(UPPER(Raw_Data!L405)="TRUE", UPPER(Raw_Data!L405)="YES", UPPER(Raw_Data!L405)="1"), TRUE,
            IF(OR(UPPER(Raw_Data!L405)="FALSE", UPPER(Raw_Data!L405)="NO", UPPER(Raw_Data!L405)="0"), FALSE, "Review")
        )
    )
)</f>
        <v>0</v>
      </c>
    </row>
    <row r="406" spans="1:13" x14ac:dyDescent="0.4">
      <c r="A406" s="2" t="str">
        <f>IFERROR(TRIM(Raw_Data!A406), "Review")</f>
        <v>EMP1404</v>
      </c>
      <c r="B406" s="2" t="str">
        <f>IFERROR(TRIM(Raw_Data!B406), "Review")</f>
        <v>Grace</v>
      </c>
      <c r="C406" s="2" t="str">
        <f>IFERROR(TRIM(Raw_Data!C406), "Review")</f>
        <v>Garcia</v>
      </c>
      <c r="D406" s="2">
        <f>IF(Raw_Data!D406="", "", IFERROR(VALUE(Raw_Data!D406), ""))</f>
        <v>35</v>
      </c>
      <c r="E406" s="2" t="str">
        <f>IFERROR(LEFT(Raw_Data!E406,SEARCH("-",Raw_Data!E406)-1),"Review")</f>
        <v>Admin</v>
      </c>
      <c r="F406" s="2" t="str">
        <f>IFERROR(_xlfn.TEXTAFTER(Raw_Data!E406,"-"),"Review")</f>
        <v>New York</v>
      </c>
      <c r="G406" s="2" t="str">
        <f>IFERROR(TRIM(Raw_Data!F406), "Review")</f>
        <v>Inactive</v>
      </c>
      <c r="H406" s="3" t="str">
        <f>IFERROR(TEXT(Raw_Data!G406, "YYYY-MM-DD"),"Review")</f>
        <v>2023-08-13</v>
      </c>
      <c r="I406" s="4">
        <f>IF(Raw_Data!H406="", "", IFERROR(VALUE(Raw_Data!H406), ""))</f>
        <v>55897.41</v>
      </c>
      <c r="J406" s="2" t="str">
        <f>IF(Raw_Data!I406="", "", IF(ISNUMBER(FIND("@", Raw_Data!I406)), Raw_Data!I406, "Review"))</f>
        <v>grace.garcia@example.com</v>
      </c>
      <c r="K406" s="5" t="str">
        <f>IFERROR(TEXT(ABS(Raw_Data!J406), "0"), "Review")</f>
        <v>9073710093</v>
      </c>
      <c r="L406" s="2" t="str">
        <f>IFERROR(TRIM(Raw_Data!K406), "Review")</f>
        <v>Poor</v>
      </c>
      <c r="M406" s="2" t="b">
        <f>IF(Raw_Data!L406="", "",
    IF(ISLOGICAL(Raw_Data!L406), Raw_Data!L406,
        IF(OR(UPPER(Raw_Data!L406)="TRUE", UPPER(Raw_Data!L406)="YES", UPPER(Raw_Data!L406)="1"), TRUE,
            IF(OR(UPPER(Raw_Data!L406)="FALSE", UPPER(Raw_Data!L406)="NO", UPPER(Raw_Data!L406)="0"), FALSE, "Review")
        )
    )
)</f>
        <v>0</v>
      </c>
    </row>
    <row r="407" spans="1:13" x14ac:dyDescent="0.4">
      <c r="A407" s="2" t="str">
        <f>IFERROR(TRIM(Raw_Data!A407), "Review")</f>
        <v>EMP1405</v>
      </c>
      <c r="B407" s="2" t="str">
        <f>IFERROR(TRIM(Raw_Data!B407), "Review")</f>
        <v>Eva</v>
      </c>
      <c r="C407" s="2" t="str">
        <f>IFERROR(TRIM(Raw_Data!C407), "Review")</f>
        <v>Brown</v>
      </c>
      <c r="D407" s="2">
        <f>IF(Raw_Data!D407="", "", IFERROR(VALUE(Raw_Data!D407), ""))</f>
        <v>25</v>
      </c>
      <c r="E407" s="2" t="str">
        <f>IFERROR(LEFT(Raw_Data!E407,SEARCH("-",Raw_Data!E407)-1),"Review")</f>
        <v>DevOps</v>
      </c>
      <c r="F407" s="2" t="str">
        <f>IFERROR(_xlfn.TEXTAFTER(Raw_Data!E407,"-"),"Review")</f>
        <v>California</v>
      </c>
      <c r="G407" s="2" t="str">
        <f>IFERROR(TRIM(Raw_Data!F407), "Review")</f>
        <v>Active</v>
      </c>
      <c r="H407" s="3" t="str">
        <f>IFERROR(TEXT(Raw_Data!G407, "YYYY-MM-DD"),"Review")</f>
        <v>2022-11-26</v>
      </c>
      <c r="I407" s="4">
        <f>IF(Raw_Data!H407="", "", IFERROR(VALUE(Raw_Data!H407), ""))</f>
        <v>92484.88</v>
      </c>
      <c r="J407" s="2" t="str">
        <f>IF(Raw_Data!I407="", "", IF(ISNUMBER(FIND("@", Raw_Data!I407)), Raw_Data!I407, "Review"))</f>
        <v>eva.brown@example.com</v>
      </c>
      <c r="K407" s="5" t="str">
        <f>IFERROR(TEXT(ABS(Raw_Data!J407), "0"), "Review")</f>
        <v>3882211456</v>
      </c>
      <c r="L407" s="2" t="str">
        <f>IFERROR(TRIM(Raw_Data!K407), "Review")</f>
        <v>Good</v>
      </c>
      <c r="M407" s="2" t="b">
        <f>IF(Raw_Data!L407="", "",
    IF(ISLOGICAL(Raw_Data!L407), Raw_Data!L407,
        IF(OR(UPPER(Raw_Data!L407)="TRUE", UPPER(Raw_Data!L407)="YES", UPPER(Raw_Data!L407)="1"), TRUE,
            IF(OR(UPPER(Raw_Data!L407)="FALSE", UPPER(Raw_Data!L407)="NO", UPPER(Raw_Data!L407)="0"), FALSE, "Review")
        )
    )
)</f>
        <v>1</v>
      </c>
    </row>
    <row r="408" spans="1:13" x14ac:dyDescent="0.4">
      <c r="A408" s="2" t="str">
        <f>IFERROR(TRIM(Raw_Data!A408), "Review")</f>
        <v>EMP1406</v>
      </c>
      <c r="B408" s="2" t="str">
        <f>IFERROR(TRIM(Raw_Data!B408), "Review")</f>
        <v>Grace</v>
      </c>
      <c r="C408" s="2" t="str">
        <f>IFERROR(TRIM(Raw_Data!C408), "Review")</f>
        <v>Miller</v>
      </c>
      <c r="D408" s="2">
        <f>IF(Raw_Data!D408="", "", IFERROR(VALUE(Raw_Data!D408), ""))</f>
        <v>35</v>
      </c>
      <c r="E408" s="2" t="str">
        <f>IFERROR(LEFT(Raw_Data!E408,SEARCH("-",Raw_Data!E408)-1),"Review")</f>
        <v>DevOps</v>
      </c>
      <c r="F408" s="2" t="str">
        <f>IFERROR(_xlfn.TEXTAFTER(Raw_Data!E408,"-"),"Review")</f>
        <v>Texas</v>
      </c>
      <c r="G408" s="2" t="str">
        <f>IFERROR(TRIM(Raw_Data!F408), "Review")</f>
        <v>Active</v>
      </c>
      <c r="H408" s="3" t="str">
        <f>IFERROR(TEXT(Raw_Data!G408, "YYYY-MM-DD"),"Review")</f>
        <v>2022-10-10</v>
      </c>
      <c r="I408" s="4">
        <f>IF(Raw_Data!H408="", "", IFERROR(VALUE(Raw_Data!H408), ""))</f>
        <v>77011.990000000005</v>
      </c>
      <c r="J408" s="2" t="str">
        <f>IF(Raw_Data!I408="", "", IF(ISNUMBER(FIND("@", Raw_Data!I408)), Raw_Data!I408, "Review"))</f>
        <v>grace.miller@example.com</v>
      </c>
      <c r="K408" s="5" t="str">
        <f>IFERROR(TEXT(ABS(Raw_Data!J408), "0"), "Review")</f>
        <v>7584745704</v>
      </c>
      <c r="L408" s="2" t="str">
        <f>IFERROR(TRIM(Raw_Data!K408), "Review")</f>
        <v>Average</v>
      </c>
      <c r="M408" s="2" t="b">
        <f>IF(Raw_Data!L408="", "",
    IF(ISLOGICAL(Raw_Data!L408), Raw_Data!L408,
        IF(OR(UPPER(Raw_Data!L408)="TRUE", UPPER(Raw_Data!L408)="YES", UPPER(Raw_Data!L408)="1"), TRUE,
            IF(OR(UPPER(Raw_Data!L408)="FALSE", UPPER(Raw_Data!L408)="NO", UPPER(Raw_Data!L408)="0"), FALSE, "Review")
        )
    )
)</f>
        <v>1</v>
      </c>
    </row>
    <row r="409" spans="1:13" x14ac:dyDescent="0.4">
      <c r="A409" s="2" t="str">
        <f>IFERROR(TRIM(Raw_Data!A409), "Review")</f>
        <v>EMP1407</v>
      </c>
      <c r="B409" s="2" t="str">
        <f>IFERROR(TRIM(Raw_Data!B409), "Review")</f>
        <v>Bob</v>
      </c>
      <c r="C409" s="2" t="str">
        <f>IFERROR(TRIM(Raw_Data!C409), "Review")</f>
        <v>Garcia</v>
      </c>
      <c r="D409" s="2" t="str">
        <f>IF(Raw_Data!D409="", "", IFERROR(VALUE(Raw_Data!D409), ""))</f>
        <v/>
      </c>
      <c r="E409" s="2" t="str">
        <f>IFERROR(LEFT(Raw_Data!E409,SEARCH("-",Raw_Data!E409)-1),"Review")</f>
        <v>Cloud Tech</v>
      </c>
      <c r="F409" s="2" t="str">
        <f>IFERROR(_xlfn.TEXTAFTER(Raw_Data!E409,"-"),"Review")</f>
        <v>California</v>
      </c>
      <c r="G409" s="2" t="str">
        <f>IFERROR(TRIM(Raw_Data!F409), "Review")</f>
        <v>Inactive</v>
      </c>
      <c r="H409" s="3" t="str">
        <f>IFERROR(TEXT(Raw_Data!G409, "YYYY-MM-DD"),"Review")</f>
        <v>2020-09-27</v>
      </c>
      <c r="I409" s="4">
        <f>IF(Raw_Data!H409="", "", IFERROR(VALUE(Raw_Data!H409), ""))</f>
        <v>77078.679999999993</v>
      </c>
      <c r="J409" s="2" t="str">
        <f>IF(Raw_Data!I409="", "", IF(ISNUMBER(FIND("@", Raw_Data!I409)), Raw_Data!I409, "Review"))</f>
        <v>bob.garcia@example.com</v>
      </c>
      <c r="K409" s="5" t="str">
        <f>IFERROR(TEXT(ABS(Raw_Data!J409), "0"), "Review")</f>
        <v>4589714801</v>
      </c>
      <c r="L409" s="2" t="str">
        <f>IFERROR(TRIM(Raw_Data!K409), "Review")</f>
        <v>Average</v>
      </c>
      <c r="M409" s="2" t="b">
        <f>IF(Raw_Data!L409="", "",
    IF(ISLOGICAL(Raw_Data!L409), Raw_Data!L409,
        IF(OR(UPPER(Raw_Data!L409)="TRUE", UPPER(Raw_Data!L409)="YES", UPPER(Raw_Data!L409)="1"), TRUE,
            IF(OR(UPPER(Raw_Data!L409)="FALSE", UPPER(Raw_Data!L409)="NO", UPPER(Raw_Data!L409)="0"), FALSE, "Review")
        )
    )
)</f>
        <v>1</v>
      </c>
    </row>
    <row r="410" spans="1:13" x14ac:dyDescent="0.4">
      <c r="A410" s="2" t="str">
        <f>IFERROR(TRIM(Raw_Data!A410), "Review")</f>
        <v>EMP1408</v>
      </c>
      <c r="B410" s="2" t="str">
        <f>IFERROR(TRIM(Raw_Data!B410), "Review")</f>
        <v>Grace</v>
      </c>
      <c r="C410" s="2" t="str">
        <f>IFERROR(TRIM(Raw_Data!C410), "Review")</f>
        <v>Brown</v>
      </c>
      <c r="D410" s="2">
        <f>IF(Raw_Data!D410="", "", IFERROR(VALUE(Raw_Data!D410), ""))</f>
        <v>35</v>
      </c>
      <c r="E410" s="2" t="str">
        <f>IFERROR(LEFT(Raw_Data!E410,SEARCH("-",Raw_Data!E410)-1),"Review")</f>
        <v>Sales</v>
      </c>
      <c r="F410" s="2" t="str">
        <f>IFERROR(_xlfn.TEXTAFTER(Raw_Data!E410,"-"),"Review")</f>
        <v>Nevada</v>
      </c>
      <c r="G410" s="2" t="str">
        <f>IFERROR(TRIM(Raw_Data!F410), "Review")</f>
        <v>Active</v>
      </c>
      <c r="H410" s="3" t="str">
        <f>IFERROR(TEXT(Raw_Data!G410, "YYYY-MM-DD"),"Review")</f>
        <v>2024-04-11</v>
      </c>
      <c r="I410" s="4">
        <f>IF(Raw_Data!H410="", "", IFERROR(VALUE(Raw_Data!H410), ""))</f>
        <v>82971.02</v>
      </c>
      <c r="J410" s="2" t="str">
        <f>IF(Raw_Data!I410="", "", IF(ISNUMBER(FIND("@", Raw_Data!I410)), Raw_Data!I410, "Review"))</f>
        <v>grace.brown@example.com</v>
      </c>
      <c r="K410" s="5" t="str">
        <f>IFERROR(TEXT(ABS(Raw_Data!J410), "0"), "Review")</f>
        <v>6325703964</v>
      </c>
      <c r="L410" s="2" t="str">
        <f>IFERROR(TRIM(Raw_Data!K410), "Review")</f>
        <v>Good</v>
      </c>
      <c r="M410" s="2" t="b">
        <f>IF(Raw_Data!L410="", "",
    IF(ISLOGICAL(Raw_Data!L410), Raw_Data!L410,
        IF(OR(UPPER(Raw_Data!L410)="TRUE", UPPER(Raw_Data!L410)="YES", UPPER(Raw_Data!L410)="1"), TRUE,
            IF(OR(UPPER(Raw_Data!L410)="FALSE", UPPER(Raw_Data!L410)="NO", UPPER(Raw_Data!L410)="0"), FALSE, "Review")
        )
    )
)</f>
        <v>0</v>
      </c>
    </row>
    <row r="411" spans="1:13" x14ac:dyDescent="0.4">
      <c r="A411" s="2" t="str">
        <f>IFERROR(TRIM(Raw_Data!A411), "Review")</f>
        <v>EMP1409</v>
      </c>
      <c r="B411" s="2" t="str">
        <f>IFERROR(TRIM(Raw_Data!B411), "Review")</f>
        <v>Bob</v>
      </c>
      <c r="C411" s="2" t="str">
        <f>IFERROR(TRIM(Raw_Data!C411), "Review")</f>
        <v>Miller</v>
      </c>
      <c r="D411" s="2">
        <f>IF(Raw_Data!D411="", "", IFERROR(VALUE(Raw_Data!D411), ""))</f>
        <v>25</v>
      </c>
      <c r="E411" s="2" t="str">
        <f>IFERROR(LEFT(Raw_Data!E411,SEARCH("-",Raw_Data!E411)-1),"Review")</f>
        <v>Sales</v>
      </c>
      <c r="F411" s="2" t="str">
        <f>IFERROR(_xlfn.TEXTAFTER(Raw_Data!E411,"-"),"Review")</f>
        <v>Texas</v>
      </c>
      <c r="G411" s="2" t="str">
        <f>IFERROR(TRIM(Raw_Data!F411), "Review")</f>
        <v>Active</v>
      </c>
      <c r="H411" s="3" t="str">
        <f>IFERROR(TEXT(Raw_Data!G411, "YYYY-MM-DD"),"Review")</f>
        <v>2021-06-20</v>
      </c>
      <c r="I411" s="4">
        <f>IF(Raw_Data!H411="", "", IFERROR(VALUE(Raw_Data!H411), ""))</f>
        <v>65102.01</v>
      </c>
      <c r="J411" s="2" t="str">
        <f>IF(Raw_Data!I411="", "", IF(ISNUMBER(FIND("@", Raw_Data!I411)), Raw_Data!I411, "Review"))</f>
        <v>bob.miller@example.com</v>
      </c>
      <c r="K411" s="5" t="str">
        <f>IFERROR(TEXT(ABS(Raw_Data!J411), "0"), "Review")</f>
        <v>3136148781</v>
      </c>
      <c r="L411" s="2" t="str">
        <f>IFERROR(TRIM(Raw_Data!K411), "Review")</f>
        <v>Average</v>
      </c>
      <c r="M411" s="2" t="b">
        <f>IF(Raw_Data!L411="", "",
    IF(ISLOGICAL(Raw_Data!L411), Raw_Data!L411,
        IF(OR(UPPER(Raw_Data!L411)="TRUE", UPPER(Raw_Data!L411)="YES", UPPER(Raw_Data!L411)="1"), TRUE,
            IF(OR(UPPER(Raw_Data!L411)="FALSE", UPPER(Raw_Data!L411)="NO", UPPER(Raw_Data!L411)="0"), FALSE, "Review")
        )
    )
)</f>
        <v>1</v>
      </c>
    </row>
    <row r="412" spans="1:13" x14ac:dyDescent="0.4">
      <c r="A412" s="2" t="str">
        <f>IFERROR(TRIM(Raw_Data!A412), "Review")</f>
        <v>EMP1410</v>
      </c>
      <c r="B412" s="2" t="str">
        <f>IFERROR(TRIM(Raw_Data!B412), "Review")</f>
        <v>Grace</v>
      </c>
      <c r="C412" s="2" t="str">
        <f>IFERROR(TRIM(Raw_Data!C412), "Review")</f>
        <v>Williams</v>
      </c>
      <c r="D412" s="2" t="str">
        <f>IF(Raw_Data!D412="", "", IFERROR(VALUE(Raw_Data!D412), ""))</f>
        <v/>
      </c>
      <c r="E412" s="2" t="str">
        <f>IFERROR(LEFT(Raw_Data!E412,SEARCH("-",Raw_Data!E412)-1),"Review")</f>
        <v>HR</v>
      </c>
      <c r="F412" s="2" t="str">
        <f>IFERROR(_xlfn.TEXTAFTER(Raw_Data!E412,"-"),"Review")</f>
        <v>Nevada</v>
      </c>
      <c r="G412" s="2" t="str">
        <f>IFERROR(TRIM(Raw_Data!F412), "Review")</f>
        <v>Pending</v>
      </c>
      <c r="H412" s="3" t="str">
        <f>IFERROR(TEXT(Raw_Data!G412, "YYYY-MM-DD"),"Review")</f>
        <v>2022-10-23</v>
      </c>
      <c r="I412" s="4">
        <f>IF(Raw_Data!H412="", "", IFERROR(VALUE(Raw_Data!H412), ""))</f>
        <v>103697.7</v>
      </c>
      <c r="J412" s="2" t="str">
        <f>IF(Raw_Data!I412="", "", IF(ISNUMBER(FIND("@", Raw_Data!I412)), Raw_Data!I412, "Review"))</f>
        <v>grace.williams@example.com</v>
      </c>
      <c r="K412" s="5" t="str">
        <f>IFERROR(TEXT(ABS(Raw_Data!J412), "0"), "Review")</f>
        <v>4556964429</v>
      </c>
      <c r="L412" s="2" t="str">
        <f>IFERROR(TRIM(Raw_Data!K412), "Review")</f>
        <v>Excellent</v>
      </c>
      <c r="M412" s="2" t="b">
        <f>IF(Raw_Data!L412="", "",
    IF(ISLOGICAL(Raw_Data!L412), Raw_Data!L412,
        IF(OR(UPPER(Raw_Data!L412)="TRUE", UPPER(Raw_Data!L412)="YES", UPPER(Raw_Data!L412)="1"), TRUE,
            IF(OR(UPPER(Raw_Data!L412)="FALSE", UPPER(Raw_Data!L412)="NO", UPPER(Raw_Data!L412)="0"), FALSE, "Review")
        )
    )
)</f>
        <v>1</v>
      </c>
    </row>
    <row r="413" spans="1:13" x14ac:dyDescent="0.4">
      <c r="A413" s="2" t="str">
        <f>IFERROR(TRIM(Raw_Data!A413), "Review")</f>
        <v>EMP1411</v>
      </c>
      <c r="B413" s="2" t="str">
        <f>IFERROR(TRIM(Raw_Data!B413), "Review")</f>
        <v>Grace</v>
      </c>
      <c r="C413" s="2" t="str">
        <f>IFERROR(TRIM(Raw_Data!C413), "Review")</f>
        <v>Garcia</v>
      </c>
      <c r="D413" s="2">
        <f>IF(Raw_Data!D413="", "", IFERROR(VALUE(Raw_Data!D413), ""))</f>
        <v>25</v>
      </c>
      <c r="E413" s="2" t="str">
        <f>IFERROR(LEFT(Raw_Data!E413,SEARCH("-",Raw_Data!E413)-1),"Review")</f>
        <v>DevOps</v>
      </c>
      <c r="F413" s="2" t="str">
        <f>IFERROR(_xlfn.TEXTAFTER(Raw_Data!E413,"-"),"Review")</f>
        <v>Illinois</v>
      </c>
      <c r="G413" s="2" t="str">
        <f>IFERROR(TRIM(Raw_Data!F413), "Review")</f>
        <v>Pending</v>
      </c>
      <c r="H413" s="3" t="str">
        <f>IFERROR(TEXT(Raw_Data!G413, "YYYY-MM-DD"),"Review")</f>
        <v>2023-06-15</v>
      </c>
      <c r="I413" s="4">
        <f>IF(Raw_Data!H413="", "", IFERROR(VALUE(Raw_Data!H413), ""))</f>
        <v>60687.63</v>
      </c>
      <c r="J413" s="2" t="str">
        <f>IF(Raw_Data!I413="", "", IF(ISNUMBER(FIND("@", Raw_Data!I413)), Raw_Data!I413, "Review"))</f>
        <v>grace.garcia@example.com</v>
      </c>
      <c r="K413" s="5" t="str">
        <f>IFERROR(TEXT(ABS(Raw_Data!J413), "0"), "Review")</f>
        <v>9859167953</v>
      </c>
      <c r="L413" s="2" t="str">
        <f>IFERROR(TRIM(Raw_Data!K413), "Review")</f>
        <v>Excellent</v>
      </c>
      <c r="M413" s="2" t="b">
        <f>IF(Raw_Data!L413="", "",
    IF(ISLOGICAL(Raw_Data!L413), Raw_Data!L413,
        IF(OR(UPPER(Raw_Data!L413)="TRUE", UPPER(Raw_Data!L413)="YES", UPPER(Raw_Data!L413)="1"), TRUE,
            IF(OR(UPPER(Raw_Data!L413)="FALSE", UPPER(Raw_Data!L413)="NO", UPPER(Raw_Data!L413)="0"), FALSE, "Review")
        )
    )
)</f>
        <v>0</v>
      </c>
    </row>
    <row r="414" spans="1:13" x14ac:dyDescent="0.4">
      <c r="A414" s="2" t="str">
        <f>IFERROR(TRIM(Raw_Data!A414), "Review")</f>
        <v>EMP1412</v>
      </c>
      <c r="B414" s="2" t="str">
        <f>IFERROR(TRIM(Raw_Data!B414), "Review")</f>
        <v>Bob</v>
      </c>
      <c r="C414" s="2" t="str">
        <f>IFERROR(TRIM(Raw_Data!C414), "Review")</f>
        <v>Miller</v>
      </c>
      <c r="D414" s="2" t="str">
        <f>IF(Raw_Data!D414="", "", IFERROR(VALUE(Raw_Data!D414), ""))</f>
        <v/>
      </c>
      <c r="E414" s="2" t="str">
        <f>IFERROR(LEFT(Raw_Data!E414,SEARCH("-",Raw_Data!E414)-1),"Review")</f>
        <v>Admin</v>
      </c>
      <c r="F414" s="2" t="str">
        <f>IFERROR(_xlfn.TEXTAFTER(Raw_Data!E414,"-"),"Review")</f>
        <v>New York</v>
      </c>
      <c r="G414" s="2" t="str">
        <f>IFERROR(TRIM(Raw_Data!F414), "Review")</f>
        <v>Pending</v>
      </c>
      <c r="H414" s="3" t="str">
        <f>IFERROR(TEXT(Raw_Data!G414, "YYYY-MM-DD"),"Review")</f>
        <v>2021-10-31</v>
      </c>
      <c r="I414" s="4">
        <f>IF(Raw_Data!H414="", "", IFERROR(VALUE(Raw_Data!H414), ""))</f>
        <v>77351.210000000006</v>
      </c>
      <c r="J414" s="2" t="str">
        <f>IF(Raw_Data!I414="", "", IF(ISNUMBER(FIND("@", Raw_Data!I414)), Raw_Data!I414, "Review"))</f>
        <v>bob.miller@example.com</v>
      </c>
      <c r="K414" s="5" t="str">
        <f>IFERROR(TEXT(ABS(Raw_Data!J414), "0"), "Review")</f>
        <v>1072728497</v>
      </c>
      <c r="L414" s="2" t="str">
        <f>IFERROR(TRIM(Raw_Data!K414), "Review")</f>
        <v>Good</v>
      </c>
      <c r="M414" s="2" t="b">
        <f>IF(Raw_Data!L414="", "",
    IF(ISLOGICAL(Raw_Data!L414), Raw_Data!L414,
        IF(OR(UPPER(Raw_Data!L414)="TRUE", UPPER(Raw_Data!L414)="YES", UPPER(Raw_Data!L414)="1"), TRUE,
            IF(OR(UPPER(Raw_Data!L414)="FALSE", UPPER(Raw_Data!L414)="NO", UPPER(Raw_Data!L414)="0"), FALSE, "Review")
        )
    )
)</f>
        <v>0</v>
      </c>
    </row>
    <row r="415" spans="1:13" x14ac:dyDescent="0.4">
      <c r="A415" s="2" t="str">
        <f>IFERROR(TRIM(Raw_Data!A415), "Review")</f>
        <v>EMP1413</v>
      </c>
      <c r="B415" s="2" t="str">
        <f>IFERROR(TRIM(Raw_Data!B415), "Review")</f>
        <v>Bob</v>
      </c>
      <c r="C415" s="2" t="str">
        <f>IFERROR(TRIM(Raw_Data!C415), "Review")</f>
        <v>Smith</v>
      </c>
      <c r="D415" s="2">
        <f>IF(Raw_Data!D415="", "", IFERROR(VALUE(Raw_Data!D415), ""))</f>
        <v>35</v>
      </c>
      <c r="E415" s="2" t="str">
        <f>IFERROR(LEFT(Raw_Data!E415,SEARCH("-",Raw_Data!E415)-1),"Review")</f>
        <v>DevOps</v>
      </c>
      <c r="F415" s="2" t="str">
        <f>IFERROR(_xlfn.TEXTAFTER(Raw_Data!E415,"-"),"Review")</f>
        <v>Florida</v>
      </c>
      <c r="G415" s="2" t="str">
        <f>IFERROR(TRIM(Raw_Data!F415), "Review")</f>
        <v>Pending</v>
      </c>
      <c r="H415" s="3" t="str">
        <f>IFERROR(TEXT(Raw_Data!G415, "YYYY-MM-DD"),"Review")</f>
        <v>2024-09-29</v>
      </c>
      <c r="I415" s="4">
        <f>IF(Raw_Data!H415="", "", IFERROR(VALUE(Raw_Data!H415), ""))</f>
        <v>66704.62</v>
      </c>
      <c r="J415" s="2" t="str">
        <f>IF(Raw_Data!I415="", "", IF(ISNUMBER(FIND("@", Raw_Data!I415)), Raw_Data!I415, "Review"))</f>
        <v>bob.smith@example.com</v>
      </c>
      <c r="K415" s="5" t="str">
        <f>IFERROR(TEXT(ABS(Raw_Data!J415), "0"), "Review")</f>
        <v>2474140702</v>
      </c>
      <c r="L415" s="2" t="str">
        <f>IFERROR(TRIM(Raw_Data!K415), "Review")</f>
        <v>Poor</v>
      </c>
      <c r="M415" s="2" t="b">
        <f>IF(Raw_Data!L415="", "",
    IF(ISLOGICAL(Raw_Data!L415), Raw_Data!L415,
        IF(OR(UPPER(Raw_Data!L415)="TRUE", UPPER(Raw_Data!L415)="YES", UPPER(Raw_Data!L415)="1"), TRUE,
            IF(OR(UPPER(Raw_Data!L415)="FALSE", UPPER(Raw_Data!L415)="NO", UPPER(Raw_Data!L415)="0"), FALSE, "Review")
        )
    )
)</f>
        <v>1</v>
      </c>
    </row>
    <row r="416" spans="1:13" x14ac:dyDescent="0.4">
      <c r="A416" s="2" t="str">
        <f>IFERROR(TRIM(Raw_Data!A416), "Review")</f>
        <v>EMP1414</v>
      </c>
      <c r="B416" s="2" t="str">
        <f>IFERROR(TRIM(Raw_Data!B416), "Review")</f>
        <v>Grace</v>
      </c>
      <c r="C416" s="2" t="str">
        <f>IFERROR(TRIM(Raw_Data!C416), "Review")</f>
        <v>Williams</v>
      </c>
      <c r="D416" s="2">
        <f>IF(Raw_Data!D416="", "", IFERROR(VALUE(Raw_Data!D416), ""))</f>
        <v>25</v>
      </c>
      <c r="E416" s="2" t="str">
        <f>IFERROR(LEFT(Raw_Data!E416,SEARCH("-",Raw_Data!E416)-1),"Review")</f>
        <v>Finance</v>
      </c>
      <c r="F416" s="2" t="str">
        <f>IFERROR(_xlfn.TEXTAFTER(Raw_Data!E416,"-"),"Review")</f>
        <v>Illinois</v>
      </c>
      <c r="G416" s="2" t="str">
        <f>IFERROR(TRIM(Raw_Data!F416), "Review")</f>
        <v>Pending</v>
      </c>
      <c r="H416" s="3" t="str">
        <f>IFERROR(TEXT(Raw_Data!G416, "YYYY-MM-DD"),"Review")</f>
        <v>2020-04-22</v>
      </c>
      <c r="I416" s="4">
        <f>IF(Raw_Data!H416="", "", IFERROR(VALUE(Raw_Data!H416), ""))</f>
        <v>71650.3</v>
      </c>
      <c r="J416" s="2" t="str">
        <f>IF(Raw_Data!I416="", "", IF(ISNUMBER(FIND("@", Raw_Data!I416)), Raw_Data!I416, "Review"))</f>
        <v>grace.williams@example.com</v>
      </c>
      <c r="K416" s="5" t="str">
        <f>IFERROR(TEXT(ABS(Raw_Data!J416), "0"), "Review")</f>
        <v>4910740649</v>
      </c>
      <c r="L416" s="2" t="str">
        <f>IFERROR(TRIM(Raw_Data!K416), "Review")</f>
        <v>Poor</v>
      </c>
      <c r="M416" s="2" t="b">
        <f>IF(Raw_Data!L416="", "",
    IF(ISLOGICAL(Raw_Data!L416), Raw_Data!L416,
        IF(OR(UPPER(Raw_Data!L416)="TRUE", UPPER(Raw_Data!L416)="YES", UPPER(Raw_Data!L416)="1"), TRUE,
            IF(OR(UPPER(Raw_Data!L416)="FALSE", UPPER(Raw_Data!L416)="NO", UPPER(Raw_Data!L416)="0"), FALSE, "Review")
        )
    )
)</f>
        <v>1</v>
      </c>
    </row>
    <row r="417" spans="1:13" x14ac:dyDescent="0.4">
      <c r="A417" s="2" t="str">
        <f>IFERROR(TRIM(Raw_Data!A417), "Review")</f>
        <v>EMP1415</v>
      </c>
      <c r="B417" s="2" t="str">
        <f>IFERROR(TRIM(Raw_Data!B417), "Review")</f>
        <v>Charlie</v>
      </c>
      <c r="C417" s="2" t="str">
        <f>IFERROR(TRIM(Raw_Data!C417), "Review")</f>
        <v>Smith</v>
      </c>
      <c r="D417" s="2">
        <f>IF(Raw_Data!D417="", "", IFERROR(VALUE(Raw_Data!D417), ""))</f>
        <v>25</v>
      </c>
      <c r="E417" s="2" t="str">
        <f>IFERROR(LEFT(Raw_Data!E417,SEARCH("-",Raw_Data!E417)-1),"Review")</f>
        <v>Cloud Tech</v>
      </c>
      <c r="F417" s="2" t="str">
        <f>IFERROR(_xlfn.TEXTAFTER(Raw_Data!E417,"-"),"Review")</f>
        <v>Nevada</v>
      </c>
      <c r="G417" s="2" t="str">
        <f>IFERROR(TRIM(Raw_Data!F417), "Review")</f>
        <v>Active</v>
      </c>
      <c r="H417" s="3" t="str">
        <f>IFERROR(TEXT(Raw_Data!G417, "YYYY-MM-DD"),"Review")</f>
        <v>2023-12-07</v>
      </c>
      <c r="I417" s="4">
        <f>IF(Raw_Data!H417="", "", IFERROR(VALUE(Raw_Data!H417), ""))</f>
        <v>50794.54</v>
      </c>
      <c r="J417" s="2" t="str">
        <f>IF(Raw_Data!I417="", "", IF(ISNUMBER(FIND("@", Raw_Data!I417)), Raw_Data!I417, "Review"))</f>
        <v>charlie.smith@example.com</v>
      </c>
      <c r="K417" s="5" t="str">
        <f>IFERROR(TEXT(ABS(Raw_Data!J417), "0"), "Review")</f>
        <v>425488213</v>
      </c>
      <c r="L417" s="2" t="str">
        <f>IFERROR(TRIM(Raw_Data!K417), "Review")</f>
        <v>Good</v>
      </c>
      <c r="M417" s="2" t="b">
        <f>IF(Raw_Data!L417="", "",
    IF(ISLOGICAL(Raw_Data!L417), Raw_Data!L417,
        IF(OR(UPPER(Raw_Data!L417)="TRUE", UPPER(Raw_Data!L417)="YES", UPPER(Raw_Data!L417)="1"), TRUE,
            IF(OR(UPPER(Raw_Data!L417)="FALSE", UPPER(Raw_Data!L417)="NO", UPPER(Raw_Data!L417)="0"), FALSE, "Review")
        )
    )
)</f>
        <v>1</v>
      </c>
    </row>
    <row r="418" spans="1:13" x14ac:dyDescent="0.4">
      <c r="A418" s="2" t="str">
        <f>IFERROR(TRIM(Raw_Data!A418), "Review")</f>
        <v>EMP1416</v>
      </c>
      <c r="B418" s="2" t="str">
        <f>IFERROR(TRIM(Raw_Data!B418), "Review")</f>
        <v>Frank</v>
      </c>
      <c r="C418" s="2" t="str">
        <f>IFERROR(TRIM(Raw_Data!C418), "Review")</f>
        <v>Jones</v>
      </c>
      <c r="D418" s="2" t="str">
        <f>IF(Raw_Data!D418="", "", IFERROR(VALUE(Raw_Data!D418), ""))</f>
        <v/>
      </c>
      <c r="E418" s="2" t="str">
        <f>IFERROR(LEFT(Raw_Data!E418,SEARCH("-",Raw_Data!E418)-1),"Review")</f>
        <v>Sales</v>
      </c>
      <c r="F418" s="2" t="str">
        <f>IFERROR(_xlfn.TEXTAFTER(Raw_Data!E418,"-"),"Review")</f>
        <v>Nevada</v>
      </c>
      <c r="G418" s="2" t="str">
        <f>IFERROR(TRIM(Raw_Data!F418), "Review")</f>
        <v>Inactive</v>
      </c>
      <c r="H418" s="3" t="str">
        <f>IFERROR(TEXT(Raw_Data!G418, "YYYY-MM-DD"),"Review")</f>
        <v>2020-12-07</v>
      </c>
      <c r="I418" s="4">
        <f>IF(Raw_Data!H418="", "", IFERROR(VALUE(Raw_Data!H418), ""))</f>
        <v>76030.86</v>
      </c>
      <c r="J418" s="2" t="str">
        <f>IF(Raw_Data!I418="", "", IF(ISNUMBER(FIND("@", Raw_Data!I418)), Raw_Data!I418, "Review"))</f>
        <v>frank.jones@example.com</v>
      </c>
      <c r="K418" s="5" t="str">
        <f>IFERROR(TEXT(ABS(Raw_Data!J418), "0"), "Review")</f>
        <v>2369143074</v>
      </c>
      <c r="L418" s="2" t="str">
        <f>IFERROR(TRIM(Raw_Data!K418), "Review")</f>
        <v>Good</v>
      </c>
      <c r="M418" s="2" t="b">
        <f>IF(Raw_Data!L418="", "",
    IF(ISLOGICAL(Raw_Data!L418), Raw_Data!L418,
        IF(OR(UPPER(Raw_Data!L418)="TRUE", UPPER(Raw_Data!L418)="YES", UPPER(Raw_Data!L418)="1"), TRUE,
            IF(OR(UPPER(Raw_Data!L418)="FALSE", UPPER(Raw_Data!L418)="NO", UPPER(Raw_Data!L418)="0"), FALSE, "Review")
        )
    )
)</f>
        <v>1</v>
      </c>
    </row>
    <row r="419" spans="1:13" x14ac:dyDescent="0.4">
      <c r="A419" s="2" t="str">
        <f>IFERROR(TRIM(Raw_Data!A419), "Review")</f>
        <v>EMP1417</v>
      </c>
      <c r="B419" s="2" t="str">
        <f>IFERROR(TRIM(Raw_Data!B419), "Review")</f>
        <v>Eva</v>
      </c>
      <c r="C419" s="2" t="str">
        <f>IFERROR(TRIM(Raw_Data!C419), "Review")</f>
        <v>Johnson</v>
      </c>
      <c r="D419" s="2">
        <f>IF(Raw_Data!D419="", "", IFERROR(VALUE(Raw_Data!D419), ""))</f>
        <v>25</v>
      </c>
      <c r="E419" s="2" t="str">
        <f>IFERROR(LEFT(Raw_Data!E419,SEARCH("-",Raw_Data!E419)-1),"Review")</f>
        <v>Cloud Tech</v>
      </c>
      <c r="F419" s="2" t="str">
        <f>IFERROR(_xlfn.TEXTAFTER(Raw_Data!E419,"-"),"Review")</f>
        <v>California</v>
      </c>
      <c r="G419" s="2" t="str">
        <f>IFERROR(TRIM(Raw_Data!F419), "Review")</f>
        <v>Inactive</v>
      </c>
      <c r="H419" s="3" t="str">
        <f>IFERROR(TEXT(Raw_Data!G419, "YYYY-MM-DD"),"Review")</f>
        <v>2021-07-11</v>
      </c>
      <c r="I419" s="4">
        <f>IF(Raw_Data!H419="", "", IFERROR(VALUE(Raw_Data!H419), ""))</f>
        <v>86669.79</v>
      </c>
      <c r="J419" s="2" t="str">
        <f>IF(Raw_Data!I419="", "", IF(ISNUMBER(FIND("@", Raw_Data!I419)), Raw_Data!I419, "Review"))</f>
        <v>eva.johnson@example.com</v>
      </c>
      <c r="K419" s="5" t="str">
        <f>IFERROR(TEXT(ABS(Raw_Data!J419), "0"), "Review")</f>
        <v>3666144941</v>
      </c>
      <c r="L419" s="2" t="str">
        <f>IFERROR(TRIM(Raw_Data!K419), "Review")</f>
        <v>Excellent</v>
      </c>
      <c r="M419" s="2" t="b">
        <f>IF(Raw_Data!L419="", "",
    IF(ISLOGICAL(Raw_Data!L419), Raw_Data!L419,
        IF(OR(UPPER(Raw_Data!L419)="TRUE", UPPER(Raw_Data!L419)="YES", UPPER(Raw_Data!L419)="1"), TRUE,
            IF(OR(UPPER(Raw_Data!L419)="FALSE", UPPER(Raw_Data!L419)="NO", UPPER(Raw_Data!L419)="0"), FALSE, "Review")
        )
    )
)</f>
        <v>1</v>
      </c>
    </row>
    <row r="420" spans="1:13" x14ac:dyDescent="0.4">
      <c r="A420" s="2" t="str">
        <f>IFERROR(TRIM(Raw_Data!A420), "Review")</f>
        <v>EMP1418</v>
      </c>
      <c r="B420" s="2" t="str">
        <f>IFERROR(TRIM(Raw_Data!B420), "Review")</f>
        <v>Bob</v>
      </c>
      <c r="C420" s="2" t="str">
        <f>IFERROR(TRIM(Raw_Data!C420), "Review")</f>
        <v>Garcia</v>
      </c>
      <c r="D420" s="2">
        <f>IF(Raw_Data!D420="", "", IFERROR(VALUE(Raw_Data!D420), ""))</f>
        <v>40</v>
      </c>
      <c r="E420" s="2" t="str">
        <f>IFERROR(LEFT(Raw_Data!E420,SEARCH("-",Raw_Data!E420)-1),"Review")</f>
        <v>Finance</v>
      </c>
      <c r="F420" s="2" t="str">
        <f>IFERROR(_xlfn.TEXTAFTER(Raw_Data!E420,"-"),"Review")</f>
        <v>Illinois</v>
      </c>
      <c r="G420" s="2" t="str">
        <f>IFERROR(TRIM(Raw_Data!F420), "Review")</f>
        <v>Inactive</v>
      </c>
      <c r="H420" s="3" t="str">
        <f>IFERROR(TEXT(Raw_Data!G420, "YYYY-MM-DD"),"Review")</f>
        <v>2020-04-23</v>
      </c>
      <c r="I420" s="4">
        <f>IF(Raw_Data!H420="", "", IFERROR(VALUE(Raw_Data!H420), ""))</f>
        <v>84972.7</v>
      </c>
      <c r="J420" s="2" t="str">
        <f>IF(Raw_Data!I420="", "", IF(ISNUMBER(FIND("@", Raw_Data!I420)), Raw_Data!I420, "Review"))</f>
        <v>bob.garcia@example.com</v>
      </c>
      <c r="K420" s="5" t="str">
        <f>IFERROR(TEXT(ABS(Raw_Data!J420), "0"), "Review")</f>
        <v>9659234267</v>
      </c>
      <c r="L420" s="2" t="str">
        <f>IFERROR(TRIM(Raw_Data!K420), "Review")</f>
        <v>Poor</v>
      </c>
      <c r="M420" s="2" t="b">
        <f>IF(Raw_Data!L420="", "",
    IF(ISLOGICAL(Raw_Data!L420), Raw_Data!L420,
        IF(OR(UPPER(Raw_Data!L420)="TRUE", UPPER(Raw_Data!L420)="YES", UPPER(Raw_Data!L420)="1"), TRUE,
            IF(OR(UPPER(Raw_Data!L420)="FALSE", UPPER(Raw_Data!L420)="NO", UPPER(Raw_Data!L420)="0"), FALSE, "Review")
        )
    )
)</f>
        <v>1</v>
      </c>
    </row>
    <row r="421" spans="1:13" x14ac:dyDescent="0.4">
      <c r="A421" s="2" t="str">
        <f>IFERROR(TRIM(Raw_Data!A421), "Review")</f>
        <v>EMP1419</v>
      </c>
      <c r="B421" s="2" t="str">
        <f>IFERROR(TRIM(Raw_Data!B421), "Review")</f>
        <v>Frank</v>
      </c>
      <c r="C421" s="2" t="str">
        <f>IFERROR(TRIM(Raw_Data!C421), "Review")</f>
        <v>Miller</v>
      </c>
      <c r="D421" s="2">
        <f>IF(Raw_Data!D421="", "", IFERROR(VALUE(Raw_Data!D421), ""))</f>
        <v>30</v>
      </c>
      <c r="E421" s="2" t="str">
        <f>IFERROR(LEFT(Raw_Data!E421,SEARCH("-",Raw_Data!E421)-1),"Review")</f>
        <v>HR</v>
      </c>
      <c r="F421" s="2" t="str">
        <f>IFERROR(_xlfn.TEXTAFTER(Raw_Data!E421,"-"),"Review")</f>
        <v>Texas</v>
      </c>
      <c r="G421" s="2" t="str">
        <f>IFERROR(TRIM(Raw_Data!F421), "Review")</f>
        <v>Pending</v>
      </c>
      <c r="H421" s="3" t="str">
        <f>IFERROR(TEXT(Raw_Data!G421, "YYYY-MM-DD"),"Review")</f>
        <v>2023-10-12</v>
      </c>
      <c r="I421" s="4">
        <f>IF(Raw_Data!H421="", "", IFERROR(VALUE(Raw_Data!H421), ""))</f>
        <v>100594.49</v>
      </c>
      <c r="J421" s="2" t="str">
        <f>IF(Raw_Data!I421="", "", IF(ISNUMBER(FIND("@", Raw_Data!I421)), Raw_Data!I421, "Review"))</f>
        <v>frank.miller@example.com</v>
      </c>
      <c r="K421" s="5" t="str">
        <f>IFERROR(TEXT(ABS(Raw_Data!J421), "0"), "Review")</f>
        <v>3441497825</v>
      </c>
      <c r="L421" s="2" t="str">
        <f>IFERROR(TRIM(Raw_Data!K421), "Review")</f>
        <v>Average</v>
      </c>
      <c r="M421" s="2" t="b">
        <f>IF(Raw_Data!L421="", "",
    IF(ISLOGICAL(Raw_Data!L421), Raw_Data!L421,
        IF(OR(UPPER(Raw_Data!L421)="TRUE", UPPER(Raw_Data!L421)="YES", UPPER(Raw_Data!L421)="1"), TRUE,
            IF(OR(UPPER(Raw_Data!L421)="FALSE", UPPER(Raw_Data!L421)="NO", UPPER(Raw_Data!L421)="0"), FALSE, "Review")
        )
    )
)</f>
        <v>0</v>
      </c>
    </row>
    <row r="422" spans="1:13" x14ac:dyDescent="0.4">
      <c r="A422" s="2" t="str">
        <f>IFERROR(TRIM(Raw_Data!A422), "Review")</f>
        <v>EMP1420</v>
      </c>
      <c r="B422" s="2" t="str">
        <f>IFERROR(TRIM(Raw_Data!B422), "Review")</f>
        <v>Alice</v>
      </c>
      <c r="C422" s="2" t="str">
        <f>IFERROR(TRIM(Raw_Data!C422), "Review")</f>
        <v>Johnson</v>
      </c>
      <c r="D422" s="2">
        <f>IF(Raw_Data!D422="", "", IFERROR(VALUE(Raw_Data!D422), ""))</f>
        <v>25</v>
      </c>
      <c r="E422" s="2" t="str">
        <f>IFERROR(LEFT(Raw_Data!E422,SEARCH("-",Raw_Data!E422)-1),"Review")</f>
        <v>Cloud Tech</v>
      </c>
      <c r="F422" s="2" t="str">
        <f>IFERROR(_xlfn.TEXTAFTER(Raw_Data!E422,"-"),"Review")</f>
        <v>New York</v>
      </c>
      <c r="G422" s="2" t="str">
        <f>IFERROR(TRIM(Raw_Data!F422), "Review")</f>
        <v>Active</v>
      </c>
      <c r="H422" s="3" t="str">
        <f>IFERROR(TEXT(Raw_Data!G422, "YYYY-MM-DD"),"Review")</f>
        <v>2022-08-24</v>
      </c>
      <c r="I422" s="4">
        <f>IF(Raw_Data!H422="", "", IFERROR(VALUE(Raw_Data!H422), ""))</f>
        <v>75478.350000000006</v>
      </c>
      <c r="J422" s="2" t="str">
        <f>IF(Raw_Data!I422="", "", IF(ISNUMBER(FIND("@", Raw_Data!I422)), Raw_Data!I422, "Review"))</f>
        <v>alice.johnson@example.com</v>
      </c>
      <c r="K422" s="5" t="str">
        <f>IFERROR(TEXT(ABS(Raw_Data!J422), "0"), "Review")</f>
        <v>6128758574</v>
      </c>
      <c r="L422" s="2" t="str">
        <f>IFERROR(TRIM(Raw_Data!K422), "Review")</f>
        <v>Excellent</v>
      </c>
      <c r="M422" s="2" t="b">
        <f>IF(Raw_Data!L422="", "",
    IF(ISLOGICAL(Raw_Data!L422), Raw_Data!L422,
        IF(OR(UPPER(Raw_Data!L422)="TRUE", UPPER(Raw_Data!L422)="YES", UPPER(Raw_Data!L422)="1"), TRUE,
            IF(OR(UPPER(Raw_Data!L422)="FALSE", UPPER(Raw_Data!L422)="NO", UPPER(Raw_Data!L422)="0"), FALSE, "Review")
        )
    )
)</f>
        <v>0</v>
      </c>
    </row>
    <row r="423" spans="1:13" x14ac:dyDescent="0.4">
      <c r="A423" s="2" t="str">
        <f>IFERROR(TRIM(Raw_Data!A423), "Review")</f>
        <v>EMP1421</v>
      </c>
      <c r="B423" s="2" t="str">
        <f>IFERROR(TRIM(Raw_Data!B423), "Review")</f>
        <v>Charlie</v>
      </c>
      <c r="C423" s="2" t="str">
        <f>IFERROR(TRIM(Raw_Data!C423), "Review")</f>
        <v>Johnson</v>
      </c>
      <c r="D423" s="2">
        <f>IF(Raw_Data!D423="", "", IFERROR(VALUE(Raw_Data!D423), ""))</f>
        <v>25</v>
      </c>
      <c r="E423" s="2" t="str">
        <f>IFERROR(LEFT(Raw_Data!E423,SEARCH("-",Raw_Data!E423)-1),"Review")</f>
        <v>Sales</v>
      </c>
      <c r="F423" s="2" t="str">
        <f>IFERROR(_xlfn.TEXTAFTER(Raw_Data!E423,"-"),"Review")</f>
        <v>Nevada</v>
      </c>
      <c r="G423" s="2" t="str">
        <f>IFERROR(TRIM(Raw_Data!F423), "Review")</f>
        <v>Pending</v>
      </c>
      <c r="H423" s="3" t="str">
        <f>IFERROR(TEXT(Raw_Data!G423, "YYYY-MM-DD"),"Review")</f>
        <v>2023-09-04</v>
      </c>
      <c r="I423" s="4">
        <f>IF(Raw_Data!H423="", "", IFERROR(VALUE(Raw_Data!H423), ""))</f>
        <v>79355.850000000006</v>
      </c>
      <c r="J423" s="2" t="str">
        <f>IF(Raw_Data!I423="", "", IF(ISNUMBER(FIND("@", Raw_Data!I423)), Raw_Data!I423, "Review"))</f>
        <v>charlie.johnson@example.com</v>
      </c>
      <c r="K423" s="5" t="str">
        <f>IFERROR(TEXT(ABS(Raw_Data!J423), "0"), "Review")</f>
        <v>6766708060</v>
      </c>
      <c r="L423" s="2" t="str">
        <f>IFERROR(TRIM(Raw_Data!K423), "Review")</f>
        <v>Good</v>
      </c>
      <c r="M423" s="2" t="b">
        <f>IF(Raw_Data!L423="", "",
    IF(ISLOGICAL(Raw_Data!L423), Raw_Data!L423,
        IF(OR(UPPER(Raw_Data!L423)="TRUE", UPPER(Raw_Data!L423)="YES", UPPER(Raw_Data!L423)="1"), TRUE,
            IF(OR(UPPER(Raw_Data!L423)="FALSE", UPPER(Raw_Data!L423)="NO", UPPER(Raw_Data!L423)="0"), FALSE, "Review")
        )
    )
)</f>
        <v>0</v>
      </c>
    </row>
    <row r="424" spans="1:13" x14ac:dyDescent="0.4">
      <c r="A424" s="2" t="str">
        <f>IFERROR(TRIM(Raw_Data!A424), "Review")</f>
        <v>EMP1422</v>
      </c>
      <c r="B424" s="2" t="str">
        <f>IFERROR(TRIM(Raw_Data!B424), "Review")</f>
        <v>Grace</v>
      </c>
      <c r="C424" s="2" t="str">
        <f>IFERROR(TRIM(Raw_Data!C424), "Review")</f>
        <v>Miller</v>
      </c>
      <c r="D424" s="2">
        <f>IF(Raw_Data!D424="", "", IFERROR(VALUE(Raw_Data!D424), ""))</f>
        <v>35</v>
      </c>
      <c r="E424" s="2" t="str">
        <f>IFERROR(LEFT(Raw_Data!E424,SEARCH("-",Raw_Data!E424)-1),"Review")</f>
        <v>HR</v>
      </c>
      <c r="F424" s="2" t="str">
        <f>IFERROR(_xlfn.TEXTAFTER(Raw_Data!E424,"-"),"Review")</f>
        <v>Texas</v>
      </c>
      <c r="G424" s="2" t="str">
        <f>IFERROR(TRIM(Raw_Data!F424), "Review")</f>
        <v>Pending</v>
      </c>
      <c r="H424" s="3" t="str">
        <f>IFERROR(TEXT(Raw_Data!G424, "YYYY-MM-DD"),"Review")</f>
        <v>2022-02-02</v>
      </c>
      <c r="I424" s="4">
        <f>IF(Raw_Data!H424="", "", IFERROR(VALUE(Raw_Data!H424), ""))</f>
        <v>58358.07</v>
      </c>
      <c r="J424" s="2" t="str">
        <f>IF(Raw_Data!I424="", "", IF(ISNUMBER(FIND("@", Raw_Data!I424)), Raw_Data!I424, "Review"))</f>
        <v>grace.miller@example.com</v>
      </c>
      <c r="K424" s="5" t="str">
        <f>IFERROR(TEXT(ABS(Raw_Data!J424), "0"), "Review")</f>
        <v>2943985297</v>
      </c>
      <c r="L424" s="2" t="str">
        <f>IFERROR(TRIM(Raw_Data!K424), "Review")</f>
        <v>Poor</v>
      </c>
      <c r="M424" s="2" t="b">
        <f>IF(Raw_Data!L424="", "",
    IF(ISLOGICAL(Raw_Data!L424), Raw_Data!L424,
        IF(OR(UPPER(Raw_Data!L424)="TRUE", UPPER(Raw_Data!L424)="YES", UPPER(Raw_Data!L424)="1"), TRUE,
            IF(OR(UPPER(Raw_Data!L424)="FALSE", UPPER(Raw_Data!L424)="NO", UPPER(Raw_Data!L424)="0"), FALSE, "Review")
        )
    )
)</f>
        <v>1</v>
      </c>
    </row>
    <row r="425" spans="1:13" x14ac:dyDescent="0.4">
      <c r="A425" s="2" t="str">
        <f>IFERROR(TRIM(Raw_Data!A425), "Review")</f>
        <v>EMP1423</v>
      </c>
      <c r="B425" s="2" t="str">
        <f>IFERROR(TRIM(Raw_Data!B425), "Review")</f>
        <v>Alice</v>
      </c>
      <c r="C425" s="2" t="str">
        <f>IFERROR(TRIM(Raw_Data!C425), "Review")</f>
        <v>Williams</v>
      </c>
      <c r="D425" s="2">
        <f>IF(Raw_Data!D425="", "", IFERROR(VALUE(Raw_Data!D425), ""))</f>
        <v>30</v>
      </c>
      <c r="E425" s="2" t="str">
        <f>IFERROR(LEFT(Raw_Data!E425,SEARCH("-",Raw_Data!E425)-1),"Review")</f>
        <v>Admin</v>
      </c>
      <c r="F425" s="2" t="str">
        <f>IFERROR(_xlfn.TEXTAFTER(Raw_Data!E425,"-"),"Review")</f>
        <v>Illinois</v>
      </c>
      <c r="G425" s="2" t="str">
        <f>IFERROR(TRIM(Raw_Data!F425), "Review")</f>
        <v>Active</v>
      </c>
      <c r="H425" s="3" t="str">
        <f>IFERROR(TEXT(Raw_Data!G425, "YYYY-MM-DD"),"Review")</f>
        <v>2022-04-01</v>
      </c>
      <c r="I425" s="4">
        <f>IF(Raw_Data!H425="", "", IFERROR(VALUE(Raw_Data!H425), ""))</f>
        <v>54824.85</v>
      </c>
      <c r="J425" s="2" t="str">
        <f>IF(Raw_Data!I425="", "", IF(ISNUMBER(FIND("@", Raw_Data!I425)), Raw_Data!I425, "Review"))</f>
        <v>alice.williams@example.com</v>
      </c>
      <c r="K425" s="5" t="str">
        <f>IFERROR(TEXT(ABS(Raw_Data!J425), "0"), "Review")</f>
        <v>9406260786</v>
      </c>
      <c r="L425" s="2" t="str">
        <f>IFERROR(TRIM(Raw_Data!K425), "Review")</f>
        <v>Average</v>
      </c>
      <c r="M425" s="2" t="b">
        <f>IF(Raw_Data!L425="", "",
    IF(ISLOGICAL(Raw_Data!L425), Raw_Data!L425,
        IF(OR(UPPER(Raw_Data!L425)="TRUE", UPPER(Raw_Data!L425)="YES", UPPER(Raw_Data!L425)="1"), TRUE,
            IF(OR(UPPER(Raw_Data!L425)="FALSE", UPPER(Raw_Data!L425)="NO", UPPER(Raw_Data!L425)="0"), FALSE, "Review")
        )
    )
)</f>
        <v>0</v>
      </c>
    </row>
    <row r="426" spans="1:13" x14ac:dyDescent="0.4">
      <c r="A426" s="2" t="str">
        <f>IFERROR(TRIM(Raw_Data!A426), "Review")</f>
        <v>EMP1424</v>
      </c>
      <c r="B426" s="2" t="str">
        <f>IFERROR(TRIM(Raw_Data!B426), "Review")</f>
        <v>Eva</v>
      </c>
      <c r="C426" s="2" t="str">
        <f>IFERROR(TRIM(Raw_Data!C426), "Review")</f>
        <v>Garcia</v>
      </c>
      <c r="D426" s="2">
        <f>IF(Raw_Data!D426="", "", IFERROR(VALUE(Raw_Data!D426), ""))</f>
        <v>35</v>
      </c>
      <c r="E426" s="2" t="str">
        <f>IFERROR(LEFT(Raw_Data!E426,SEARCH("-",Raw_Data!E426)-1),"Review")</f>
        <v>HR</v>
      </c>
      <c r="F426" s="2" t="str">
        <f>IFERROR(_xlfn.TEXTAFTER(Raw_Data!E426,"-"),"Review")</f>
        <v>Texas</v>
      </c>
      <c r="G426" s="2" t="str">
        <f>IFERROR(TRIM(Raw_Data!F426), "Review")</f>
        <v>Pending</v>
      </c>
      <c r="H426" s="3" t="str">
        <f>IFERROR(TEXT(Raw_Data!G426, "YYYY-MM-DD"),"Review")</f>
        <v>2022-07-24</v>
      </c>
      <c r="I426" s="4">
        <f>IF(Raw_Data!H426="", "", IFERROR(VALUE(Raw_Data!H426), ""))</f>
        <v>50557.84</v>
      </c>
      <c r="J426" s="2" t="str">
        <f>IF(Raw_Data!I426="", "", IF(ISNUMBER(FIND("@", Raw_Data!I426)), Raw_Data!I426, "Review"))</f>
        <v>eva.garcia@example.com</v>
      </c>
      <c r="K426" s="5" t="str">
        <f>IFERROR(TEXT(ABS(Raw_Data!J426), "0"), "Review")</f>
        <v>104159148</v>
      </c>
      <c r="L426" s="2" t="str">
        <f>IFERROR(TRIM(Raw_Data!K426), "Review")</f>
        <v>Average</v>
      </c>
      <c r="M426" s="2" t="b">
        <f>IF(Raw_Data!L426="", "",
    IF(ISLOGICAL(Raw_Data!L426), Raw_Data!L426,
        IF(OR(UPPER(Raw_Data!L426)="TRUE", UPPER(Raw_Data!L426)="YES", UPPER(Raw_Data!L426)="1"), TRUE,
            IF(OR(UPPER(Raw_Data!L426)="FALSE", UPPER(Raw_Data!L426)="NO", UPPER(Raw_Data!L426)="0"), FALSE, "Review")
        )
    )
)</f>
        <v>1</v>
      </c>
    </row>
    <row r="427" spans="1:13" x14ac:dyDescent="0.4">
      <c r="A427" s="2" t="str">
        <f>IFERROR(TRIM(Raw_Data!A427), "Review")</f>
        <v>EMP1425</v>
      </c>
      <c r="B427" s="2" t="str">
        <f>IFERROR(TRIM(Raw_Data!B427), "Review")</f>
        <v>Eva</v>
      </c>
      <c r="C427" s="2" t="str">
        <f>IFERROR(TRIM(Raw_Data!C427), "Review")</f>
        <v>Jones</v>
      </c>
      <c r="D427" s="2" t="str">
        <f>IF(Raw_Data!D427="", "", IFERROR(VALUE(Raw_Data!D427), ""))</f>
        <v/>
      </c>
      <c r="E427" s="2" t="str">
        <f>IFERROR(LEFT(Raw_Data!E427,SEARCH("-",Raw_Data!E427)-1),"Review")</f>
        <v>Admin</v>
      </c>
      <c r="F427" s="2" t="str">
        <f>IFERROR(_xlfn.TEXTAFTER(Raw_Data!E427,"-"),"Review")</f>
        <v>Florida</v>
      </c>
      <c r="G427" s="2" t="str">
        <f>IFERROR(TRIM(Raw_Data!F427), "Review")</f>
        <v>Inactive</v>
      </c>
      <c r="H427" s="3" t="str">
        <f>IFERROR(TEXT(Raw_Data!G427, "YYYY-MM-DD"),"Review")</f>
        <v>2023-04-26</v>
      </c>
      <c r="I427" s="4">
        <f>IF(Raw_Data!H427="", "", IFERROR(VALUE(Raw_Data!H427), ""))</f>
        <v>118030.04</v>
      </c>
      <c r="J427" s="2" t="str">
        <f>IF(Raw_Data!I427="", "", IF(ISNUMBER(FIND("@", Raw_Data!I427)), Raw_Data!I427, "Review"))</f>
        <v>eva.jones@example.com</v>
      </c>
      <c r="K427" s="5" t="str">
        <f>IFERROR(TEXT(ABS(Raw_Data!J427), "0"), "Review")</f>
        <v>7501980381</v>
      </c>
      <c r="L427" s="2" t="str">
        <f>IFERROR(TRIM(Raw_Data!K427), "Review")</f>
        <v>Excellent</v>
      </c>
      <c r="M427" s="2" t="b">
        <f>IF(Raw_Data!L427="", "",
    IF(ISLOGICAL(Raw_Data!L427), Raw_Data!L427,
        IF(OR(UPPER(Raw_Data!L427)="TRUE", UPPER(Raw_Data!L427)="YES", UPPER(Raw_Data!L427)="1"), TRUE,
            IF(OR(UPPER(Raw_Data!L427)="FALSE", UPPER(Raw_Data!L427)="NO", UPPER(Raw_Data!L427)="0"), FALSE, "Review")
        )
    )
)</f>
        <v>1</v>
      </c>
    </row>
    <row r="428" spans="1:13" x14ac:dyDescent="0.4">
      <c r="A428" s="2" t="str">
        <f>IFERROR(TRIM(Raw_Data!A428), "Review")</f>
        <v>EMP1426</v>
      </c>
      <c r="B428" s="2" t="str">
        <f>IFERROR(TRIM(Raw_Data!B428), "Review")</f>
        <v>David</v>
      </c>
      <c r="C428" s="2" t="str">
        <f>IFERROR(TRIM(Raw_Data!C428), "Review")</f>
        <v>Smith</v>
      </c>
      <c r="D428" s="2" t="str">
        <f>IF(Raw_Data!D428="", "", IFERROR(VALUE(Raw_Data!D428), ""))</f>
        <v/>
      </c>
      <c r="E428" s="2" t="str">
        <f>IFERROR(LEFT(Raw_Data!E428,SEARCH("-",Raw_Data!E428)-1),"Review")</f>
        <v>Admin</v>
      </c>
      <c r="F428" s="2" t="str">
        <f>IFERROR(_xlfn.TEXTAFTER(Raw_Data!E428,"-"),"Review")</f>
        <v>New York</v>
      </c>
      <c r="G428" s="2" t="str">
        <f>IFERROR(TRIM(Raw_Data!F428), "Review")</f>
        <v>Active</v>
      </c>
      <c r="H428" s="3" t="str">
        <f>IFERROR(TEXT(Raw_Data!G428, "YYYY-MM-DD"),"Review")</f>
        <v>2022-04-19</v>
      </c>
      <c r="I428" s="4">
        <f>IF(Raw_Data!H428="", "", IFERROR(VALUE(Raw_Data!H428), ""))</f>
        <v>51673.72</v>
      </c>
      <c r="J428" s="2" t="str">
        <f>IF(Raw_Data!I428="", "", IF(ISNUMBER(FIND("@", Raw_Data!I428)), Raw_Data!I428, "Review"))</f>
        <v>david.smith@example.com</v>
      </c>
      <c r="K428" s="5" t="str">
        <f>IFERROR(TEXT(ABS(Raw_Data!J428), "0"), "Review")</f>
        <v>8723244078</v>
      </c>
      <c r="L428" s="2" t="str">
        <f>IFERROR(TRIM(Raw_Data!K428), "Review")</f>
        <v>Poor</v>
      </c>
      <c r="M428" s="2" t="b">
        <f>IF(Raw_Data!L428="", "",
    IF(ISLOGICAL(Raw_Data!L428), Raw_Data!L428,
        IF(OR(UPPER(Raw_Data!L428)="TRUE", UPPER(Raw_Data!L428)="YES", UPPER(Raw_Data!L428)="1"), TRUE,
            IF(OR(UPPER(Raw_Data!L428)="FALSE", UPPER(Raw_Data!L428)="NO", UPPER(Raw_Data!L428)="0"), FALSE, "Review")
        )
    )
)</f>
        <v>0</v>
      </c>
    </row>
    <row r="429" spans="1:13" x14ac:dyDescent="0.4">
      <c r="A429" s="2" t="str">
        <f>IFERROR(TRIM(Raw_Data!A429), "Review")</f>
        <v>EMP1427</v>
      </c>
      <c r="B429" s="2" t="str">
        <f>IFERROR(TRIM(Raw_Data!B429), "Review")</f>
        <v>Alice</v>
      </c>
      <c r="C429" s="2" t="str">
        <f>IFERROR(TRIM(Raw_Data!C429), "Review")</f>
        <v>Brown</v>
      </c>
      <c r="D429" s="2">
        <f>IF(Raw_Data!D429="", "", IFERROR(VALUE(Raw_Data!D429), ""))</f>
        <v>35</v>
      </c>
      <c r="E429" s="2" t="str">
        <f>IFERROR(LEFT(Raw_Data!E429,SEARCH("-",Raw_Data!E429)-1),"Review")</f>
        <v>Cloud Tech</v>
      </c>
      <c r="F429" s="2" t="str">
        <f>IFERROR(_xlfn.TEXTAFTER(Raw_Data!E429,"-"),"Review")</f>
        <v>Nevada</v>
      </c>
      <c r="G429" s="2" t="str">
        <f>IFERROR(TRIM(Raw_Data!F429), "Review")</f>
        <v>Inactive</v>
      </c>
      <c r="H429" s="3" t="str">
        <f>IFERROR(TEXT(Raw_Data!G429, "YYYY-MM-DD"),"Review")</f>
        <v>2024-10-04</v>
      </c>
      <c r="I429" s="4">
        <f>IF(Raw_Data!H429="", "", IFERROR(VALUE(Raw_Data!H429), ""))</f>
        <v>101665.79</v>
      </c>
      <c r="J429" s="2" t="str">
        <f>IF(Raw_Data!I429="", "", IF(ISNUMBER(FIND("@", Raw_Data!I429)), Raw_Data!I429, "Review"))</f>
        <v>alice.brown@example.com</v>
      </c>
      <c r="K429" s="5" t="str">
        <f>IFERROR(TEXT(ABS(Raw_Data!J429), "0"), "Review")</f>
        <v>3110291812</v>
      </c>
      <c r="L429" s="2" t="str">
        <f>IFERROR(TRIM(Raw_Data!K429), "Review")</f>
        <v>Poor</v>
      </c>
      <c r="M429" s="2" t="b">
        <f>IF(Raw_Data!L429="", "",
    IF(ISLOGICAL(Raw_Data!L429), Raw_Data!L429,
        IF(OR(UPPER(Raw_Data!L429)="TRUE", UPPER(Raw_Data!L429)="YES", UPPER(Raw_Data!L429)="1"), TRUE,
            IF(OR(UPPER(Raw_Data!L429)="FALSE", UPPER(Raw_Data!L429)="NO", UPPER(Raw_Data!L429)="0"), FALSE, "Review")
        )
    )
)</f>
        <v>1</v>
      </c>
    </row>
    <row r="430" spans="1:13" x14ac:dyDescent="0.4">
      <c r="A430" s="2" t="str">
        <f>IFERROR(TRIM(Raw_Data!A430), "Review")</f>
        <v>EMP1428</v>
      </c>
      <c r="B430" s="2" t="str">
        <f>IFERROR(TRIM(Raw_Data!B430), "Review")</f>
        <v>David</v>
      </c>
      <c r="C430" s="2" t="str">
        <f>IFERROR(TRIM(Raw_Data!C430), "Review")</f>
        <v>Smith</v>
      </c>
      <c r="D430" s="2" t="str">
        <f>IF(Raw_Data!D430="", "", IFERROR(VALUE(Raw_Data!D430), ""))</f>
        <v/>
      </c>
      <c r="E430" s="2" t="str">
        <f>IFERROR(LEFT(Raw_Data!E430,SEARCH("-",Raw_Data!E430)-1),"Review")</f>
        <v>Admin</v>
      </c>
      <c r="F430" s="2" t="str">
        <f>IFERROR(_xlfn.TEXTAFTER(Raw_Data!E430,"-"),"Review")</f>
        <v>Florida</v>
      </c>
      <c r="G430" s="2" t="str">
        <f>IFERROR(TRIM(Raw_Data!F430), "Review")</f>
        <v>Inactive</v>
      </c>
      <c r="H430" s="3" t="str">
        <f>IFERROR(TEXT(Raw_Data!G430, "YYYY-MM-DD"),"Review")</f>
        <v>2020-05-02</v>
      </c>
      <c r="I430" s="4">
        <f>IF(Raw_Data!H430="", "", IFERROR(VALUE(Raw_Data!H430), ""))</f>
        <v>118079.15</v>
      </c>
      <c r="J430" s="2" t="str">
        <f>IF(Raw_Data!I430="", "", IF(ISNUMBER(FIND("@", Raw_Data!I430)), Raw_Data!I430, "Review"))</f>
        <v>david.smith@example.com</v>
      </c>
      <c r="K430" s="5" t="str">
        <f>IFERROR(TEXT(ABS(Raw_Data!J430), "0"), "Review")</f>
        <v>3170876013</v>
      </c>
      <c r="L430" s="2" t="str">
        <f>IFERROR(TRIM(Raw_Data!K430), "Review")</f>
        <v>Good</v>
      </c>
      <c r="M430" s="2" t="b">
        <f>IF(Raw_Data!L430="", "",
    IF(ISLOGICAL(Raw_Data!L430), Raw_Data!L430,
        IF(OR(UPPER(Raw_Data!L430)="TRUE", UPPER(Raw_Data!L430)="YES", UPPER(Raw_Data!L430)="1"), TRUE,
            IF(OR(UPPER(Raw_Data!L430)="FALSE", UPPER(Raw_Data!L430)="NO", UPPER(Raw_Data!L430)="0"), FALSE, "Review")
        )
    )
)</f>
        <v>1</v>
      </c>
    </row>
    <row r="431" spans="1:13" x14ac:dyDescent="0.4">
      <c r="A431" s="2" t="str">
        <f>IFERROR(TRIM(Raw_Data!A431), "Review")</f>
        <v>EMP1429</v>
      </c>
      <c r="B431" s="2" t="str">
        <f>IFERROR(TRIM(Raw_Data!B431), "Review")</f>
        <v>Eva</v>
      </c>
      <c r="C431" s="2" t="str">
        <f>IFERROR(TRIM(Raw_Data!C431), "Review")</f>
        <v>Brown</v>
      </c>
      <c r="D431" s="2">
        <f>IF(Raw_Data!D431="", "", IFERROR(VALUE(Raw_Data!D431), ""))</f>
        <v>25</v>
      </c>
      <c r="E431" s="2" t="str">
        <f>IFERROR(LEFT(Raw_Data!E431,SEARCH("-",Raw_Data!E431)-1),"Review")</f>
        <v>Cloud Tech</v>
      </c>
      <c r="F431" s="2" t="str">
        <f>IFERROR(_xlfn.TEXTAFTER(Raw_Data!E431,"-"),"Review")</f>
        <v>New York</v>
      </c>
      <c r="G431" s="2" t="str">
        <f>IFERROR(TRIM(Raw_Data!F431), "Review")</f>
        <v>Pending</v>
      </c>
      <c r="H431" s="3" t="str">
        <f>IFERROR(TEXT(Raw_Data!G431, "YYYY-MM-DD"),"Review")</f>
        <v>2022-04-25</v>
      </c>
      <c r="I431" s="4">
        <f>IF(Raw_Data!H431="", "", IFERROR(VALUE(Raw_Data!H431), ""))</f>
        <v>99059.28</v>
      </c>
      <c r="J431" s="2" t="str">
        <f>IF(Raw_Data!I431="", "", IF(ISNUMBER(FIND("@", Raw_Data!I431)), Raw_Data!I431, "Review"))</f>
        <v>eva.brown@example.com</v>
      </c>
      <c r="K431" s="5" t="str">
        <f>IFERROR(TEXT(ABS(Raw_Data!J431), "0"), "Review")</f>
        <v>6723849790</v>
      </c>
      <c r="L431" s="2" t="str">
        <f>IFERROR(TRIM(Raw_Data!K431), "Review")</f>
        <v>Poor</v>
      </c>
      <c r="M431" s="2" t="b">
        <f>IF(Raw_Data!L431="", "",
    IF(ISLOGICAL(Raw_Data!L431), Raw_Data!L431,
        IF(OR(UPPER(Raw_Data!L431)="TRUE", UPPER(Raw_Data!L431)="YES", UPPER(Raw_Data!L431)="1"), TRUE,
            IF(OR(UPPER(Raw_Data!L431)="FALSE", UPPER(Raw_Data!L431)="NO", UPPER(Raw_Data!L431)="0"), FALSE, "Review")
        )
    )
)</f>
        <v>0</v>
      </c>
    </row>
    <row r="432" spans="1:13" x14ac:dyDescent="0.4">
      <c r="A432" s="2" t="str">
        <f>IFERROR(TRIM(Raw_Data!A432), "Review")</f>
        <v>EMP1430</v>
      </c>
      <c r="B432" s="2" t="str">
        <f>IFERROR(TRIM(Raw_Data!B432), "Review")</f>
        <v>Bob</v>
      </c>
      <c r="C432" s="2" t="str">
        <f>IFERROR(TRIM(Raw_Data!C432), "Review")</f>
        <v>Smith</v>
      </c>
      <c r="D432" s="2" t="str">
        <f>IF(Raw_Data!D432="", "", IFERROR(VALUE(Raw_Data!D432), ""))</f>
        <v/>
      </c>
      <c r="E432" s="2" t="str">
        <f>IFERROR(LEFT(Raw_Data!E432,SEARCH("-",Raw_Data!E432)-1),"Review")</f>
        <v>Cloud Tech</v>
      </c>
      <c r="F432" s="2" t="str">
        <f>IFERROR(_xlfn.TEXTAFTER(Raw_Data!E432,"-"),"Review")</f>
        <v>Illinois</v>
      </c>
      <c r="G432" s="2" t="str">
        <f>IFERROR(TRIM(Raw_Data!F432), "Review")</f>
        <v>Active</v>
      </c>
      <c r="H432" s="3" t="str">
        <f>IFERROR(TEXT(Raw_Data!G432, "YYYY-MM-DD"),"Review")</f>
        <v>2023-07-29</v>
      </c>
      <c r="I432" s="4">
        <f>IF(Raw_Data!H432="", "", IFERROR(VALUE(Raw_Data!H432), ""))</f>
        <v>107397.4</v>
      </c>
      <c r="J432" s="2" t="str">
        <f>IF(Raw_Data!I432="", "", IF(ISNUMBER(FIND("@", Raw_Data!I432)), Raw_Data!I432, "Review"))</f>
        <v>bob.smith@example.com</v>
      </c>
      <c r="K432" s="5" t="str">
        <f>IFERROR(TEXT(ABS(Raw_Data!J432), "0"), "Review")</f>
        <v>6202232882</v>
      </c>
      <c r="L432" s="2" t="str">
        <f>IFERROR(TRIM(Raw_Data!K432), "Review")</f>
        <v>Poor</v>
      </c>
      <c r="M432" s="2" t="b">
        <f>IF(Raw_Data!L432="", "",
    IF(ISLOGICAL(Raw_Data!L432), Raw_Data!L432,
        IF(OR(UPPER(Raw_Data!L432)="TRUE", UPPER(Raw_Data!L432)="YES", UPPER(Raw_Data!L432)="1"), TRUE,
            IF(OR(UPPER(Raw_Data!L432)="FALSE", UPPER(Raw_Data!L432)="NO", UPPER(Raw_Data!L432)="0"), FALSE, "Review")
        )
    )
)</f>
        <v>0</v>
      </c>
    </row>
    <row r="433" spans="1:13" x14ac:dyDescent="0.4">
      <c r="A433" s="2" t="str">
        <f>IFERROR(TRIM(Raw_Data!A433), "Review")</f>
        <v>EMP1431</v>
      </c>
      <c r="B433" s="2" t="str">
        <f>IFERROR(TRIM(Raw_Data!B433), "Review")</f>
        <v>Alice</v>
      </c>
      <c r="C433" s="2" t="str">
        <f>IFERROR(TRIM(Raw_Data!C433), "Review")</f>
        <v>Miller</v>
      </c>
      <c r="D433" s="2">
        <f>IF(Raw_Data!D433="", "", IFERROR(VALUE(Raw_Data!D433), ""))</f>
        <v>40</v>
      </c>
      <c r="E433" s="2" t="str">
        <f>IFERROR(LEFT(Raw_Data!E433,SEARCH("-",Raw_Data!E433)-1),"Review")</f>
        <v>DevOps</v>
      </c>
      <c r="F433" s="2" t="str">
        <f>IFERROR(_xlfn.TEXTAFTER(Raw_Data!E433,"-"),"Review")</f>
        <v>New York</v>
      </c>
      <c r="G433" s="2" t="str">
        <f>IFERROR(TRIM(Raw_Data!F433), "Review")</f>
        <v>Active</v>
      </c>
      <c r="H433" s="3" t="str">
        <f>IFERROR(TEXT(Raw_Data!G433, "YYYY-MM-DD"),"Review")</f>
        <v>2021-08-20</v>
      </c>
      <c r="I433" s="4">
        <f>IF(Raw_Data!H433="", "", IFERROR(VALUE(Raw_Data!H433), ""))</f>
        <v>68269.37</v>
      </c>
      <c r="J433" s="2" t="str">
        <f>IF(Raw_Data!I433="", "", IF(ISNUMBER(FIND("@", Raw_Data!I433)), Raw_Data!I433, "Review"))</f>
        <v>alice.miller@example.com</v>
      </c>
      <c r="K433" s="5" t="str">
        <f>IFERROR(TEXT(ABS(Raw_Data!J433), "0"), "Review")</f>
        <v>7744197545</v>
      </c>
      <c r="L433" s="2" t="str">
        <f>IFERROR(TRIM(Raw_Data!K433), "Review")</f>
        <v>Excellent</v>
      </c>
      <c r="M433" s="2" t="b">
        <f>IF(Raw_Data!L433="", "",
    IF(ISLOGICAL(Raw_Data!L433), Raw_Data!L433,
        IF(OR(UPPER(Raw_Data!L433)="TRUE", UPPER(Raw_Data!L433)="YES", UPPER(Raw_Data!L433)="1"), TRUE,
            IF(OR(UPPER(Raw_Data!L433)="FALSE", UPPER(Raw_Data!L433)="NO", UPPER(Raw_Data!L433)="0"), FALSE, "Review")
        )
    )
)</f>
        <v>0</v>
      </c>
    </row>
    <row r="434" spans="1:13" x14ac:dyDescent="0.4">
      <c r="A434" s="2" t="str">
        <f>IFERROR(TRIM(Raw_Data!A434), "Review")</f>
        <v>EMP1432</v>
      </c>
      <c r="B434" s="2" t="str">
        <f>IFERROR(TRIM(Raw_Data!B434), "Review")</f>
        <v>Grace</v>
      </c>
      <c r="C434" s="2" t="str">
        <f>IFERROR(TRIM(Raw_Data!C434), "Review")</f>
        <v>Jones</v>
      </c>
      <c r="D434" s="2">
        <f>IF(Raw_Data!D434="", "", IFERROR(VALUE(Raw_Data!D434), ""))</f>
        <v>35</v>
      </c>
      <c r="E434" s="2" t="str">
        <f>IFERROR(LEFT(Raw_Data!E434,SEARCH("-",Raw_Data!E434)-1),"Review")</f>
        <v>HR</v>
      </c>
      <c r="F434" s="2" t="str">
        <f>IFERROR(_xlfn.TEXTAFTER(Raw_Data!E434,"-"),"Review")</f>
        <v>Florida</v>
      </c>
      <c r="G434" s="2" t="str">
        <f>IFERROR(TRIM(Raw_Data!F434), "Review")</f>
        <v>Inactive</v>
      </c>
      <c r="H434" s="3" t="str">
        <f>IFERROR(TEXT(Raw_Data!G434, "YYYY-MM-DD"),"Review")</f>
        <v>2021-04-23</v>
      </c>
      <c r="I434" s="4">
        <f>IF(Raw_Data!H434="", "", IFERROR(VALUE(Raw_Data!H434), ""))</f>
        <v>55228.12</v>
      </c>
      <c r="J434" s="2" t="str">
        <f>IF(Raw_Data!I434="", "", IF(ISNUMBER(FIND("@", Raw_Data!I434)), Raw_Data!I434, "Review"))</f>
        <v>grace.jones@example.com</v>
      </c>
      <c r="K434" s="5" t="str">
        <f>IFERROR(TEXT(ABS(Raw_Data!J434), "0"), "Review")</f>
        <v>6176620470</v>
      </c>
      <c r="L434" s="2" t="str">
        <f>IFERROR(TRIM(Raw_Data!K434), "Review")</f>
        <v>Poor</v>
      </c>
      <c r="M434" s="2" t="b">
        <f>IF(Raw_Data!L434="", "",
    IF(ISLOGICAL(Raw_Data!L434), Raw_Data!L434,
        IF(OR(UPPER(Raw_Data!L434)="TRUE", UPPER(Raw_Data!L434)="YES", UPPER(Raw_Data!L434)="1"), TRUE,
            IF(OR(UPPER(Raw_Data!L434)="FALSE", UPPER(Raw_Data!L434)="NO", UPPER(Raw_Data!L434)="0"), FALSE, "Review")
        )
    )
)</f>
        <v>1</v>
      </c>
    </row>
    <row r="435" spans="1:13" x14ac:dyDescent="0.4">
      <c r="A435" s="2" t="str">
        <f>IFERROR(TRIM(Raw_Data!A435), "Review")</f>
        <v>EMP1433</v>
      </c>
      <c r="B435" s="2" t="str">
        <f>IFERROR(TRIM(Raw_Data!B435), "Review")</f>
        <v>Bob</v>
      </c>
      <c r="C435" s="2" t="str">
        <f>IFERROR(TRIM(Raw_Data!C435), "Review")</f>
        <v>Garcia</v>
      </c>
      <c r="D435" s="2">
        <f>IF(Raw_Data!D435="", "", IFERROR(VALUE(Raw_Data!D435), ""))</f>
        <v>30</v>
      </c>
      <c r="E435" s="2" t="str">
        <f>IFERROR(LEFT(Raw_Data!E435,SEARCH("-",Raw_Data!E435)-1),"Review")</f>
        <v>Cloud Tech</v>
      </c>
      <c r="F435" s="2" t="str">
        <f>IFERROR(_xlfn.TEXTAFTER(Raw_Data!E435,"-"),"Review")</f>
        <v>New York</v>
      </c>
      <c r="G435" s="2" t="str">
        <f>IFERROR(TRIM(Raw_Data!F435), "Review")</f>
        <v>Inactive</v>
      </c>
      <c r="H435" s="3" t="str">
        <f>IFERROR(TEXT(Raw_Data!G435, "YYYY-MM-DD"),"Review")</f>
        <v>2022-08-12</v>
      </c>
      <c r="I435" s="4">
        <f>IF(Raw_Data!H435="", "", IFERROR(VALUE(Raw_Data!H435), ""))</f>
        <v>71982.33</v>
      </c>
      <c r="J435" s="2" t="str">
        <f>IF(Raw_Data!I435="", "", IF(ISNUMBER(FIND("@", Raw_Data!I435)), Raw_Data!I435, "Review"))</f>
        <v>bob.garcia@example.com</v>
      </c>
      <c r="K435" s="5" t="str">
        <f>IFERROR(TEXT(ABS(Raw_Data!J435), "0"), "Review")</f>
        <v>9609409704</v>
      </c>
      <c r="L435" s="2" t="str">
        <f>IFERROR(TRIM(Raw_Data!K435), "Review")</f>
        <v>Average</v>
      </c>
      <c r="M435" s="2" t="b">
        <f>IF(Raw_Data!L435="", "",
    IF(ISLOGICAL(Raw_Data!L435), Raw_Data!L435,
        IF(OR(UPPER(Raw_Data!L435)="TRUE", UPPER(Raw_Data!L435)="YES", UPPER(Raw_Data!L435)="1"), TRUE,
            IF(OR(UPPER(Raw_Data!L435)="FALSE", UPPER(Raw_Data!L435)="NO", UPPER(Raw_Data!L435)="0"), FALSE, "Review")
        )
    )
)</f>
        <v>0</v>
      </c>
    </row>
    <row r="436" spans="1:13" x14ac:dyDescent="0.4">
      <c r="A436" s="2" t="str">
        <f>IFERROR(TRIM(Raw_Data!A436), "Review")</f>
        <v>EMP1434</v>
      </c>
      <c r="B436" s="2" t="str">
        <f>IFERROR(TRIM(Raw_Data!B436), "Review")</f>
        <v>Frank</v>
      </c>
      <c r="C436" s="2" t="str">
        <f>IFERROR(TRIM(Raw_Data!C436), "Review")</f>
        <v>Brown</v>
      </c>
      <c r="D436" s="2">
        <f>IF(Raw_Data!D436="", "", IFERROR(VALUE(Raw_Data!D436), ""))</f>
        <v>30</v>
      </c>
      <c r="E436" s="2" t="str">
        <f>IFERROR(LEFT(Raw_Data!E436,SEARCH("-",Raw_Data!E436)-1),"Review")</f>
        <v>Finance</v>
      </c>
      <c r="F436" s="2" t="str">
        <f>IFERROR(_xlfn.TEXTAFTER(Raw_Data!E436,"-"),"Review")</f>
        <v>California</v>
      </c>
      <c r="G436" s="2" t="str">
        <f>IFERROR(TRIM(Raw_Data!F436), "Review")</f>
        <v>Inactive</v>
      </c>
      <c r="H436" s="3" t="str">
        <f>IFERROR(TEXT(Raw_Data!G436, "YYYY-MM-DD"),"Review")</f>
        <v>2021-06-26</v>
      </c>
      <c r="I436" s="4">
        <f>IF(Raw_Data!H436="", "", IFERROR(VALUE(Raw_Data!H436), ""))</f>
        <v>109673.75</v>
      </c>
      <c r="J436" s="2" t="str">
        <f>IF(Raw_Data!I436="", "", IF(ISNUMBER(FIND("@", Raw_Data!I436)), Raw_Data!I436, "Review"))</f>
        <v>frank.brown@example.com</v>
      </c>
      <c r="K436" s="5" t="str">
        <f>IFERROR(TEXT(ABS(Raw_Data!J436), "0"), "Review")</f>
        <v>2774025882</v>
      </c>
      <c r="L436" s="2" t="str">
        <f>IFERROR(TRIM(Raw_Data!K436), "Review")</f>
        <v>Excellent</v>
      </c>
      <c r="M436" s="2" t="b">
        <f>IF(Raw_Data!L436="", "",
    IF(ISLOGICAL(Raw_Data!L436), Raw_Data!L436,
        IF(OR(UPPER(Raw_Data!L436)="TRUE", UPPER(Raw_Data!L436)="YES", UPPER(Raw_Data!L436)="1"), TRUE,
            IF(OR(UPPER(Raw_Data!L436)="FALSE", UPPER(Raw_Data!L436)="NO", UPPER(Raw_Data!L436)="0"), FALSE, "Review")
        )
    )
)</f>
        <v>0</v>
      </c>
    </row>
    <row r="437" spans="1:13" x14ac:dyDescent="0.4">
      <c r="A437" s="2" t="str">
        <f>IFERROR(TRIM(Raw_Data!A437), "Review")</f>
        <v>EMP1435</v>
      </c>
      <c r="B437" s="2" t="str">
        <f>IFERROR(TRIM(Raw_Data!B437), "Review")</f>
        <v>Eva</v>
      </c>
      <c r="C437" s="2" t="str">
        <f>IFERROR(TRIM(Raw_Data!C437), "Review")</f>
        <v>Garcia</v>
      </c>
      <c r="D437" s="2" t="str">
        <f>IF(Raw_Data!D437="", "", IFERROR(VALUE(Raw_Data!D437), ""))</f>
        <v/>
      </c>
      <c r="E437" s="2" t="str">
        <f>IFERROR(LEFT(Raw_Data!E437,SEARCH("-",Raw_Data!E437)-1),"Review")</f>
        <v>Cloud Tech</v>
      </c>
      <c r="F437" s="2" t="str">
        <f>IFERROR(_xlfn.TEXTAFTER(Raw_Data!E437,"-"),"Review")</f>
        <v>New York</v>
      </c>
      <c r="G437" s="2" t="str">
        <f>IFERROR(TRIM(Raw_Data!F437), "Review")</f>
        <v>Inactive</v>
      </c>
      <c r="H437" s="3" t="str">
        <f>IFERROR(TEXT(Raw_Data!G437, "YYYY-MM-DD"),"Review")</f>
        <v>2020-10-30</v>
      </c>
      <c r="I437" s="4">
        <f>IF(Raw_Data!H437="", "", IFERROR(VALUE(Raw_Data!H437), ""))</f>
        <v>56384.9</v>
      </c>
      <c r="J437" s="2" t="str">
        <f>IF(Raw_Data!I437="", "", IF(ISNUMBER(FIND("@", Raw_Data!I437)), Raw_Data!I437, "Review"))</f>
        <v>eva.garcia@example.com</v>
      </c>
      <c r="K437" s="5" t="str">
        <f>IFERROR(TEXT(ABS(Raw_Data!J437), "0"), "Review")</f>
        <v>5868122594</v>
      </c>
      <c r="L437" s="2" t="str">
        <f>IFERROR(TRIM(Raw_Data!K437), "Review")</f>
        <v>Excellent</v>
      </c>
      <c r="M437" s="2" t="b">
        <f>IF(Raw_Data!L437="", "",
    IF(ISLOGICAL(Raw_Data!L437), Raw_Data!L437,
        IF(OR(UPPER(Raw_Data!L437)="TRUE", UPPER(Raw_Data!L437)="YES", UPPER(Raw_Data!L437)="1"), TRUE,
            IF(OR(UPPER(Raw_Data!L437)="FALSE", UPPER(Raw_Data!L437)="NO", UPPER(Raw_Data!L437)="0"), FALSE, "Review")
        )
    )
)</f>
        <v>1</v>
      </c>
    </row>
    <row r="438" spans="1:13" x14ac:dyDescent="0.4">
      <c r="A438" s="2" t="str">
        <f>IFERROR(TRIM(Raw_Data!A438), "Review")</f>
        <v>EMP1436</v>
      </c>
      <c r="B438" s="2" t="str">
        <f>IFERROR(TRIM(Raw_Data!B438), "Review")</f>
        <v>Frank</v>
      </c>
      <c r="C438" s="2" t="str">
        <f>IFERROR(TRIM(Raw_Data!C438), "Review")</f>
        <v>Garcia</v>
      </c>
      <c r="D438" s="2">
        <f>IF(Raw_Data!D438="", "", IFERROR(VALUE(Raw_Data!D438), ""))</f>
        <v>40</v>
      </c>
      <c r="E438" s="2" t="str">
        <f>IFERROR(LEFT(Raw_Data!E438,SEARCH("-",Raw_Data!E438)-1),"Review")</f>
        <v>Sales</v>
      </c>
      <c r="F438" s="2" t="str">
        <f>IFERROR(_xlfn.TEXTAFTER(Raw_Data!E438,"-"),"Review")</f>
        <v>Texas</v>
      </c>
      <c r="G438" s="2" t="str">
        <f>IFERROR(TRIM(Raw_Data!F438), "Review")</f>
        <v>Pending</v>
      </c>
      <c r="H438" s="3" t="str">
        <f>IFERROR(TEXT(Raw_Data!G438, "YYYY-MM-DD"),"Review")</f>
        <v>2021-09-04</v>
      </c>
      <c r="I438" s="4">
        <f>IF(Raw_Data!H438="", "", IFERROR(VALUE(Raw_Data!H438), ""))</f>
        <v>68211.679999999993</v>
      </c>
      <c r="J438" s="2" t="str">
        <f>IF(Raw_Data!I438="", "", IF(ISNUMBER(FIND("@", Raw_Data!I438)), Raw_Data!I438, "Review"))</f>
        <v>frank.garcia@example.com</v>
      </c>
      <c r="K438" s="5" t="str">
        <f>IFERROR(TEXT(ABS(Raw_Data!J438), "0"), "Review")</f>
        <v>7244617678</v>
      </c>
      <c r="L438" s="2" t="str">
        <f>IFERROR(TRIM(Raw_Data!K438), "Review")</f>
        <v>Good</v>
      </c>
      <c r="M438" s="2" t="b">
        <f>IF(Raw_Data!L438="", "",
    IF(ISLOGICAL(Raw_Data!L438), Raw_Data!L438,
        IF(OR(UPPER(Raw_Data!L438)="TRUE", UPPER(Raw_Data!L438)="YES", UPPER(Raw_Data!L438)="1"), TRUE,
            IF(OR(UPPER(Raw_Data!L438)="FALSE", UPPER(Raw_Data!L438)="NO", UPPER(Raw_Data!L438)="0"), FALSE, "Review")
        )
    )
)</f>
        <v>0</v>
      </c>
    </row>
    <row r="439" spans="1:13" x14ac:dyDescent="0.4">
      <c r="A439" s="2" t="str">
        <f>IFERROR(TRIM(Raw_Data!A439), "Review")</f>
        <v>EMP1437</v>
      </c>
      <c r="B439" s="2" t="str">
        <f>IFERROR(TRIM(Raw_Data!B439), "Review")</f>
        <v>Alice</v>
      </c>
      <c r="C439" s="2" t="str">
        <f>IFERROR(TRIM(Raw_Data!C439), "Review")</f>
        <v>Garcia</v>
      </c>
      <c r="D439" s="2">
        <f>IF(Raw_Data!D439="", "", IFERROR(VALUE(Raw_Data!D439), ""))</f>
        <v>40</v>
      </c>
      <c r="E439" s="2" t="str">
        <f>IFERROR(LEFT(Raw_Data!E439,SEARCH("-",Raw_Data!E439)-1),"Review")</f>
        <v>Finance</v>
      </c>
      <c r="F439" s="2" t="str">
        <f>IFERROR(_xlfn.TEXTAFTER(Raw_Data!E439,"-"),"Review")</f>
        <v>Illinois</v>
      </c>
      <c r="G439" s="2" t="str">
        <f>IFERROR(TRIM(Raw_Data!F439), "Review")</f>
        <v>Pending</v>
      </c>
      <c r="H439" s="3" t="str">
        <f>IFERROR(TEXT(Raw_Data!G439, "YYYY-MM-DD"),"Review")</f>
        <v>2023-01-31</v>
      </c>
      <c r="I439" s="4">
        <f>IF(Raw_Data!H439="", "", IFERROR(VALUE(Raw_Data!H439), ""))</f>
        <v>67489.679999999993</v>
      </c>
      <c r="J439" s="2" t="str">
        <f>IF(Raw_Data!I439="", "", IF(ISNUMBER(FIND("@", Raw_Data!I439)), Raw_Data!I439, "Review"))</f>
        <v>alice.garcia@example.com</v>
      </c>
      <c r="K439" s="5" t="str">
        <f>IFERROR(TEXT(ABS(Raw_Data!J439), "0"), "Review")</f>
        <v>2988425994</v>
      </c>
      <c r="L439" s="2" t="str">
        <f>IFERROR(TRIM(Raw_Data!K439), "Review")</f>
        <v>Poor</v>
      </c>
      <c r="M439" s="2" t="b">
        <f>IF(Raw_Data!L439="", "",
    IF(ISLOGICAL(Raw_Data!L439), Raw_Data!L439,
        IF(OR(UPPER(Raw_Data!L439)="TRUE", UPPER(Raw_Data!L439)="YES", UPPER(Raw_Data!L439)="1"), TRUE,
            IF(OR(UPPER(Raw_Data!L439)="FALSE", UPPER(Raw_Data!L439)="NO", UPPER(Raw_Data!L439)="0"), FALSE, "Review")
        )
    )
)</f>
        <v>0</v>
      </c>
    </row>
    <row r="440" spans="1:13" x14ac:dyDescent="0.4">
      <c r="A440" s="2" t="str">
        <f>IFERROR(TRIM(Raw_Data!A440), "Review")</f>
        <v>EMP1438</v>
      </c>
      <c r="B440" s="2" t="str">
        <f>IFERROR(TRIM(Raw_Data!B440), "Review")</f>
        <v>Charlie</v>
      </c>
      <c r="C440" s="2" t="str">
        <f>IFERROR(TRIM(Raw_Data!C440), "Review")</f>
        <v>Davis</v>
      </c>
      <c r="D440" s="2">
        <f>IF(Raw_Data!D440="", "", IFERROR(VALUE(Raw_Data!D440), ""))</f>
        <v>25</v>
      </c>
      <c r="E440" s="2" t="str">
        <f>IFERROR(LEFT(Raw_Data!E440,SEARCH("-",Raw_Data!E440)-1),"Review")</f>
        <v>Cloud Tech</v>
      </c>
      <c r="F440" s="2" t="str">
        <f>IFERROR(_xlfn.TEXTAFTER(Raw_Data!E440,"-"),"Review")</f>
        <v>Texas</v>
      </c>
      <c r="G440" s="2" t="str">
        <f>IFERROR(TRIM(Raw_Data!F440), "Review")</f>
        <v>Active</v>
      </c>
      <c r="H440" s="3" t="str">
        <f>IFERROR(TEXT(Raw_Data!G440, "YYYY-MM-DD"),"Review")</f>
        <v>2020-09-24</v>
      </c>
      <c r="I440" s="4">
        <f>IF(Raw_Data!H440="", "", IFERROR(VALUE(Raw_Data!H440), ""))</f>
        <v>63869.31</v>
      </c>
      <c r="J440" s="2" t="str">
        <f>IF(Raw_Data!I440="", "", IF(ISNUMBER(FIND("@", Raw_Data!I440)), Raw_Data!I440, "Review"))</f>
        <v>charlie.davis@example.com</v>
      </c>
      <c r="K440" s="5" t="str">
        <f>IFERROR(TEXT(ABS(Raw_Data!J440), "0"), "Review")</f>
        <v>9961002310</v>
      </c>
      <c r="L440" s="2" t="str">
        <f>IFERROR(TRIM(Raw_Data!K440), "Review")</f>
        <v>Good</v>
      </c>
      <c r="M440" s="2" t="b">
        <f>IF(Raw_Data!L440="", "",
    IF(ISLOGICAL(Raw_Data!L440), Raw_Data!L440,
        IF(OR(UPPER(Raw_Data!L440)="TRUE", UPPER(Raw_Data!L440)="YES", UPPER(Raw_Data!L440)="1"), TRUE,
            IF(OR(UPPER(Raw_Data!L440)="FALSE", UPPER(Raw_Data!L440)="NO", UPPER(Raw_Data!L440)="0"), FALSE, "Review")
        )
    )
)</f>
        <v>0</v>
      </c>
    </row>
    <row r="441" spans="1:13" x14ac:dyDescent="0.4">
      <c r="A441" s="2" t="str">
        <f>IFERROR(TRIM(Raw_Data!A441), "Review")</f>
        <v>EMP1439</v>
      </c>
      <c r="B441" s="2" t="str">
        <f>IFERROR(TRIM(Raw_Data!B441), "Review")</f>
        <v>Bob</v>
      </c>
      <c r="C441" s="2" t="str">
        <f>IFERROR(TRIM(Raw_Data!C441), "Review")</f>
        <v>Williams</v>
      </c>
      <c r="D441" s="2" t="str">
        <f>IF(Raw_Data!D441="", "", IFERROR(VALUE(Raw_Data!D441), ""))</f>
        <v/>
      </c>
      <c r="E441" s="2" t="str">
        <f>IFERROR(LEFT(Raw_Data!E441,SEARCH("-",Raw_Data!E441)-1),"Review")</f>
        <v>Sales</v>
      </c>
      <c r="F441" s="2" t="str">
        <f>IFERROR(_xlfn.TEXTAFTER(Raw_Data!E441,"-"),"Review")</f>
        <v>California</v>
      </c>
      <c r="G441" s="2" t="str">
        <f>IFERROR(TRIM(Raw_Data!F441), "Review")</f>
        <v>Active</v>
      </c>
      <c r="H441" s="3" t="str">
        <f>IFERROR(TEXT(Raw_Data!G441, "YYYY-MM-DD"),"Review")</f>
        <v>2020-02-14</v>
      </c>
      <c r="I441" s="4">
        <f>IF(Raw_Data!H441="", "", IFERROR(VALUE(Raw_Data!H441), ""))</f>
        <v>119801.3</v>
      </c>
      <c r="J441" s="2" t="str">
        <f>IF(Raw_Data!I441="", "", IF(ISNUMBER(FIND("@", Raw_Data!I441)), Raw_Data!I441, "Review"))</f>
        <v>bob.williams@example.com</v>
      </c>
      <c r="K441" s="5" t="str">
        <f>IFERROR(TEXT(ABS(Raw_Data!J441), "0"), "Review")</f>
        <v>7753312660</v>
      </c>
      <c r="L441" s="2" t="str">
        <f>IFERROR(TRIM(Raw_Data!K441), "Review")</f>
        <v>Average</v>
      </c>
      <c r="M441" s="2" t="b">
        <f>IF(Raw_Data!L441="", "",
    IF(ISLOGICAL(Raw_Data!L441), Raw_Data!L441,
        IF(OR(UPPER(Raw_Data!L441)="TRUE", UPPER(Raw_Data!L441)="YES", UPPER(Raw_Data!L441)="1"), TRUE,
            IF(OR(UPPER(Raw_Data!L441)="FALSE", UPPER(Raw_Data!L441)="NO", UPPER(Raw_Data!L441)="0"), FALSE, "Review")
        )
    )
)</f>
        <v>1</v>
      </c>
    </row>
    <row r="442" spans="1:13" x14ac:dyDescent="0.4">
      <c r="A442" s="2" t="str">
        <f>IFERROR(TRIM(Raw_Data!A442), "Review")</f>
        <v>EMP1440</v>
      </c>
      <c r="B442" s="2" t="str">
        <f>IFERROR(TRIM(Raw_Data!B442), "Review")</f>
        <v>Heidi</v>
      </c>
      <c r="C442" s="2" t="str">
        <f>IFERROR(TRIM(Raw_Data!C442), "Review")</f>
        <v>Smith</v>
      </c>
      <c r="D442" s="2">
        <f>IF(Raw_Data!D442="", "", IFERROR(VALUE(Raw_Data!D442), ""))</f>
        <v>30</v>
      </c>
      <c r="E442" s="2" t="str">
        <f>IFERROR(LEFT(Raw_Data!E442,SEARCH("-",Raw_Data!E442)-1),"Review")</f>
        <v>Cloud Tech</v>
      </c>
      <c r="F442" s="2" t="str">
        <f>IFERROR(_xlfn.TEXTAFTER(Raw_Data!E442,"-"),"Review")</f>
        <v>California</v>
      </c>
      <c r="G442" s="2" t="str">
        <f>IFERROR(TRIM(Raw_Data!F442), "Review")</f>
        <v>Active</v>
      </c>
      <c r="H442" s="3" t="str">
        <f>IFERROR(TEXT(Raw_Data!G442, "YYYY-MM-DD"),"Review")</f>
        <v>2020-03-28</v>
      </c>
      <c r="I442" s="4">
        <f>IF(Raw_Data!H442="", "", IFERROR(VALUE(Raw_Data!H442), ""))</f>
        <v>115959.65</v>
      </c>
      <c r="J442" s="2" t="str">
        <f>IF(Raw_Data!I442="", "", IF(ISNUMBER(FIND("@", Raw_Data!I442)), Raw_Data!I442, "Review"))</f>
        <v>heidi.smith@example.com</v>
      </c>
      <c r="K442" s="5" t="str">
        <f>IFERROR(TEXT(ABS(Raw_Data!J442), "0"), "Review")</f>
        <v>941017589</v>
      </c>
      <c r="L442" s="2" t="str">
        <f>IFERROR(TRIM(Raw_Data!K442), "Review")</f>
        <v>Excellent</v>
      </c>
      <c r="M442" s="2" t="b">
        <f>IF(Raw_Data!L442="", "",
    IF(ISLOGICAL(Raw_Data!L442), Raw_Data!L442,
        IF(OR(UPPER(Raw_Data!L442)="TRUE", UPPER(Raw_Data!L442)="YES", UPPER(Raw_Data!L442)="1"), TRUE,
            IF(OR(UPPER(Raw_Data!L442)="FALSE", UPPER(Raw_Data!L442)="NO", UPPER(Raw_Data!L442)="0"), FALSE, "Review")
        )
    )
)</f>
        <v>1</v>
      </c>
    </row>
    <row r="443" spans="1:13" x14ac:dyDescent="0.4">
      <c r="A443" s="2" t="str">
        <f>IFERROR(TRIM(Raw_Data!A443), "Review")</f>
        <v>EMP1441</v>
      </c>
      <c r="B443" s="2" t="str">
        <f>IFERROR(TRIM(Raw_Data!B443), "Review")</f>
        <v>Grace</v>
      </c>
      <c r="C443" s="2" t="str">
        <f>IFERROR(TRIM(Raw_Data!C443), "Review")</f>
        <v>Garcia</v>
      </c>
      <c r="D443" s="2">
        <f>IF(Raw_Data!D443="", "", IFERROR(VALUE(Raw_Data!D443), ""))</f>
        <v>40</v>
      </c>
      <c r="E443" s="2" t="str">
        <f>IFERROR(LEFT(Raw_Data!E443,SEARCH("-",Raw_Data!E443)-1),"Review")</f>
        <v>Finance</v>
      </c>
      <c r="F443" s="2" t="str">
        <f>IFERROR(_xlfn.TEXTAFTER(Raw_Data!E443,"-"),"Review")</f>
        <v>Texas</v>
      </c>
      <c r="G443" s="2" t="str">
        <f>IFERROR(TRIM(Raw_Data!F443), "Review")</f>
        <v>Inactive</v>
      </c>
      <c r="H443" s="3" t="str">
        <f>IFERROR(TEXT(Raw_Data!G443, "YYYY-MM-DD"),"Review")</f>
        <v>2023-10-31</v>
      </c>
      <c r="I443" s="4">
        <f>IF(Raw_Data!H443="", "", IFERROR(VALUE(Raw_Data!H443), ""))</f>
        <v>79866.48</v>
      </c>
      <c r="J443" s="2" t="str">
        <f>IF(Raw_Data!I443="", "", IF(ISNUMBER(FIND("@", Raw_Data!I443)), Raw_Data!I443, "Review"))</f>
        <v>grace.garcia@example.com</v>
      </c>
      <c r="K443" s="5" t="str">
        <f>IFERROR(TEXT(ABS(Raw_Data!J443), "0"), "Review")</f>
        <v>2517629832</v>
      </c>
      <c r="L443" s="2" t="str">
        <f>IFERROR(TRIM(Raw_Data!K443), "Review")</f>
        <v>Excellent</v>
      </c>
      <c r="M443" s="2" t="b">
        <f>IF(Raw_Data!L443="", "",
    IF(ISLOGICAL(Raw_Data!L443), Raw_Data!L443,
        IF(OR(UPPER(Raw_Data!L443)="TRUE", UPPER(Raw_Data!L443)="YES", UPPER(Raw_Data!L443)="1"), TRUE,
            IF(OR(UPPER(Raw_Data!L443)="FALSE", UPPER(Raw_Data!L443)="NO", UPPER(Raw_Data!L443)="0"), FALSE, "Review")
        )
    )
)</f>
        <v>1</v>
      </c>
    </row>
    <row r="444" spans="1:13" x14ac:dyDescent="0.4">
      <c r="A444" s="2" t="str">
        <f>IFERROR(TRIM(Raw_Data!A444), "Review")</f>
        <v>EMP1442</v>
      </c>
      <c r="B444" s="2" t="str">
        <f>IFERROR(TRIM(Raw_Data!B444), "Review")</f>
        <v>Charlie</v>
      </c>
      <c r="C444" s="2" t="str">
        <f>IFERROR(TRIM(Raw_Data!C444), "Review")</f>
        <v>Smith</v>
      </c>
      <c r="D444" s="2">
        <f>IF(Raw_Data!D444="", "", IFERROR(VALUE(Raw_Data!D444), ""))</f>
        <v>35</v>
      </c>
      <c r="E444" s="2" t="str">
        <f>IFERROR(LEFT(Raw_Data!E444,SEARCH("-",Raw_Data!E444)-1),"Review")</f>
        <v>HR</v>
      </c>
      <c r="F444" s="2" t="str">
        <f>IFERROR(_xlfn.TEXTAFTER(Raw_Data!E444,"-"),"Review")</f>
        <v>Florida</v>
      </c>
      <c r="G444" s="2" t="str">
        <f>IFERROR(TRIM(Raw_Data!F444), "Review")</f>
        <v>Active</v>
      </c>
      <c r="H444" s="3" t="str">
        <f>IFERROR(TEXT(Raw_Data!G444, "YYYY-MM-DD"),"Review")</f>
        <v>2020-03-11</v>
      </c>
      <c r="I444" s="4">
        <f>IF(Raw_Data!H444="", "", IFERROR(VALUE(Raw_Data!H444), ""))</f>
        <v>92987.46</v>
      </c>
      <c r="J444" s="2" t="str">
        <f>IF(Raw_Data!I444="", "", IF(ISNUMBER(FIND("@", Raw_Data!I444)), Raw_Data!I444, "Review"))</f>
        <v>charlie.smith@example.com</v>
      </c>
      <c r="K444" s="5" t="str">
        <f>IFERROR(TEXT(ABS(Raw_Data!J444), "0"), "Review")</f>
        <v>4774332682</v>
      </c>
      <c r="L444" s="2" t="str">
        <f>IFERROR(TRIM(Raw_Data!K444), "Review")</f>
        <v>Excellent</v>
      </c>
      <c r="M444" s="2" t="b">
        <f>IF(Raw_Data!L444="", "",
    IF(ISLOGICAL(Raw_Data!L444), Raw_Data!L444,
        IF(OR(UPPER(Raw_Data!L444)="TRUE", UPPER(Raw_Data!L444)="YES", UPPER(Raw_Data!L444)="1"), TRUE,
            IF(OR(UPPER(Raw_Data!L444)="FALSE", UPPER(Raw_Data!L444)="NO", UPPER(Raw_Data!L444)="0"), FALSE, "Review")
        )
    )
)</f>
        <v>1</v>
      </c>
    </row>
    <row r="445" spans="1:13" x14ac:dyDescent="0.4">
      <c r="A445" s="2" t="str">
        <f>IFERROR(TRIM(Raw_Data!A445), "Review")</f>
        <v>EMP1443</v>
      </c>
      <c r="B445" s="2" t="str">
        <f>IFERROR(TRIM(Raw_Data!B445), "Review")</f>
        <v>Eva</v>
      </c>
      <c r="C445" s="2" t="str">
        <f>IFERROR(TRIM(Raw_Data!C445), "Review")</f>
        <v>Garcia</v>
      </c>
      <c r="D445" s="2">
        <f>IF(Raw_Data!D445="", "", IFERROR(VALUE(Raw_Data!D445), ""))</f>
        <v>40</v>
      </c>
      <c r="E445" s="2" t="str">
        <f>IFERROR(LEFT(Raw_Data!E445,SEARCH("-",Raw_Data!E445)-1),"Review")</f>
        <v>Finance</v>
      </c>
      <c r="F445" s="2" t="str">
        <f>IFERROR(_xlfn.TEXTAFTER(Raw_Data!E445,"-"),"Review")</f>
        <v>Illinois</v>
      </c>
      <c r="G445" s="2" t="str">
        <f>IFERROR(TRIM(Raw_Data!F445), "Review")</f>
        <v>Inactive</v>
      </c>
      <c r="H445" s="3" t="str">
        <f>IFERROR(TEXT(Raw_Data!G445, "YYYY-MM-DD"),"Review")</f>
        <v>2020-05-04</v>
      </c>
      <c r="I445" s="4">
        <f>IF(Raw_Data!H445="", "", IFERROR(VALUE(Raw_Data!H445), ""))</f>
        <v>56140.51</v>
      </c>
      <c r="J445" s="2" t="str">
        <f>IF(Raw_Data!I445="", "", IF(ISNUMBER(FIND("@", Raw_Data!I445)), Raw_Data!I445, "Review"))</f>
        <v>eva.garcia@example.com</v>
      </c>
      <c r="K445" s="5" t="str">
        <f>IFERROR(TEXT(ABS(Raw_Data!J445), "0"), "Review")</f>
        <v>1901302055</v>
      </c>
      <c r="L445" s="2" t="str">
        <f>IFERROR(TRIM(Raw_Data!K445), "Review")</f>
        <v>Average</v>
      </c>
      <c r="M445" s="2" t="b">
        <f>IF(Raw_Data!L445="", "",
    IF(ISLOGICAL(Raw_Data!L445), Raw_Data!L445,
        IF(OR(UPPER(Raw_Data!L445)="TRUE", UPPER(Raw_Data!L445)="YES", UPPER(Raw_Data!L445)="1"), TRUE,
            IF(OR(UPPER(Raw_Data!L445)="FALSE", UPPER(Raw_Data!L445)="NO", UPPER(Raw_Data!L445)="0"), FALSE, "Review")
        )
    )
)</f>
        <v>0</v>
      </c>
    </row>
    <row r="446" spans="1:13" x14ac:dyDescent="0.4">
      <c r="A446" s="2" t="str">
        <f>IFERROR(TRIM(Raw_Data!A446), "Review")</f>
        <v>EMP1444</v>
      </c>
      <c r="B446" s="2" t="str">
        <f>IFERROR(TRIM(Raw_Data!B446), "Review")</f>
        <v>Grace</v>
      </c>
      <c r="C446" s="2" t="str">
        <f>IFERROR(TRIM(Raw_Data!C446), "Review")</f>
        <v>Brown</v>
      </c>
      <c r="D446" s="2">
        <f>IF(Raw_Data!D446="", "", IFERROR(VALUE(Raw_Data!D446), ""))</f>
        <v>30</v>
      </c>
      <c r="E446" s="2" t="str">
        <f>IFERROR(LEFT(Raw_Data!E446,SEARCH("-",Raw_Data!E446)-1),"Review")</f>
        <v>DevOps</v>
      </c>
      <c r="F446" s="2" t="str">
        <f>IFERROR(_xlfn.TEXTAFTER(Raw_Data!E446,"-"),"Review")</f>
        <v>Illinois</v>
      </c>
      <c r="G446" s="2" t="str">
        <f>IFERROR(TRIM(Raw_Data!F446), "Review")</f>
        <v>Active</v>
      </c>
      <c r="H446" s="3" t="str">
        <f>IFERROR(TEXT(Raw_Data!G446, "YYYY-MM-DD"),"Review")</f>
        <v>2023-07-15</v>
      </c>
      <c r="I446" s="4">
        <f>IF(Raw_Data!H446="", "", IFERROR(VALUE(Raw_Data!H446), ""))</f>
        <v>119586.11</v>
      </c>
      <c r="J446" s="2" t="str">
        <f>IF(Raw_Data!I446="", "", IF(ISNUMBER(FIND("@", Raw_Data!I446)), Raw_Data!I446, "Review"))</f>
        <v>grace.brown@example.com</v>
      </c>
      <c r="K446" s="5" t="str">
        <f>IFERROR(TEXT(ABS(Raw_Data!J446), "0"), "Review")</f>
        <v>9815287338</v>
      </c>
      <c r="L446" s="2" t="str">
        <f>IFERROR(TRIM(Raw_Data!K446), "Review")</f>
        <v>Average</v>
      </c>
      <c r="M446" s="2" t="b">
        <f>IF(Raw_Data!L446="", "",
    IF(ISLOGICAL(Raw_Data!L446), Raw_Data!L446,
        IF(OR(UPPER(Raw_Data!L446)="TRUE", UPPER(Raw_Data!L446)="YES", UPPER(Raw_Data!L446)="1"), TRUE,
            IF(OR(UPPER(Raw_Data!L446)="FALSE", UPPER(Raw_Data!L446)="NO", UPPER(Raw_Data!L446)="0"), FALSE, "Review")
        )
    )
)</f>
        <v>1</v>
      </c>
    </row>
    <row r="447" spans="1:13" x14ac:dyDescent="0.4">
      <c r="A447" s="2" t="str">
        <f>IFERROR(TRIM(Raw_Data!A447), "Review")</f>
        <v>EMP1445</v>
      </c>
      <c r="B447" s="2" t="str">
        <f>IFERROR(TRIM(Raw_Data!B447), "Review")</f>
        <v>Alice</v>
      </c>
      <c r="C447" s="2" t="str">
        <f>IFERROR(TRIM(Raw_Data!C447), "Review")</f>
        <v>Williams</v>
      </c>
      <c r="D447" s="2">
        <f>IF(Raw_Data!D447="", "", IFERROR(VALUE(Raw_Data!D447), ""))</f>
        <v>40</v>
      </c>
      <c r="E447" s="2" t="str">
        <f>IFERROR(LEFT(Raw_Data!E447,SEARCH("-",Raw_Data!E447)-1),"Review")</f>
        <v>DevOps</v>
      </c>
      <c r="F447" s="2" t="str">
        <f>IFERROR(_xlfn.TEXTAFTER(Raw_Data!E447,"-"),"Review")</f>
        <v>California</v>
      </c>
      <c r="G447" s="2" t="str">
        <f>IFERROR(TRIM(Raw_Data!F447), "Review")</f>
        <v>Inactive</v>
      </c>
      <c r="H447" s="3" t="str">
        <f>IFERROR(TEXT(Raw_Data!G447, "YYYY-MM-DD"),"Review")</f>
        <v>2023-01-20</v>
      </c>
      <c r="I447" s="4">
        <f>IF(Raw_Data!H447="", "", IFERROR(VALUE(Raw_Data!H447), ""))</f>
        <v>104700.46</v>
      </c>
      <c r="J447" s="2" t="str">
        <f>IF(Raw_Data!I447="", "", IF(ISNUMBER(FIND("@", Raw_Data!I447)), Raw_Data!I447, "Review"))</f>
        <v>alice.williams@example.com</v>
      </c>
      <c r="K447" s="5" t="str">
        <f>IFERROR(TEXT(ABS(Raw_Data!J447), "0"), "Review")</f>
        <v>7855982175</v>
      </c>
      <c r="L447" s="2" t="str">
        <f>IFERROR(TRIM(Raw_Data!K447), "Review")</f>
        <v>Good</v>
      </c>
      <c r="M447" s="2" t="b">
        <f>IF(Raw_Data!L447="", "",
    IF(ISLOGICAL(Raw_Data!L447), Raw_Data!L447,
        IF(OR(UPPER(Raw_Data!L447)="TRUE", UPPER(Raw_Data!L447)="YES", UPPER(Raw_Data!L447)="1"), TRUE,
            IF(OR(UPPER(Raw_Data!L447)="FALSE", UPPER(Raw_Data!L447)="NO", UPPER(Raw_Data!L447)="0"), FALSE, "Review")
        )
    )
)</f>
        <v>1</v>
      </c>
    </row>
    <row r="448" spans="1:13" x14ac:dyDescent="0.4">
      <c r="A448" s="2" t="str">
        <f>IFERROR(TRIM(Raw_Data!A448), "Review")</f>
        <v>EMP1446</v>
      </c>
      <c r="B448" s="2" t="str">
        <f>IFERROR(TRIM(Raw_Data!B448), "Review")</f>
        <v>Frank</v>
      </c>
      <c r="C448" s="2" t="str">
        <f>IFERROR(TRIM(Raw_Data!C448), "Review")</f>
        <v>Williams</v>
      </c>
      <c r="D448" s="2">
        <f>IF(Raw_Data!D448="", "", IFERROR(VALUE(Raw_Data!D448), ""))</f>
        <v>40</v>
      </c>
      <c r="E448" s="2" t="str">
        <f>IFERROR(LEFT(Raw_Data!E448,SEARCH("-",Raw_Data!E448)-1),"Review")</f>
        <v>HR</v>
      </c>
      <c r="F448" s="2" t="str">
        <f>IFERROR(_xlfn.TEXTAFTER(Raw_Data!E448,"-"),"Review")</f>
        <v>New York</v>
      </c>
      <c r="G448" s="2" t="str">
        <f>IFERROR(TRIM(Raw_Data!F448), "Review")</f>
        <v>Active</v>
      </c>
      <c r="H448" s="3" t="str">
        <f>IFERROR(TEXT(Raw_Data!G448, "YYYY-MM-DD"),"Review")</f>
        <v>2021-10-15</v>
      </c>
      <c r="I448" s="4">
        <f>IF(Raw_Data!H448="", "", IFERROR(VALUE(Raw_Data!H448), ""))</f>
        <v>91798.14</v>
      </c>
      <c r="J448" s="2" t="str">
        <f>IF(Raw_Data!I448="", "", IF(ISNUMBER(FIND("@", Raw_Data!I448)), Raw_Data!I448, "Review"))</f>
        <v>frank.williams@example.com</v>
      </c>
      <c r="K448" s="5" t="str">
        <f>IFERROR(TEXT(ABS(Raw_Data!J448), "0"), "Review")</f>
        <v>6191284116</v>
      </c>
      <c r="L448" s="2" t="str">
        <f>IFERROR(TRIM(Raw_Data!K448), "Review")</f>
        <v>Good</v>
      </c>
      <c r="M448" s="2" t="b">
        <f>IF(Raw_Data!L448="", "",
    IF(ISLOGICAL(Raw_Data!L448), Raw_Data!L448,
        IF(OR(UPPER(Raw_Data!L448)="TRUE", UPPER(Raw_Data!L448)="YES", UPPER(Raw_Data!L448)="1"), TRUE,
            IF(OR(UPPER(Raw_Data!L448)="FALSE", UPPER(Raw_Data!L448)="NO", UPPER(Raw_Data!L448)="0"), FALSE, "Review")
        )
    )
)</f>
        <v>0</v>
      </c>
    </row>
    <row r="449" spans="1:13" x14ac:dyDescent="0.4">
      <c r="A449" s="2" t="str">
        <f>IFERROR(TRIM(Raw_Data!A449), "Review")</f>
        <v>EMP1447</v>
      </c>
      <c r="B449" s="2" t="str">
        <f>IFERROR(TRIM(Raw_Data!B449), "Review")</f>
        <v>Eva</v>
      </c>
      <c r="C449" s="2" t="str">
        <f>IFERROR(TRIM(Raw_Data!C449), "Review")</f>
        <v>Miller</v>
      </c>
      <c r="D449" s="2">
        <f>IF(Raw_Data!D449="", "", IFERROR(VALUE(Raw_Data!D449), ""))</f>
        <v>25</v>
      </c>
      <c r="E449" s="2" t="str">
        <f>IFERROR(LEFT(Raw_Data!E449,SEARCH("-",Raw_Data!E449)-1),"Review")</f>
        <v>Finance</v>
      </c>
      <c r="F449" s="2" t="str">
        <f>IFERROR(_xlfn.TEXTAFTER(Raw_Data!E449,"-"),"Review")</f>
        <v>Illinois</v>
      </c>
      <c r="G449" s="2" t="str">
        <f>IFERROR(TRIM(Raw_Data!F449), "Review")</f>
        <v>Inactive</v>
      </c>
      <c r="H449" s="3" t="str">
        <f>IFERROR(TEXT(Raw_Data!G449, "YYYY-MM-DD"),"Review")</f>
        <v>2024-04-19</v>
      </c>
      <c r="I449" s="4">
        <f>IF(Raw_Data!H449="", "", IFERROR(VALUE(Raw_Data!H449), ""))</f>
        <v>90879.22</v>
      </c>
      <c r="J449" s="2" t="str">
        <f>IF(Raw_Data!I449="", "", IF(ISNUMBER(FIND("@", Raw_Data!I449)), Raw_Data!I449, "Review"))</f>
        <v>eva.miller@example.com</v>
      </c>
      <c r="K449" s="5" t="str">
        <f>IFERROR(TEXT(ABS(Raw_Data!J449), "0"), "Review")</f>
        <v>3098503445</v>
      </c>
      <c r="L449" s="2" t="str">
        <f>IFERROR(TRIM(Raw_Data!K449), "Review")</f>
        <v>Good</v>
      </c>
      <c r="M449" s="2" t="b">
        <f>IF(Raw_Data!L449="", "",
    IF(ISLOGICAL(Raw_Data!L449), Raw_Data!L449,
        IF(OR(UPPER(Raw_Data!L449)="TRUE", UPPER(Raw_Data!L449)="YES", UPPER(Raw_Data!L449)="1"), TRUE,
            IF(OR(UPPER(Raw_Data!L449)="FALSE", UPPER(Raw_Data!L449)="NO", UPPER(Raw_Data!L449)="0"), FALSE, "Review")
        )
    )
)</f>
        <v>0</v>
      </c>
    </row>
    <row r="450" spans="1:13" x14ac:dyDescent="0.4">
      <c r="A450" s="2" t="str">
        <f>IFERROR(TRIM(Raw_Data!A450), "Review")</f>
        <v>EMP1448</v>
      </c>
      <c r="B450" s="2" t="str">
        <f>IFERROR(TRIM(Raw_Data!B450), "Review")</f>
        <v>Charlie</v>
      </c>
      <c r="C450" s="2" t="str">
        <f>IFERROR(TRIM(Raw_Data!C450), "Review")</f>
        <v>Davis</v>
      </c>
      <c r="D450" s="2">
        <f>IF(Raw_Data!D450="", "", IFERROR(VALUE(Raw_Data!D450), ""))</f>
        <v>25</v>
      </c>
      <c r="E450" s="2" t="str">
        <f>IFERROR(LEFT(Raw_Data!E450,SEARCH("-",Raw_Data!E450)-1),"Review")</f>
        <v>Admin</v>
      </c>
      <c r="F450" s="2" t="str">
        <f>IFERROR(_xlfn.TEXTAFTER(Raw_Data!E450,"-"),"Review")</f>
        <v>Nevada</v>
      </c>
      <c r="G450" s="2" t="str">
        <f>IFERROR(TRIM(Raw_Data!F450), "Review")</f>
        <v>Active</v>
      </c>
      <c r="H450" s="3" t="str">
        <f>IFERROR(TEXT(Raw_Data!G450, "YYYY-MM-DD"),"Review")</f>
        <v>2021-06-29</v>
      </c>
      <c r="I450" s="4">
        <f>IF(Raw_Data!H450="", "", IFERROR(VALUE(Raw_Data!H450), ""))</f>
        <v>87358.27</v>
      </c>
      <c r="J450" s="2" t="str">
        <f>IF(Raw_Data!I450="", "", IF(ISNUMBER(FIND("@", Raw_Data!I450)), Raw_Data!I450, "Review"))</f>
        <v>charlie.davis@example.com</v>
      </c>
      <c r="K450" s="5" t="str">
        <f>IFERROR(TEXT(ABS(Raw_Data!J450), "0"), "Review")</f>
        <v>5124189388</v>
      </c>
      <c r="L450" s="2" t="str">
        <f>IFERROR(TRIM(Raw_Data!K450), "Review")</f>
        <v>Poor</v>
      </c>
      <c r="M450" s="2" t="b">
        <f>IF(Raw_Data!L450="", "",
    IF(ISLOGICAL(Raw_Data!L450), Raw_Data!L450,
        IF(OR(UPPER(Raw_Data!L450)="TRUE", UPPER(Raw_Data!L450)="YES", UPPER(Raw_Data!L450)="1"), TRUE,
            IF(OR(UPPER(Raw_Data!L450)="FALSE", UPPER(Raw_Data!L450)="NO", UPPER(Raw_Data!L450)="0"), FALSE, "Review")
        )
    )
)</f>
        <v>0</v>
      </c>
    </row>
    <row r="451" spans="1:13" x14ac:dyDescent="0.4">
      <c r="A451" s="2" t="str">
        <f>IFERROR(TRIM(Raw_Data!A451), "Review")</f>
        <v>EMP1449</v>
      </c>
      <c r="B451" s="2" t="str">
        <f>IFERROR(TRIM(Raw_Data!B451), "Review")</f>
        <v>Alice</v>
      </c>
      <c r="C451" s="2" t="str">
        <f>IFERROR(TRIM(Raw_Data!C451), "Review")</f>
        <v>Miller</v>
      </c>
      <c r="D451" s="2">
        <f>IF(Raw_Data!D451="", "", IFERROR(VALUE(Raw_Data!D451), ""))</f>
        <v>30</v>
      </c>
      <c r="E451" s="2" t="str">
        <f>IFERROR(LEFT(Raw_Data!E451,SEARCH("-",Raw_Data!E451)-1),"Review")</f>
        <v>Sales</v>
      </c>
      <c r="F451" s="2" t="str">
        <f>IFERROR(_xlfn.TEXTAFTER(Raw_Data!E451,"-"),"Review")</f>
        <v>Florida</v>
      </c>
      <c r="G451" s="2" t="str">
        <f>IFERROR(TRIM(Raw_Data!F451), "Review")</f>
        <v>Inactive</v>
      </c>
      <c r="H451" s="3" t="str">
        <f>IFERROR(TEXT(Raw_Data!G451, "YYYY-MM-DD"),"Review")</f>
        <v>2024-09-14</v>
      </c>
      <c r="I451" s="4">
        <f>IF(Raw_Data!H451="", "", IFERROR(VALUE(Raw_Data!H451), ""))</f>
        <v>119407.93</v>
      </c>
      <c r="J451" s="2" t="str">
        <f>IF(Raw_Data!I451="", "", IF(ISNUMBER(FIND("@", Raw_Data!I451)), Raw_Data!I451, "Review"))</f>
        <v>alice.miller@example.com</v>
      </c>
      <c r="K451" s="5" t="str">
        <f>IFERROR(TEXT(ABS(Raw_Data!J451), "0"), "Review")</f>
        <v>8469081973</v>
      </c>
      <c r="L451" s="2" t="str">
        <f>IFERROR(TRIM(Raw_Data!K451), "Review")</f>
        <v>Excellent</v>
      </c>
      <c r="M451" s="2" t="b">
        <f>IF(Raw_Data!L451="", "",
    IF(ISLOGICAL(Raw_Data!L451), Raw_Data!L451,
        IF(OR(UPPER(Raw_Data!L451)="TRUE", UPPER(Raw_Data!L451)="YES", UPPER(Raw_Data!L451)="1"), TRUE,
            IF(OR(UPPER(Raw_Data!L451)="FALSE", UPPER(Raw_Data!L451)="NO", UPPER(Raw_Data!L451)="0"), FALSE, "Review")
        )
    )
)</f>
        <v>1</v>
      </c>
    </row>
    <row r="452" spans="1:13" x14ac:dyDescent="0.4">
      <c r="A452" s="2" t="str">
        <f>IFERROR(TRIM(Raw_Data!A452), "Review")</f>
        <v>EMP1450</v>
      </c>
      <c r="B452" s="2" t="str">
        <f>IFERROR(TRIM(Raw_Data!B452), "Review")</f>
        <v>David</v>
      </c>
      <c r="C452" s="2" t="str">
        <f>IFERROR(TRIM(Raw_Data!C452), "Review")</f>
        <v>Miller</v>
      </c>
      <c r="D452" s="2" t="str">
        <f>IF(Raw_Data!D452="", "", IFERROR(VALUE(Raw_Data!D452), ""))</f>
        <v/>
      </c>
      <c r="E452" s="2" t="str">
        <f>IFERROR(LEFT(Raw_Data!E452,SEARCH("-",Raw_Data!E452)-1),"Review")</f>
        <v>HR</v>
      </c>
      <c r="F452" s="2" t="str">
        <f>IFERROR(_xlfn.TEXTAFTER(Raw_Data!E452,"-"),"Review")</f>
        <v>Nevada</v>
      </c>
      <c r="G452" s="2" t="str">
        <f>IFERROR(TRIM(Raw_Data!F452), "Review")</f>
        <v>Pending</v>
      </c>
      <c r="H452" s="3" t="str">
        <f>IFERROR(TEXT(Raw_Data!G452, "YYYY-MM-DD"),"Review")</f>
        <v>2022-01-04</v>
      </c>
      <c r="I452" s="4">
        <f>IF(Raw_Data!H452="", "", IFERROR(VALUE(Raw_Data!H452), ""))</f>
        <v>113978.6</v>
      </c>
      <c r="J452" s="2" t="str">
        <f>IF(Raw_Data!I452="", "", IF(ISNUMBER(FIND("@", Raw_Data!I452)), Raw_Data!I452, "Review"))</f>
        <v>david.miller@example.com</v>
      </c>
      <c r="K452" s="5" t="str">
        <f>IFERROR(TEXT(ABS(Raw_Data!J452), "0"), "Review")</f>
        <v>56435022</v>
      </c>
      <c r="L452" s="2" t="str">
        <f>IFERROR(TRIM(Raw_Data!K452), "Review")</f>
        <v>Excellent</v>
      </c>
      <c r="M452" s="2" t="b">
        <f>IF(Raw_Data!L452="", "",
    IF(ISLOGICAL(Raw_Data!L452), Raw_Data!L452,
        IF(OR(UPPER(Raw_Data!L452)="TRUE", UPPER(Raw_Data!L452)="YES", UPPER(Raw_Data!L452)="1"), TRUE,
            IF(OR(UPPER(Raw_Data!L452)="FALSE", UPPER(Raw_Data!L452)="NO", UPPER(Raw_Data!L452)="0"), FALSE, "Review")
        )
    )
)</f>
        <v>1</v>
      </c>
    </row>
    <row r="453" spans="1:13" x14ac:dyDescent="0.4">
      <c r="A453" s="2" t="str">
        <f>IFERROR(TRIM(Raw_Data!A453), "Review")</f>
        <v>EMP1451</v>
      </c>
      <c r="B453" s="2" t="str">
        <f>IFERROR(TRIM(Raw_Data!B453), "Review")</f>
        <v>Frank</v>
      </c>
      <c r="C453" s="2" t="str">
        <f>IFERROR(TRIM(Raw_Data!C453), "Review")</f>
        <v>Miller</v>
      </c>
      <c r="D453" s="2" t="str">
        <f>IF(Raw_Data!D453="", "", IFERROR(VALUE(Raw_Data!D453), ""))</f>
        <v/>
      </c>
      <c r="E453" s="2" t="str">
        <f>IFERROR(LEFT(Raw_Data!E453,SEARCH("-",Raw_Data!E453)-1),"Review")</f>
        <v>Sales</v>
      </c>
      <c r="F453" s="2" t="str">
        <f>IFERROR(_xlfn.TEXTAFTER(Raw_Data!E453,"-"),"Review")</f>
        <v>New York</v>
      </c>
      <c r="G453" s="2" t="str">
        <f>IFERROR(TRIM(Raw_Data!F453), "Review")</f>
        <v>Pending</v>
      </c>
      <c r="H453" s="3" t="str">
        <f>IFERROR(TEXT(Raw_Data!G453, "YYYY-MM-DD"),"Review")</f>
        <v>2021-01-20</v>
      </c>
      <c r="I453" s="4">
        <f>IF(Raw_Data!H453="", "", IFERROR(VALUE(Raw_Data!H453), ""))</f>
        <v>108568.78</v>
      </c>
      <c r="J453" s="2" t="str">
        <f>IF(Raw_Data!I453="", "", IF(ISNUMBER(FIND("@", Raw_Data!I453)), Raw_Data!I453, "Review"))</f>
        <v>frank.miller@example.com</v>
      </c>
      <c r="K453" s="5" t="str">
        <f>IFERROR(TEXT(ABS(Raw_Data!J453), "0"), "Review")</f>
        <v>8503719904</v>
      </c>
      <c r="L453" s="2" t="str">
        <f>IFERROR(TRIM(Raw_Data!K453), "Review")</f>
        <v>Good</v>
      </c>
      <c r="M453" s="2" t="b">
        <f>IF(Raw_Data!L453="", "",
    IF(ISLOGICAL(Raw_Data!L453), Raw_Data!L453,
        IF(OR(UPPER(Raw_Data!L453)="TRUE", UPPER(Raw_Data!L453)="YES", UPPER(Raw_Data!L453)="1"), TRUE,
            IF(OR(UPPER(Raw_Data!L453)="FALSE", UPPER(Raw_Data!L453)="NO", UPPER(Raw_Data!L453)="0"), FALSE, "Review")
        )
    )
)</f>
        <v>1</v>
      </c>
    </row>
    <row r="454" spans="1:13" x14ac:dyDescent="0.4">
      <c r="A454" s="2" t="str">
        <f>IFERROR(TRIM(Raw_Data!A454), "Review")</f>
        <v>EMP1452</v>
      </c>
      <c r="B454" s="2" t="str">
        <f>IFERROR(TRIM(Raw_Data!B454), "Review")</f>
        <v>Heidi</v>
      </c>
      <c r="C454" s="2" t="str">
        <f>IFERROR(TRIM(Raw_Data!C454), "Review")</f>
        <v>Miller</v>
      </c>
      <c r="D454" s="2" t="str">
        <f>IF(Raw_Data!D454="", "", IFERROR(VALUE(Raw_Data!D454), ""))</f>
        <v/>
      </c>
      <c r="E454" s="2" t="str">
        <f>IFERROR(LEFT(Raw_Data!E454,SEARCH("-",Raw_Data!E454)-1),"Review")</f>
        <v>HR</v>
      </c>
      <c r="F454" s="2" t="str">
        <f>IFERROR(_xlfn.TEXTAFTER(Raw_Data!E454,"-"),"Review")</f>
        <v>New York</v>
      </c>
      <c r="G454" s="2" t="str">
        <f>IFERROR(TRIM(Raw_Data!F454), "Review")</f>
        <v>Inactive</v>
      </c>
      <c r="H454" s="3" t="str">
        <f>IFERROR(TEXT(Raw_Data!G454, "YYYY-MM-DD"),"Review")</f>
        <v>2020-03-18</v>
      </c>
      <c r="I454" s="4">
        <f>IF(Raw_Data!H454="", "", IFERROR(VALUE(Raw_Data!H454), ""))</f>
        <v>56318.02</v>
      </c>
      <c r="J454" s="2" t="str">
        <f>IF(Raw_Data!I454="", "", IF(ISNUMBER(FIND("@", Raw_Data!I454)), Raw_Data!I454, "Review"))</f>
        <v>heidi.miller@example.com</v>
      </c>
      <c r="K454" s="5" t="str">
        <f>IFERROR(TEXT(ABS(Raw_Data!J454), "0"), "Review")</f>
        <v>1699187239</v>
      </c>
      <c r="L454" s="2" t="str">
        <f>IFERROR(TRIM(Raw_Data!K454), "Review")</f>
        <v>Excellent</v>
      </c>
      <c r="M454" s="2" t="b">
        <f>IF(Raw_Data!L454="", "",
    IF(ISLOGICAL(Raw_Data!L454), Raw_Data!L454,
        IF(OR(UPPER(Raw_Data!L454)="TRUE", UPPER(Raw_Data!L454)="YES", UPPER(Raw_Data!L454)="1"), TRUE,
            IF(OR(UPPER(Raw_Data!L454)="FALSE", UPPER(Raw_Data!L454)="NO", UPPER(Raw_Data!L454)="0"), FALSE, "Review")
        )
    )
)</f>
        <v>0</v>
      </c>
    </row>
    <row r="455" spans="1:13" x14ac:dyDescent="0.4">
      <c r="A455" s="2" t="str">
        <f>IFERROR(TRIM(Raw_Data!A455), "Review")</f>
        <v>EMP1453</v>
      </c>
      <c r="B455" s="2" t="str">
        <f>IFERROR(TRIM(Raw_Data!B455), "Review")</f>
        <v>David</v>
      </c>
      <c r="C455" s="2" t="str">
        <f>IFERROR(TRIM(Raw_Data!C455), "Review")</f>
        <v>Miller</v>
      </c>
      <c r="D455" s="2">
        <f>IF(Raw_Data!D455="", "", IFERROR(VALUE(Raw_Data!D455), ""))</f>
        <v>25</v>
      </c>
      <c r="E455" s="2" t="str">
        <f>IFERROR(LEFT(Raw_Data!E455,SEARCH("-",Raw_Data!E455)-1),"Review")</f>
        <v>Sales</v>
      </c>
      <c r="F455" s="2" t="str">
        <f>IFERROR(_xlfn.TEXTAFTER(Raw_Data!E455,"-"),"Review")</f>
        <v>Florida</v>
      </c>
      <c r="G455" s="2" t="str">
        <f>IFERROR(TRIM(Raw_Data!F455), "Review")</f>
        <v>Active</v>
      </c>
      <c r="H455" s="3" t="str">
        <f>IFERROR(TEXT(Raw_Data!G455, "YYYY-MM-DD"),"Review")</f>
        <v>2021-11-10</v>
      </c>
      <c r="I455" s="4">
        <f>IF(Raw_Data!H455="", "", IFERROR(VALUE(Raw_Data!H455), ""))</f>
        <v>114252.73</v>
      </c>
      <c r="J455" s="2" t="str">
        <f>IF(Raw_Data!I455="", "", IF(ISNUMBER(FIND("@", Raw_Data!I455)), Raw_Data!I455, "Review"))</f>
        <v>david.miller@example.com</v>
      </c>
      <c r="K455" s="5" t="str">
        <f>IFERROR(TEXT(ABS(Raw_Data!J455), "0"), "Review")</f>
        <v>1078356742</v>
      </c>
      <c r="L455" s="2" t="str">
        <f>IFERROR(TRIM(Raw_Data!K455), "Review")</f>
        <v>Good</v>
      </c>
      <c r="M455" s="2" t="b">
        <f>IF(Raw_Data!L455="", "",
    IF(ISLOGICAL(Raw_Data!L455), Raw_Data!L455,
        IF(OR(UPPER(Raw_Data!L455)="TRUE", UPPER(Raw_Data!L455)="YES", UPPER(Raw_Data!L455)="1"), TRUE,
            IF(OR(UPPER(Raw_Data!L455)="FALSE", UPPER(Raw_Data!L455)="NO", UPPER(Raw_Data!L455)="0"), FALSE, "Review")
        )
    )
)</f>
        <v>0</v>
      </c>
    </row>
    <row r="456" spans="1:13" x14ac:dyDescent="0.4">
      <c r="A456" s="2" t="str">
        <f>IFERROR(TRIM(Raw_Data!A456), "Review")</f>
        <v>EMP1454</v>
      </c>
      <c r="B456" s="2" t="str">
        <f>IFERROR(TRIM(Raw_Data!B456), "Review")</f>
        <v>Charlie</v>
      </c>
      <c r="C456" s="2" t="str">
        <f>IFERROR(TRIM(Raw_Data!C456), "Review")</f>
        <v>Jones</v>
      </c>
      <c r="D456" s="2">
        <f>IF(Raw_Data!D456="", "", IFERROR(VALUE(Raw_Data!D456), ""))</f>
        <v>35</v>
      </c>
      <c r="E456" s="2" t="str">
        <f>IFERROR(LEFT(Raw_Data!E456,SEARCH("-",Raw_Data!E456)-1),"Review")</f>
        <v>DevOps</v>
      </c>
      <c r="F456" s="2" t="str">
        <f>IFERROR(_xlfn.TEXTAFTER(Raw_Data!E456,"-"),"Review")</f>
        <v>New York</v>
      </c>
      <c r="G456" s="2" t="str">
        <f>IFERROR(TRIM(Raw_Data!F456), "Review")</f>
        <v>Inactive</v>
      </c>
      <c r="H456" s="3" t="str">
        <f>IFERROR(TEXT(Raw_Data!G456, "YYYY-MM-DD"),"Review")</f>
        <v>2020-05-01</v>
      </c>
      <c r="I456" s="4">
        <f>IF(Raw_Data!H456="", "", IFERROR(VALUE(Raw_Data!H456), ""))</f>
        <v>51533.9</v>
      </c>
      <c r="J456" s="2" t="str">
        <f>IF(Raw_Data!I456="", "", IF(ISNUMBER(FIND("@", Raw_Data!I456)), Raw_Data!I456, "Review"))</f>
        <v>charlie.jones@example.com</v>
      </c>
      <c r="K456" s="5" t="str">
        <f>IFERROR(TEXT(ABS(Raw_Data!J456), "0"), "Review")</f>
        <v>3896086</v>
      </c>
      <c r="L456" s="2" t="str">
        <f>IFERROR(TRIM(Raw_Data!K456), "Review")</f>
        <v>Poor</v>
      </c>
      <c r="M456" s="2" t="b">
        <f>IF(Raw_Data!L456="", "",
    IF(ISLOGICAL(Raw_Data!L456), Raw_Data!L456,
        IF(OR(UPPER(Raw_Data!L456)="TRUE", UPPER(Raw_Data!L456)="YES", UPPER(Raw_Data!L456)="1"), TRUE,
            IF(OR(UPPER(Raw_Data!L456)="FALSE", UPPER(Raw_Data!L456)="NO", UPPER(Raw_Data!L456)="0"), FALSE, "Review")
        )
    )
)</f>
        <v>1</v>
      </c>
    </row>
    <row r="457" spans="1:13" x14ac:dyDescent="0.4">
      <c r="A457" s="2" t="str">
        <f>IFERROR(TRIM(Raw_Data!A457), "Review")</f>
        <v>EMP1455</v>
      </c>
      <c r="B457" s="2" t="str">
        <f>IFERROR(TRIM(Raw_Data!B457), "Review")</f>
        <v>Charlie</v>
      </c>
      <c r="C457" s="2" t="str">
        <f>IFERROR(TRIM(Raw_Data!C457), "Review")</f>
        <v>Williams</v>
      </c>
      <c r="D457" s="2">
        <f>IF(Raw_Data!D457="", "", IFERROR(VALUE(Raw_Data!D457), ""))</f>
        <v>25</v>
      </c>
      <c r="E457" s="2" t="str">
        <f>IFERROR(LEFT(Raw_Data!E457,SEARCH("-",Raw_Data!E457)-1),"Review")</f>
        <v>Sales</v>
      </c>
      <c r="F457" s="2" t="str">
        <f>IFERROR(_xlfn.TEXTAFTER(Raw_Data!E457,"-"),"Review")</f>
        <v>California</v>
      </c>
      <c r="G457" s="2" t="str">
        <f>IFERROR(TRIM(Raw_Data!F457), "Review")</f>
        <v>Active</v>
      </c>
      <c r="H457" s="3" t="str">
        <f>IFERROR(TEXT(Raw_Data!G457, "YYYY-MM-DD"),"Review")</f>
        <v>2022-02-04</v>
      </c>
      <c r="I457" s="4">
        <f>IF(Raw_Data!H457="", "", IFERROR(VALUE(Raw_Data!H457), ""))</f>
        <v>99317.66</v>
      </c>
      <c r="J457" s="2" t="str">
        <f>IF(Raw_Data!I457="", "", IF(ISNUMBER(FIND("@", Raw_Data!I457)), Raw_Data!I457, "Review"))</f>
        <v>charlie.williams@example.com</v>
      </c>
      <c r="K457" s="5" t="str">
        <f>IFERROR(TEXT(ABS(Raw_Data!J457), "0"), "Review")</f>
        <v>662668216</v>
      </c>
      <c r="L457" s="2" t="str">
        <f>IFERROR(TRIM(Raw_Data!K457), "Review")</f>
        <v>Poor</v>
      </c>
      <c r="M457" s="2" t="b">
        <f>IF(Raw_Data!L457="", "",
    IF(ISLOGICAL(Raw_Data!L457), Raw_Data!L457,
        IF(OR(UPPER(Raw_Data!L457)="TRUE", UPPER(Raw_Data!L457)="YES", UPPER(Raw_Data!L457)="1"), TRUE,
            IF(OR(UPPER(Raw_Data!L457)="FALSE", UPPER(Raw_Data!L457)="NO", UPPER(Raw_Data!L457)="0"), FALSE, "Review")
        )
    )
)</f>
        <v>0</v>
      </c>
    </row>
    <row r="458" spans="1:13" x14ac:dyDescent="0.4">
      <c r="A458" s="2" t="str">
        <f>IFERROR(TRIM(Raw_Data!A458), "Review")</f>
        <v>EMP1456</v>
      </c>
      <c r="B458" s="2" t="str">
        <f>IFERROR(TRIM(Raw_Data!B458), "Review")</f>
        <v>Bob</v>
      </c>
      <c r="C458" s="2" t="str">
        <f>IFERROR(TRIM(Raw_Data!C458), "Review")</f>
        <v>Miller</v>
      </c>
      <c r="D458" s="2">
        <f>IF(Raw_Data!D458="", "", IFERROR(VALUE(Raw_Data!D458), ""))</f>
        <v>35</v>
      </c>
      <c r="E458" s="2" t="str">
        <f>IFERROR(LEFT(Raw_Data!E458,SEARCH("-",Raw_Data!E458)-1),"Review")</f>
        <v>HR</v>
      </c>
      <c r="F458" s="2" t="str">
        <f>IFERROR(_xlfn.TEXTAFTER(Raw_Data!E458,"-"),"Review")</f>
        <v>California</v>
      </c>
      <c r="G458" s="2" t="str">
        <f>IFERROR(TRIM(Raw_Data!F458), "Review")</f>
        <v>Active</v>
      </c>
      <c r="H458" s="3" t="str">
        <f>IFERROR(TEXT(Raw_Data!G458, "YYYY-MM-DD"),"Review")</f>
        <v>2020-11-18</v>
      </c>
      <c r="I458" s="4">
        <f>IF(Raw_Data!H458="", "", IFERROR(VALUE(Raw_Data!H458), ""))</f>
        <v>101264.64</v>
      </c>
      <c r="J458" s="2" t="str">
        <f>IF(Raw_Data!I458="", "", IF(ISNUMBER(FIND("@", Raw_Data!I458)), Raw_Data!I458, "Review"))</f>
        <v>bob.miller@example.com</v>
      </c>
      <c r="K458" s="5" t="str">
        <f>IFERROR(TEXT(ABS(Raw_Data!J458), "0"), "Review")</f>
        <v>1955356032</v>
      </c>
      <c r="L458" s="2" t="str">
        <f>IFERROR(TRIM(Raw_Data!K458), "Review")</f>
        <v>Average</v>
      </c>
      <c r="M458" s="2" t="b">
        <f>IF(Raw_Data!L458="", "",
    IF(ISLOGICAL(Raw_Data!L458), Raw_Data!L458,
        IF(OR(UPPER(Raw_Data!L458)="TRUE", UPPER(Raw_Data!L458)="YES", UPPER(Raw_Data!L458)="1"), TRUE,
            IF(OR(UPPER(Raw_Data!L458)="FALSE", UPPER(Raw_Data!L458)="NO", UPPER(Raw_Data!L458)="0"), FALSE, "Review")
        )
    )
)</f>
        <v>0</v>
      </c>
    </row>
    <row r="459" spans="1:13" x14ac:dyDescent="0.4">
      <c r="A459" s="2" t="str">
        <f>IFERROR(TRIM(Raw_Data!A459), "Review")</f>
        <v>EMP1457</v>
      </c>
      <c r="B459" s="2" t="str">
        <f>IFERROR(TRIM(Raw_Data!B459), "Review")</f>
        <v>Heidi</v>
      </c>
      <c r="C459" s="2" t="str">
        <f>IFERROR(TRIM(Raw_Data!C459), "Review")</f>
        <v>Garcia</v>
      </c>
      <c r="D459" s="2">
        <f>IF(Raw_Data!D459="", "", IFERROR(VALUE(Raw_Data!D459), ""))</f>
        <v>35</v>
      </c>
      <c r="E459" s="2" t="str">
        <f>IFERROR(LEFT(Raw_Data!E459,SEARCH("-",Raw_Data!E459)-1),"Review")</f>
        <v>Admin</v>
      </c>
      <c r="F459" s="2" t="str">
        <f>IFERROR(_xlfn.TEXTAFTER(Raw_Data!E459,"-"),"Review")</f>
        <v>Nevada</v>
      </c>
      <c r="G459" s="2" t="str">
        <f>IFERROR(TRIM(Raw_Data!F459), "Review")</f>
        <v>Pending</v>
      </c>
      <c r="H459" s="3" t="str">
        <f>IFERROR(TEXT(Raw_Data!G459, "YYYY-MM-DD"),"Review")</f>
        <v>2023-11-21</v>
      </c>
      <c r="I459" s="4">
        <f>IF(Raw_Data!H459="", "", IFERROR(VALUE(Raw_Data!H459), ""))</f>
        <v>112272.02</v>
      </c>
      <c r="J459" s="2" t="str">
        <f>IF(Raw_Data!I459="", "", IF(ISNUMBER(FIND("@", Raw_Data!I459)), Raw_Data!I459, "Review"))</f>
        <v>heidi.garcia@example.com</v>
      </c>
      <c r="K459" s="5" t="str">
        <f>IFERROR(TEXT(ABS(Raw_Data!J459), "0"), "Review")</f>
        <v>1903689002</v>
      </c>
      <c r="L459" s="2" t="str">
        <f>IFERROR(TRIM(Raw_Data!K459), "Review")</f>
        <v>Poor</v>
      </c>
      <c r="M459" s="2" t="b">
        <f>IF(Raw_Data!L459="", "",
    IF(ISLOGICAL(Raw_Data!L459), Raw_Data!L459,
        IF(OR(UPPER(Raw_Data!L459)="TRUE", UPPER(Raw_Data!L459)="YES", UPPER(Raw_Data!L459)="1"), TRUE,
            IF(OR(UPPER(Raw_Data!L459)="FALSE", UPPER(Raw_Data!L459)="NO", UPPER(Raw_Data!L459)="0"), FALSE, "Review")
        )
    )
)</f>
        <v>0</v>
      </c>
    </row>
    <row r="460" spans="1:13" x14ac:dyDescent="0.4">
      <c r="A460" s="2" t="str">
        <f>IFERROR(TRIM(Raw_Data!A460), "Review")</f>
        <v>EMP1458</v>
      </c>
      <c r="B460" s="2" t="str">
        <f>IFERROR(TRIM(Raw_Data!B460), "Review")</f>
        <v>Frank</v>
      </c>
      <c r="C460" s="2" t="str">
        <f>IFERROR(TRIM(Raw_Data!C460), "Review")</f>
        <v>Williams</v>
      </c>
      <c r="D460" s="2">
        <f>IF(Raw_Data!D460="", "", IFERROR(VALUE(Raw_Data!D460), ""))</f>
        <v>30</v>
      </c>
      <c r="E460" s="2" t="str">
        <f>IFERROR(LEFT(Raw_Data!E460,SEARCH("-",Raw_Data!E460)-1),"Review")</f>
        <v>DevOps</v>
      </c>
      <c r="F460" s="2" t="str">
        <f>IFERROR(_xlfn.TEXTAFTER(Raw_Data!E460,"-"),"Review")</f>
        <v>Illinois</v>
      </c>
      <c r="G460" s="2" t="str">
        <f>IFERROR(TRIM(Raw_Data!F460), "Review")</f>
        <v>Active</v>
      </c>
      <c r="H460" s="3" t="str">
        <f>IFERROR(TEXT(Raw_Data!G460, "YYYY-MM-DD"),"Review")</f>
        <v>2022-02-13</v>
      </c>
      <c r="I460" s="4">
        <f>IF(Raw_Data!H460="", "", IFERROR(VALUE(Raw_Data!H460), ""))</f>
        <v>71477.63</v>
      </c>
      <c r="J460" s="2" t="str">
        <f>IF(Raw_Data!I460="", "", IF(ISNUMBER(FIND("@", Raw_Data!I460)), Raw_Data!I460, "Review"))</f>
        <v>frank.williams@example.com</v>
      </c>
      <c r="K460" s="5" t="str">
        <f>IFERROR(TEXT(ABS(Raw_Data!J460), "0"), "Review")</f>
        <v>102724054</v>
      </c>
      <c r="L460" s="2" t="str">
        <f>IFERROR(TRIM(Raw_Data!K460), "Review")</f>
        <v>Good</v>
      </c>
      <c r="M460" s="2" t="b">
        <f>IF(Raw_Data!L460="", "",
    IF(ISLOGICAL(Raw_Data!L460), Raw_Data!L460,
        IF(OR(UPPER(Raw_Data!L460)="TRUE", UPPER(Raw_Data!L460)="YES", UPPER(Raw_Data!L460)="1"), TRUE,
            IF(OR(UPPER(Raw_Data!L460)="FALSE", UPPER(Raw_Data!L460)="NO", UPPER(Raw_Data!L460)="0"), FALSE, "Review")
        )
    )
)</f>
        <v>1</v>
      </c>
    </row>
    <row r="461" spans="1:13" x14ac:dyDescent="0.4">
      <c r="A461" s="2" t="str">
        <f>IFERROR(TRIM(Raw_Data!A461), "Review")</f>
        <v>EMP1459</v>
      </c>
      <c r="B461" s="2" t="str">
        <f>IFERROR(TRIM(Raw_Data!B461), "Review")</f>
        <v>Charlie</v>
      </c>
      <c r="C461" s="2" t="str">
        <f>IFERROR(TRIM(Raw_Data!C461), "Review")</f>
        <v>Williams</v>
      </c>
      <c r="D461" s="2">
        <f>IF(Raw_Data!D461="", "", IFERROR(VALUE(Raw_Data!D461), ""))</f>
        <v>30</v>
      </c>
      <c r="E461" s="2" t="str">
        <f>IFERROR(LEFT(Raw_Data!E461,SEARCH("-",Raw_Data!E461)-1),"Review")</f>
        <v>DevOps</v>
      </c>
      <c r="F461" s="2" t="str">
        <f>IFERROR(_xlfn.TEXTAFTER(Raw_Data!E461,"-"),"Review")</f>
        <v>Texas</v>
      </c>
      <c r="G461" s="2" t="str">
        <f>IFERROR(TRIM(Raw_Data!F461), "Review")</f>
        <v>Pending</v>
      </c>
      <c r="H461" s="3" t="str">
        <f>IFERROR(TEXT(Raw_Data!G461, "YYYY-MM-DD"),"Review")</f>
        <v>2023-03-19</v>
      </c>
      <c r="I461" s="4">
        <f>IF(Raw_Data!H461="", "", IFERROR(VALUE(Raw_Data!H461), ""))</f>
        <v>77412.100000000006</v>
      </c>
      <c r="J461" s="2" t="str">
        <f>IF(Raw_Data!I461="", "", IF(ISNUMBER(FIND("@", Raw_Data!I461)), Raw_Data!I461, "Review"))</f>
        <v>charlie.williams@example.com</v>
      </c>
      <c r="K461" s="5" t="str">
        <f>IFERROR(TEXT(ABS(Raw_Data!J461), "0"), "Review")</f>
        <v>9342967110</v>
      </c>
      <c r="L461" s="2" t="str">
        <f>IFERROR(TRIM(Raw_Data!K461), "Review")</f>
        <v>Poor</v>
      </c>
      <c r="M461" s="2" t="b">
        <f>IF(Raw_Data!L461="", "",
    IF(ISLOGICAL(Raw_Data!L461), Raw_Data!L461,
        IF(OR(UPPER(Raw_Data!L461)="TRUE", UPPER(Raw_Data!L461)="YES", UPPER(Raw_Data!L461)="1"), TRUE,
            IF(OR(UPPER(Raw_Data!L461)="FALSE", UPPER(Raw_Data!L461)="NO", UPPER(Raw_Data!L461)="0"), FALSE, "Review")
        )
    )
)</f>
        <v>0</v>
      </c>
    </row>
    <row r="462" spans="1:13" x14ac:dyDescent="0.4">
      <c r="A462" s="2" t="str">
        <f>IFERROR(TRIM(Raw_Data!A462), "Review")</f>
        <v>EMP1460</v>
      </c>
      <c r="B462" s="2" t="str">
        <f>IFERROR(TRIM(Raw_Data!B462), "Review")</f>
        <v>Alice</v>
      </c>
      <c r="C462" s="2" t="str">
        <f>IFERROR(TRIM(Raw_Data!C462), "Review")</f>
        <v>Johnson</v>
      </c>
      <c r="D462" s="2">
        <f>IF(Raw_Data!D462="", "", IFERROR(VALUE(Raw_Data!D462), ""))</f>
        <v>30</v>
      </c>
      <c r="E462" s="2" t="str">
        <f>IFERROR(LEFT(Raw_Data!E462,SEARCH("-",Raw_Data!E462)-1),"Review")</f>
        <v>Sales</v>
      </c>
      <c r="F462" s="2" t="str">
        <f>IFERROR(_xlfn.TEXTAFTER(Raw_Data!E462,"-"),"Review")</f>
        <v>California</v>
      </c>
      <c r="G462" s="2" t="str">
        <f>IFERROR(TRIM(Raw_Data!F462), "Review")</f>
        <v>Pending</v>
      </c>
      <c r="H462" s="3" t="str">
        <f>IFERROR(TEXT(Raw_Data!G462, "YYYY-MM-DD"),"Review")</f>
        <v>2021-03-28</v>
      </c>
      <c r="I462" s="4">
        <f>IF(Raw_Data!H462="", "", IFERROR(VALUE(Raw_Data!H462), ""))</f>
        <v>94775.27</v>
      </c>
      <c r="J462" s="2" t="str">
        <f>IF(Raw_Data!I462="", "", IF(ISNUMBER(FIND("@", Raw_Data!I462)), Raw_Data!I462, "Review"))</f>
        <v>alice.johnson@example.com</v>
      </c>
      <c r="K462" s="5" t="str">
        <f>IFERROR(TEXT(ABS(Raw_Data!J462), "0"), "Review")</f>
        <v>4837537457</v>
      </c>
      <c r="L462" s="2" t="str">
        <f>IFERROR(TRIM(Raw_Data!K462), "Review")</f>
        <v>Average</v>
      </c>
      <c r="M462" s="2" t="b">
        <f>IF(Raw_Data!L462="", "",
    IF(ISLOGICAL(Raw_Data!L462), Raw_Data!L462,
        IF(OR(UPPER(Raw_Data!L462)="TRUE", UPPER(Raw_Data!L462)="YES", UPPER(Raw_Data!L462)="1"), TRUE,
            IF(OR(UPPER(Raw_Data!L462)="FALSE", UPPER(Raw_Data!L462)="NO", UPPER(Raw_Data!L462)="0"), FALSE, "Review")
        )
    )
)</f>
        <v>0</v>
      </c>
    </row>
    <row r="463" spans="1:13" x14ac:dyDescent="0.4">
      <c r="A463" s="2" t="str">
        <f>IFERROR(TRIM(Raw_Data!A463), "Review")</f>
        <v>EMP1461</v>
      </c>
      <c r="B463" s="2" t="str">
        <f>IFERROR(TRIM(Raw_Data!B463), "Review")</f>
        <v>Heidi</v>
      </c>
      <c r="C463" s="2" t="str">
        <f>IFERROR(TRIM(Raw_Data!C463), "Review")</f>
        <v>Jones</v>
      </c>
      <c r="D463" s="2">
        <f>IF(Raw_Data!D463="", "", IFERROR(VALUE(Raw_Data!D463), ""))</f>
        <v>30</v>
      </c>
      <c r="E463" s="2" t="str">
        <f>IFERROR(LEFT(Raw_Data!E463,SEARCH("-",Raw_Data!E463)-1),"Review")</f>
        <v>HR</v>
      </c>
      <c r="F463" s="2" t="str">
        <f>IFERROR(_xlfn.TEXTAFTER(Raw_Data!E463,"-"),"Review")</f>
        <v>Nevada</v>
      </c>
      <c r="G463" s="2" t="str">
        <f>IFERROR(TRIM(Raw_Data!F463), "Review")</f>
        <v>Active</v>
      </c>
      <c r="H463" s="3" t="str">
        <f>IFERROR(TEXT(Raw_Data!G463, "YYYY-MM-DD"),"Review")</f>
        <v>2021-05-02</v>
      </c>
      <c r="I463" s="4">
        <f>IF(Raw_Data!H463="", "", IFERROR(VALUE(Raw_Data!H463), ""))</f>
        <v>74276.710000000006</v>
      </c>
      <c r="J463" s="2" t="str">
        <f>IF(Raw_Data!I463="", "", IF(ISNUMBER(FIND("@", Raw_Data!I463)), Raw_Data!I463, "Review"))</f>
        <v>heidi.jones@example.com</v>
      </c>
      <c r="K463" s="5" t="str">
        <f>IFERROR(TEXT(ABS(Raw_Data!J463), "0"), "Review")</f>
        <v>4384588104</v>
      </c>
      <c r="L463" s="2" t="str">
        <f>IFERROR(TRIM(Raw_Data!K463), "Review")</f>
        <v>Excellent</v>
      </c>
      <c r="M463" s="2" t="b">
        <f>IF(Raw_Data!L463="", "",
    IF(ISLOGICAL(Raw_Data!L463), Raw_Data!L463,
        IF(OR(UPPER(Raw_Data!L463)="TRUE", UPPER(Raw_Data!L463)="YES", UPPER(Raw_Data!L463)="1"), TRUE,
            IF(OR(UPPER(Raw_Data!L463)="FALSE", UPPER(Raw_Data!L463)="NO", UPPER(Raw_Data!L463)="0"), FALSE, "Review")
        )
    )
)</f>
        <v>1</v>
      </c>
    </row>
    <row r="464" spans="1:13" x14ac:dyDescent="0.4">
      <c r="A464" s="2" t="str">
        <f>IFERROR(TRIM(Raw_Data!A464), "Review")</f>
        <v>EMP1462</v>
      </c>
      <c r="B464" s="2" t="str">
        <f>IFERROR(TRIM(Raw_Data!B464), "Review")</f>
        <v>Bob</v>
      </c>
      <c r="C464" s="2" t="str">
        <f>IFERROR(TRIM(Raw_Data!C464), "Review")</f>
        <v>Miller</v>
      </c>
      <c r="D464" s="2">
        <f>IF(Raw_Data!D464="", "", IFERROR(VALUE(Raw_Data!D464), ""))</f>
        <v>35</v>
      </c>
      <c r="E464" s="2" t="str">
        <f>IFERROR(LEFT(Raw_Data!E464,SEARCH("-",Raw_Data!E464)-1),"Review")</f>
        <v>Finance</v>
      </c>
      <c r="F464" s="2" t="str">
        <f>IFERROR(_xlfn.TEXTAFTER(Raw_Data!E464,"-"),"Review")</f>
        <v>Texas</v>
      </c>
      <c r="G464" s="2" t="str">
        <f>IFERROR(TRIM(Raw_Data!F464), "Review")</f>
        <v>Inactive</v>
      </c>
      <c r="H464" s="3" t="str">
        <f>IFERROR(TEXT(Raw_Data!G464, "YYYY-MM-DD"),"Review")</f>
        <v>2021-03-05</v>
      </c>
      <c r="I464" s="4">
        <f>IF(Raw_Data!H464="", "", IFERROR(VALUE(Raw_Data!H464), ""))</f>
        <v>67467.86</v>
      </c>
      <c r="J464" s="2" t="str">
        <f>IF(Raw_Data!I464="", "", IF(ISNUMBER(FIND("@", Raw_Data!I464)), Raw_Data!I464, "Review"))</f>
        <v>bob.miller@example.com</v>
      </c>
      <c r="K464" s="5" t="str">
        <f>IFERROR(TEXT(ABS(Raw_Data!J464), "0"), "Review")</f>
        <v>6974132833</v>
      </c>
      <c r="L464" s="2" t="str">
        <f>IFERROR(TRIM(Raw_Data!K464), "Review")</f>
        <v>Good</v>
      </c>
      <c r="M464" s="2" t="b">
        <f>IF(Raw_Data!L464="", "",
    IF(ISLOGICAL(Raw_Data!L464), Raw_Data!L464,
        IF(OR(UPPER(Raw_Data!L464)="TRUE", UPPER(Raw_Data!L464)="YES", UPPER(Raw_Data!L464)="1"), TRUE,
            IF(OR(UPPER(Raw_Data!L464)="FALSE", UPPER(Raw_Data!L464)="NO", UPPER(Raw_Data!L464)="0"), FALSE, "Review")
        )
    )
)</f>
        <v>1</v>
      </c>
    </row>
    <row r="465" spans="1:13" x14ac:dyDescent="0.4">
      <c r="A465" s="2" t="str">
        <f>IFERROR(TRIM(Raw_Data!A465), "Review")</f>
        <v>EMP1463</v>
      </c>
      <c r="B465" s="2" t="str">
        <f>IFERROR(TRIM(Raw_Data!B465), "Review")</f>
        <v>Eva</v>
      </c>
      <c r="C465" s="2" t="str">
        <f>IFERROR(TRIM(Raw_Data!C465), "Review")</f>
        <v>Smith</v>
      </c>
      <c r="D465" s="2">
        <f>IF(Raw_Data!D465="", "", IFERROR(VALUE(Raw_Data!D465), ""))</f>
        <v>25</v>
      </c>
      <c r="E465" s="2" t="str">
        <f>IFERROR(LEFT(Raw_Data!E465,SEARCH("-",Raw_Data!E465)-1),"Review")</f>
        <v>DevOps</v>
      </c>
      <c r="F465" s="2" t="str">
        <f>IFERROR(_xlfn.TEXTAFTER(Raw_Data!E465,"-"),"Review")</f>
        <v>Texas</v>
      </c>
      <c r="G465" s="2" t="str">
        <f>IFERROR(TRIM(Raw_Data!F465), "Review")</f>
        <v>Active</v>
      </c>
      <c r="H465" s="3" t="str">
        <f>IFERROR(TEXT(Raw_Data!G465, "YYYY-MM-DD"),"Review")</f>
        <v>2022-03-01</v>
      </c>
      <c r="I465" s="4">
        <f>IF(Raw_Data!H465="", "", IFERROR(VALUE(Raw_Data!H465), ""))</f>
        <v>80675.41</v>
      </c>
      <c r="J465" s="2" t="str">
        <f>IF(Raw_Data!I465="", "", IF(ISNUMBER(FIND("@", Raw_Data!I465)), Raw_Data!I465, "Review"))</f>
        <v>eva.smith@example.com</v>
      </c>
      <c r="K465" s="5" t="str">
        <f>IFERROR(TEXT(ABS(Raw_Data!J465), "0"), "Review")</f>
        <v>8315203770</v>
      </c>
      <c r="L465" s="2" t="str">
        <f>IFERROR(TRIM(Raw_Data!K465), "Review")</f>
        <v>Excellent</v>
      </c>
      <c r="M465" s="2" t="b">
        <f>IF(Raw_Data!L465="", "",
    IF(ISLOGICAL(Raw_Data!L465), Raw_Data!L465,
        IF(OR(UPPER(Raw_Data!L465)="TRUE", UPPER(Raw_Data!L465)="YES", UPPER(Raw_Data!L465)="1"), TRUE,
            IF(OR(UPPER(Raw_Data!L465)="FALSE", UPPER(Raw_Data!L465)="NO", UPPER(Raw_Data!L465)="0"), FALSE, "Review")
        )
    )
)</f>
        <v>0</v>
      </c>
    </row>
    <row r="466" spans="1:13" x14ac:dyDescent="0.4">
      <c r="A466" s="2" t="str">
        <f>IFERROR(TRIM(Raw_Data!A466), "Review")</f>
        <v>EMP1464</v>
      </c>
      <c r="B466" s="2" t="str">
        <f>IFERROR(TRIM(Raw_Data!B466), "Review")</f>
        <v>Charlie</v>
      </c>
      <c r="C466" s="2" t="str">
        <f>IFERROR(TRIM(Raw_Data!C466), "Review")</f>
        <v>Brown</v>
      </c>
      <c r="D466" s="2">
        <f>IF(Raw_Data!D466="", "", IFERROR(VALUE(Raw_Data!D466), ""))</f>
        <v>40</v>
      </c>
      <c r="E466" s="2" t="str">
        <f>IFERROR(LEFT(Raw_Data!E466,SEARCH("-",Raw_Data!E466)-1),"Review")</f>
        <v>Finance</v>
      </c>
      <c r="F466" s="2" t="str">
        <f>IFERROR(_xlfn.TEXTAFTER(Raw_Data!E466,"-"),"Review")</f>
        <v>Florida</v>
      </c>
      <c r="G466" s="2" t="str">
        <f>IFERROR(TRIM(Raw_Data!F466), "Review")</f>
        <v>Inactive</v>
      </c>
      <c r="H466" s="3" t="str">
        <f>IFERROR(TEXT(Raw_Data!G466, "YYYY-MM-DD"),"Review")</f>
        <v>2023-01-23</v>
      </c>
      <c r="I466" s="4">
        <f>IF(Raw_Data!H466="", "", IFERROR(VALUE(Raw_Data!H466), ""))</f>
        <v>76274.33</v>
      </c>
      <c r="J466" s="2" t="str">
        <f>IF(Raw_Data!I466="", "", IF(ISNUMBER(FIND("@", Raw_Data!I466)), Raw_Data!I466, "Review"))</f>
        <v>charlie.brown@example.com</v>
      </c>
      <c r="K466" s="5" t="str">
        <f>IFERROR(TEXT(ABS(Raw_Data!J466), "0"), "Review")</f>
        <v>704496409</v>
      </c>
      <c r="L466" s="2" t="str">
        <f>IFERROR(TRIM(Raw_Data!K466), "Review")</f>
        <v>Average</v>
      </c>
      <c r="M466" s="2" t="b">
        <f>IF(Raw_Data!L466="", "",
    IF(ISLOGICAL(Raw_Data!L466), Raw_Data!L466,
        IF(OR(UPPER(Raw_Data!L466)="TRUE", UPPER(Raw_Data!L466)="YES", UPPER(Raw_Data!L466)="1"), TRUE,
            IF(OR(UPPER(Raw_Data!L466)="FALSE", UPPER(Raw_Data!L466)="NO", UPPER(Raw_Data!L466)="0"), FALSE, "Review")
        )
    )
)</f>
        <v>0</v>
      </c>
    </row>
    <row r="467" spans="1:13" x14ac:dyDescent="0.4">
      <c r="A467" s="2" t="str">
        <f>IFERROR(TRIM(Raw_Data!A467), "Review")</f>
        <v>EMP1465</v>
      </c>
      <c r="B467" s="2" t="str">
        <f>IFERROR(TRIM(Raw_Data!B467), "Review")</f>
        <v>David</v>
      </c>
      <c r="C467" s="2" t="str">
        <f>IFERROR(TRIM(Raw_Data!C467), "Review")</f>
        <v>Davis</v>
      </c>
      <c r="D467" s="2">
        <f>IF(Raw_Data!D467="", "", IFERROR(VALUE(Raw_Data!D467), ""))</f>
        <v>30</v>
      </c>
      <c r="E467" s="2" t="str">
        <f>IFERROR(LEFT(Raw_Data!E467,SEARCH("-",Raw_Data!E467)-1),"Review")</f>
        <v>Finance</v>
      </c>
      <c r="F467" s="2" t="str">
        <f>IFERROR(_xlfn.TEXTAFTER(Raw_Data!E467,"-"),"Review")</f>
        <v>Texas</v>
      </c>
      <c r="G467" s="2" t="str">
        <f>IFERROR(TRIM(Raw_Data!F467), "Review")</f>
        <v>Active</v>
      </c>
      <c r="H467" s="3" t="str">
        <f>IFERROR(TEXT(Raw_Data!G467, "YYYY-MM-DD"),"Review")</f>
        <v>2021-08-26</v>
      </c>
      <c r="I467" s="4">
        <f>IF(Raw_Data!H467="", "", IFERROR(VALUE(Raw_Data!H467), ""))</f>
        <v>51405.46</v>
      </c>
      <c r="J467" s="2" t="str">
        <f>IF(Raw_Data!I467="", "", IF(ISNUMBER(FIND("@", Raw_Data!I467)), Raw_Data!I467, "Review"))</f>
        <v>david.davis@example.com</v>
      </c>
      <c r="K467" s="5" t="str">
        <f>IFERROR(TEXT(ABS(Raw_Data!J467), "0"), "Review")</f>
        <v>4967066702</v>
      </c>
      <c r="L467" s="2" t="str">
        <f>IFERROR(TRIM(Raw_Data!K467), "Review")</f>
        <v>Average</v>
      </c>
      <c r="M467" s="2" t="b">
        <f>IF(Raw_Data!L467="", "",
    IF(ISLOGICAL(Raw_Data!L467), Raw_Data!L467,
        IF(OR(UPPER(Raw_Data!L467)="TRUE", UPPER(Raw_Data!L467)="YES", UPPER(Raw_Data!L467)="1"), TRUE,
            IF(OR(UPPER(Raw_Data!L467)="FALSE", UPPER(Raw_Data!L467)="NO", UPPER(Raw_Data!L467)="0"), FALSE, "Review")
        )
    )
)</f>
        <v>1</v>
      </c>
    </row>
    <row r="468" spans="1:13" x14ac:dyDescent="0.4">
      <c r="A468" s="2" t="str">
        <f>IFERROR(TRIM(Raw_Data!A468), "Review")</f>
        <v>EMP1466</v>
      </c>
      <c r="B468" s="2" t="str">
        <f>IFERROR(TRIM(Raw_Data!B468), "Review")</f>
        <v>Bob</v>
      </c>
      <c r="C468" s="2" t="str">
        <f>IFERROR(TRIM(Raw_Data!C468), "Review")</f>
        <v>Garcia</v>
      </c>
      <c r="D468" s="2">
        <f>IF(Raw_Data!D468="", "", IFERROR(VALUE(Raw_Data!D468), ""))</f>
        <v>25</v>
      </c>
      <c r="E468" s="2" t="str">
        <f>IFERROR(LEFT(Raw_Data!E468,SEARCH("-",Raw_Data!E468)-1),"Review")</f>
        <v>HR</v>
      </c>
      <c r="F468" s="2" t="str">
        <f>IFERROR(_xlfn.TEXTAFTER(Raw_Data!E468,"-"),"Review")</f>
        <v>New York</v>
      </c>
      <c r="G468" s="2" t="str">
        <f>IFERROR(TRIM(Raw_Data!F468), "Review")</f>
        <v>Inactive</v>
      </c>
      <c r="H468" s="3" t="str">
        <f>IFERROR(TEXT(Raw_Data!G468, "YYYY-MM-DD"),"Review")</f>
        <v>2020-11-25</v>
      </c>
      <c r="I468" s="4">
        <f>IF(Raw_Data!H468="", "", IFERROR(VALUE(Raw_Data!H468), ""))</f>
        <v>101238.96</v>
      </c>
      <c r="J468" s="2" t="str">
        <f>IF(Raw_Data!I468="", "", IF(ISNUMBER(FIND("@", Raw_Data!I468)), Raw_Data!I468, "Review"))</f>
        <v>bob.garcia@example.com</v>
      </c>
      <c r="K468" s="5" t="str">
        <f>IFERROR(TEXT(ABS(Raw_Data!J468), "0"), "Review")</f>
        <v>3626804084</v>
      </c>
      <c r="L468" s="2" t="str">
        <f>IFERROR(TRIM(Raw_Data!K468), "Review")</f>
        <v>Average</v>
      </c>
      <c r="M468" s="2" t="b">
        <f>IF(Raw_Data!L468="", "",
    IF(ISLOGICAL(Raw_Data!L468), Raw_Data!L468,
        IF(OR(UPPER(Raw_Data!L468)="TRUE", UPPER(Raw_Data!L468)="YES", UPPER(Raw_Data!L468)="1"), TRUE,
            IF(OR(UPPER(Raw_Data!L468)="FALSE", UPPER(Raw_Data!L468)="NO", UPPER(Raw_Data!L468)="0"), FALSE, "Review")
        )
    )
)</f>
        <v>1</v>
      </c>
    </row>
    <row r="469" spans="1:13" x14ac:dyDescent="0.4">
      <c r="A469" s="2" t="str">
        <f>IFERROR(TRIM(Raw_Data!A469), "Review")</f>
        <v>EMP1467</v>
      </c>
      <c r="B469" s="2" t="str">
        <f>IFERROR(TRIM(Raw_Data!B469), "Review")</f>
        <v>Bob</v>
      </c>
      <c r="C469" s="2" t="str">
        <f>IFERROR(TRIM(Raw_Data!C469), "Review")</f>
        <v>Smith</v>
      </c>
      <c r="D469" s="2">
        <f>IF(Raw_Data!D469="", "", IFERROR(VALUE(Raw_Data!D469), ""))</f>
        <v>35</v>
      </c>
      <c r="E469" s="2" t="str">
        <f>IFERROR(LEFT(Raw_Data!E469,SEARCH("-",Raw_Data!E469)-1),"Review")</f>
        <v>Sales</v>
      </c>
      <c r="F469" s="2" t="str">
        <f>IFERROR(_xlfn.TEXTAFTER(Raw_Data!E469,"-"),"Review")</f>
        <v>Illinois</v>
      </c>
      <c r="G469" s="2" t="str">
        <f>IFERROR(TRIM(Raw_Data!F469), "Review")</f>
        <v>Inactive</v>
      </c>
      <c r="H469" s="3" t="str">
        <f>IFERROR(TEXT(Raw_Data!G469, "YYYY-MM-DD"),"Review")</f>
        <v>2023-12-13</v>
      </c>
      <c r="I469" s="4">
        <f>IF(Raw_Data!H469="", "", IFERROR(VALUE(Raw_Data!H469), ""))</f>
        <v>52169.52</v>
      </c>
      <c r="J469" s="2" t="str">
        <f>IF(Raw_Data!I469="", "", IF(ISNUMBER(FIND("@", Raw_Data!I469)), Raw_Data!I469, "Review"))</f>
        <v>bob.smith@example.com</v>
      </c>
      <c r="K469" s="5" t="str">
        <f>IFERROR(TEXT(ABS(Raw_Data!J469), "0"), "Review")</f>
        <v>954930595</v>
      </c>
      <c r="L469" s="2" t="str">
        <f>IFERROR(TRIM(Raw_Data!K469), "Review")</f>
        <v>Excellent</v>
      </c>
      <c r="M469" s="2" t="b">
        <f>IF(Raw_Data!L469="", "",
    IF(ISLOGICAL(Raw_Data!L469), Raw_Data!L469,
        IF(OR(UPPER(Raw_Data!L469)="TRUE", UPPER(Raw_Data!L469)="YES", UPPER(Raw_Data!L469)="1"), TRUE,
            IF(OR(UPPER(Raw_Data!L469)="FALSE", UPPER(Raw_Data!L469)="NO", UPPER(Raw_Data!L469)="0"), FALSE, "Review")
        )
    )
)</f>
        <v>0</v>
      </c>
    </row>
    <row r="470" spans="1:13" x14ac:dyDescent="0.4">
      <c r="A470" s="2" t="str">
        <f>IFERROR(TRIM(Raw_Data!A470), "Review")</f>
        <v>EMP1468</v>
      </c>
      <c r="B470" s="2" t="str">
        <f>IFERROR(TRIM(Raw_Data!B470), "Review")</f>
        <v>Charlie</v>
      </c>
      <c r="C470" s="2" t="str">
        <f>IFERROR(TRIM(Raw_Data!C470), "Review")</f>
        <v>Jones</v>
      </c>
      <c r="D470" s="2" t="str">
        <f>IF(Raw_Data!D470="", "", IFERROR(VALUE(Raw_Data!D470), ""))</f>
        <v/>
      </c>
      <c r="E470" s="2" t="str">
        <f>IFERROR(LEFT(Raw_Data!E470,SEARCH("-",Raw_Data!E470)-1),"Review")</f>
        <v>Finance</v>
      </c>
      <c r="F470" s="2" t="str">
        <f>IFERROR(_xlfn.TEXTAFTER(Raw_Data!E470,"-"),"Review")</f>
        <v>New York</v>
      </c>
      <c r="G470" s="2" t="str">
        <f>IFERROR(TRIM(Raw_Data!F470), "Review")</f>
        <v>Active</v>
      </c>
      <c r="H470" s="3" t="str">
        <f>IFERROR(TEXT(Raw_Data!G470, "YYYY-MM-DD"),"Review")</f>
        <v>2020-07-26</v>
      </c>
      <c r="I470" s="4">
        <f>IF(Raw_Data!H470="", "", IFERROR(VALUE(Raw_Data!H470), ""))</f>
        <v>73176.62</v>
      </c>
      <c r="J470" s="2" t="str">
        <f>IF(Raw_Data!I470="", "", IF(ISNUMBER(FIND("@", Raw_Data!I470)), Raw_Data!I470, "Review"))</f>
        <v>charlie.jones@example.com</v>
      </c>
      <c r="K470" s="5" t="str">
        <f>IFERROR(TEXT(ABS(Raw_Data!J470), "0"), "Review")</f>
        <v>6018648768</v>
      </c>
      <c r="L470" s="2" t="str">
        <f>IFERROR(TRIM(Raw_Data!K470), "Review")</f>
        <v>Excellent</v>
      </c>
      <c r="M470" s="2" t="b">
        <f>IF(Raw_Data!L470="", "",
    IF(ISLOGICAL(Raw_Data!L470), Raw_Data!L470,
        IF(OR(UPPER(Raw_Data!L470)="TRUE", UPPER(Raw_Data!L470)="YES", UPPER(Raw_Data!L470)="1"), TRUE,
            IF(OR(UPPER(Raw_Data!L470)="FALSE", UPPER(Raw_Data!L470)="NO", UPPER(Raw_Data!L470)="0"), FALSE, "Review")
        )
    )
)</f>
        <v>0</v>
      </c>
    </row>
    <row r="471" spans="1:13" x14ac:dyDescent="0.4">
      <c r="A471" s="2" t="str">
        <f>IFERROR(TRIM(Raw_Data!A471), "Review")</f>
        <v>EMP1469</v>
      </c>
      <c r="B471" s="2" t="str">
        <f>IFERROR(TRIM(Raw_Data!B471), "Review")</f>
        <v>Grace</v>
      </c>
      <c r="C471" s="2" t="str">
        <f>IFERROR(TRIM(Raw_Data!C471), "Review")</f>
        <v>Brown</v>
      </c>
      <c r="D471" s="2" t="str">
        <f>IF(Raw_Data!D471="", "", IFERROR(VALUE(Raw_Data!D471), ""))</f>
        <v/>
      </c>
      <c r="E471" s="2" t="str">
        <f>IFERROR(LEFT(Raw_Data!E471,SEARCH("-",Raw_Data!E471)-1),"Review")</f>
        <v>DevOps</v>
      </c>
      <c r="F471" s="2" t="str">
        <f>IFERROR(_xlfn.TEXTAFTER(Raw_Data!E471,"-"),"Review")</f>
        <v>Nevada</v>
      </c>
      <c r="G471" s="2" t="str">
        <f>IFERROR(TRIM(Raw_Data!F471), "Review")</f>
        <v>Pending</v>
      </c>
      <c r="H471" s="3" t="str">
        <f>IFERROR(TEXT(Raw_Data!G471, "YYYY-MM-DD"),"Review")</f>
        <v>2021-06-27</v>
      </c>
      <c r="I471" s="4">
        <f>IF(Raw_Data!H471="", "", IFERROR(VALUE(Raw_Data!H471), ""))</f>
        <v>96241.85</v>
      </c>
      <c r="J471" s="2" t="str">
        <f>IF(Raw_Data!I471="", "", IF(ISNUMBER(FIND("@", Raw_Data!I471)), Raw_Data!I471, "Review"))</f>
        <v>grace.brown@example.com</v>
      </c>
      <c r="K471" s="5" t="str">
        <f>IFERROR(TEXT(ABS(Raw_Data!J471), "0"), "Review")</f>
        <v>9842673203</v>
      </c>
      <c r="L471" s="2" t="str">
        <f>IFERROR(TRIM(Raw_Data!K471), "Review")</f>
        <v>Excellent</v>
      </c>
      <c r="M471" s="2" t="b">
        <f>IF(Raw_Data!L471="", "",
    IF(ISLOGICAL(Raw_Data!L471), Raw_Data!L471,
        IF(OR(UPPER(Raw_Data!L471)="TRUE", UPPER(Raw_Data!L471)="YES", UPPER(Raw_Data!L471)="1"), TRUE,
            IF(OR(UPPER(Raw_Data!L471)="FALSE", UPPER(Raw_Data!L471)="NO", UPPER(Raw_Data!L471)="0"), FALSE, "Review")
        )
    )
)</f>
        <v>0</v>
      </c>
    </row>
    <row r="472" spans="1:13" x14ac:dyDescent="0.4">
      <c r="A472" s="2" t="str">
        <f>IFERROR(TRIM(Raw_Data!A472), "Review")</f>
        <v>EMP1470</v>
      </c>
      <c r="B472" s="2" t="str">
        <f>IFERROR(TRIM(Raw_Data!B472), "Review")</f>
        <v>Bob</v>
      </c>
      <c r="C472" s="2" t="str">
        <f>IFERROR(TRIM(Raw_Data!C472), "Review")</f>
        <v>Jones</v>
      </c>
      <c r="D472" s="2">
        <f>IF(Raw_Data!D472="", "", IFERROR(VALUE(Raw_Data!D472), ""))</f>
        <v>25</v>
      </c>
      <c r="E472" s="2" t="str">
        <f>IFERROR(LEFT(Raw_Data!E472,SEARCH("-",Raw_Data!E472)-1),"Review")</f>
        <v>Finance</v>
      </c>
      <c r="F472" s="2" t="str">
        <f>IFERROR(_xlfn.TEXTAFTER(Raw_Data!E472,"-"),"Review")</f>
        <v>Illinois</v>
      </c>
      <c r="G472" s="2" t="str">
        <f>IFERROR(TRIM(Raw_Data!F472), "Review")</f>
        <v>Pending</v>
      </c>
      <c r="H472" s="3" t="str">
        <f>IFERROR(TEXT(Raw_Data!G472, "YYYY-MM-DD"),"Review")</f>
        <v>2024-09-16</v>
      </c>
      <c r="I472" s="4">
        <f>IF(Raw_Data!H472="", "", IFERROR(VALUE(Raw_Data!H472), ""))</f>
        <v>84366.38</v>
      </c>
      <c r="J472" s="2" t="str">
        <f>IF(Raw_Data!I472="", "", IF(ISNUMBER(FIND("@", Raw_Data!I472)), Raw_Data!I472, "Review"))</f>
        <v>bob.jones@example.com</v>
      </c>
      <c r="K472" s="5" t="str">
        <f>IFERROR(TEXT(ABS(Raw_Data!J472), "0"), "Review")</f>
        <v>4138459608</v>
      </c>
      <c r="L472" s="2" t="str">
        <f>IFERROR(TRIM(Raw_Data!K472), "Review")</f>
        <v>Excellent</v>
      </c>
      <c r="M472" s="2" t="b">
        <f>IF(Raw_Data!L472="", "",
    IF(ISLOGICAL(Raw_Data!L472), Raw_Data!L472,
        IF(OR(UPPER(Raw_Data!L472)="TRUE", UPPER(Raw_Data!L472)="YES", UPPER(Raw_Data!L472)="1"), TRUE,
            IF(OR(UPPER(Raw_Data!L472)="FALSE", UPPER(Raw_Data!L472)="NO", UPPER(Raw_Data!L472)="0"), FALSE, "Review")
        )
    )
)</f>
        <v>0</v>
      </c>
    </row>
    <row r="473" spans="1:13" x14ac:dyDescent="0.4">
      <c r="A473" s="2" t="str">
        <f>IFERROR(TRIM(Raw_Data!A473), "Review")</f>
        <v>EMP1471</v>
      </c>
      <c r="B473" s="2" t="str">
        <f>IFERROR(TRIM(Raw_Data!B473), "Review")</f>
        <v>Alice</v>
      </c>
      <c r="C473" s="2" t="str">
        <f>IFERROR(TRIM(Raw_Data!C473), "Review")</f>
        <v>Garcia</v>
      </c>
      <c r="D473" s="2">
        <f>IF(Raw_Data!D473="", "", IFERROR(VALUE(Raw_Data!D473), ""))</f>
        <v>40</v>
      </c>
      <c r="E473" s="2" t="str">
        <f>IFERROR(LEFT(Raw_Data!E473,SEARCH("-",Raw_Data!E473)-1),"Review")</f>
        <v>Cloud Tech</v>
      </c>
      <c r="F473" s="2" t="str">
        <f>IFERROR(_xlfn.TEXTAFTER(Raw_Data!E473,"-"),"Review")</f>
        <v>California</v>
      </c>
      <c r="G473" s="2" t="str">
        <f>IFERROR(TRIM(Raw_Data!F473), "Review")</f>
        <v>Pending</v>
      </c>
      <c r="H473" s="3" t="str">
        <f>IFERROR(TEXT(Raw_Data!G473, "YYYY-MM-DD"),"Review")</f>
        <v>2023-07-04</v>
      </c>
      <c r="I473" s="4">
        <f>IF(Raw_Data!H473="", "", IFERROR(VALUE(Raw_Data!H473), ""))</f>
        <v>92015.09</v>
      </c>
      <c r="J473" s="2" t="str">
        <f>IF(Raw_Data!I473="", "", IF(ISNUMBER(FIND("@", Raw_Data!I473)), Raw_Data!I473, "Review"))</f>
        <v>alice.garcia@example.com</v>
      </c>
      <c r="K473" s="5" t="str">
        <f>IFERROR(TEXT(ABS(Raw_Data!J473), "0"), "Review")</f>
        <v>4544901494</v>
      </c>
      <c r="L473" s="2" t="str">
        <f>IFERROR(TRIM(Raw_Data!K473), "Review")</f>
        <v>Average</v>
      </c>
      <c r="M473" s="2" t="b">
        <f>IF(Raw_Data!L473="", "",
    IF(ISLOGICAL(Raw_Data!L473), Raw_Data!L473,
        IF(OR(UPPER(Raw_Data!L473)="TRUE", UPPER(Raw_Data!L473)="YES", UPPER(Raw_Data!L473)="1"), TRUE,
            IF(OR(UPPER(Raw_Data!L473)="FALSE", UPPER(Raw_Data!L473)="NO", UPPER(Raw_Data!L473)="0"), FALSE, "Review")
        )
    )
)</f>
        <v>1</v>
      </c>
    </row>
    <row r="474" spans="1:13" x14ac:dyDescent="0.4">
      <c r="A474" s="2" t="str">
        <f>IFERROR(TRIM(Raw_Data!A474), "Review")</f>
        <v>EMP1472</v>
      </c>
      <c r="B474" s="2" t="str">
        <f>IFERROR(TRIM(Raw_Data!B474), "Review")</f>
        <v>Alice</v>
      </c>
      <c r="C474" s="2" t="str">
        <f>IFERROR(TRIM(Raw_Data!C474), "Review")</f>
        <v>Williams</v>
      </c>
      <c r="D474" s="2">
        <f>IF(Raw_Data!D474="", "", IFERROR(VALUE(Raw_Data!D474), ""))</f>
        <v>30</v>
      </c>
      <c r="E474" s="2" t="str">
        <f>IFERROR(LEFT(Raw_Data!E474,SEARCH("-",Raw_Data!E474)-1),"Review")</f>
        <v>Admin</v>
      </c>
      <c r="F474" s="2" t="str">
        <f>IFERROR(_xlfn.TEXTAFTER(Raw_Data!E474,"-"),"Review")</f>
        <v>Nevada</v>
      </c>
      <c r="G474" s="2" t="str">
        <f>IFERROR(TRIM(Raw_Data!F474), "Review")</f>
        <v>Inactive</v>
      </c>
      <c r="H474" s="3" t="str">
        <f>IFERROR(TEXT(Raw_Data!G474, "YYYY-MM-DD"),"Review")</f>
        <v>2020-06-16</v>
      </c>
      <c r="I474" s="4">
        <f>IF(Raw_Data!H474="", "", IFERROR(VALUE(Raw_Data!H474), ""))</f>
        <v>83149.95</v>
      </c>
      <c r="J474" s="2" t="str">
        <f>IF(Raw_Data!I474="", "", IF(ISNUMBER(FIND("@", Raw_Data!I474)), Raw_Data!I474, "Review"))</f>
        <v>alice.williams@example.com</v>
      </c>
      <c r="K474" s="5" t="str">
        <f>IFERROR(TEXT(ABS(Raw_Data!J474), "0"), "Review")</f>
        <v>4277070704</v>
      </c>
      <c r="L474" s="2" t="str">
        <f>IFERROR(TRIM(Raw_Data!K474), "Review")</f>
        <v>Average</v>
      </c>
      <c r="M474" s="2" t="b">
        <f>IF(Raw_Data!L474="", "",
    IF(ISLOGICAL(Raw_Data!L474), Raw_Data!L474,
        IF(OR(UPPER(Raw_Data!L474)="TRUE", UPPER(Raw_Data!L474)="YES", UPPER(Raw_Data!L474)="1"), TRUE,
            IF(OR(UPPER(Raw_Data!L474)="FALSE", UPPER(Raw_Data!L474)="NO", UPPER(Raw_Data!L474)="0"), FALSE, "Review")
        )
    )
)</f>
        <v>0</v>
      </c>
    </row>
    <row r="475" spans="1:13" x14ac:dyDescent="0.4">
      <c r="A475" s="2" t="str">
        <f>IFERROR(TRIM(Raw_Data!A475), "Review")</f>
        <v>EMP1473</v>
      </c>
      <c r="B475" s="2" t="str">
        <f>IFERROR(TRIM(Raw_Data!B475), "Review")</f>
        <v>Grace</v>
      </c>
      <c r="C475" s="2" t="str">
        <f>IFERROR(TRIM(Raw_Data!C475), "Review")</f>
        <v>Brown</v>
      </c>
      <c r="D475" s="2">
        <f>IF(Raw_Data!D475="", "", IFERROR(VALUE(Raw_Data!D475), ""))</f>
        <v>40</v>
      </c>
      <c r="E475" s="2" t="str">
        <f>IFERROR(LEFT(Raw_Data!E475,SEARCH("-",Raw_Data!E475)-1),"Review")</f>
        <v>Finance</v>
      </c>
      <c r="F475" s="2" t="str">
        <f>IFERROR(_xlfn.TEXTAFTER(Raw_Data!E475,"-"),"Review")</f>
        <v>Nevada</v>
      </c>
      <c r="G475" s="2" t="str">
        <f>IFERROR(TRIM(Raw_Data!F475), "Review")</f>
        <v>Inactive</v>
      </c>
      <c r="H475" s="3" t="str">
        <f>IFERROR(TEXT(Raw_Data!G475, "YYYY-MM-DD"),"Review")</f>
        <v>2020-07-05</v>
      </c>
      <c r="I475" s="4">
        <f>IF(Raw_Data!H475="", "", IFERROR(VALUE(Raw_Data!H475), ""))</f>
        <v>94930.65</v>
      </c>
      <c r="J475" s="2" t="str">
        <f>IF(Raw_Data!I475="", "", IF(ISNUMBER(FIND("@", Raw_Data!I475)), Raw_Data!I475, "Review"))</f>
        <v>grace.brown@example.com</v>
      </c>
      <c r="K475" s="5" t="str">
        <f>IFERROR(TEXT(ABS(Raw_Data!J475), "0"), "Review")</f>
        <v>7836091497</v>
      </c>
      <c r="L475" s="2" t="str">
        <f>IFERROR(TRIM(Raw_Data!K475), "Review")</f>
        <v>Good</v>
      </c>
      <c r="M475" s="2" t="b">
        <f>IF(Raw_Data!L475="", "",
    IF(ISLOGICAL(Raw_Data!L475), Raw_Data!L475,
        IF(OR(UPPER(Raw_Data!L475)="TRUE", UPPER(Raw_Data!L475)="YES", UPPER(Raw_Data!L475)="1"), TRUE,
            IF(OR(UPPER(Raw_Data!L475)="FALSE", UPPER(Raw_Data!L475)="NO", UPPER(Raw_Data!L475)="0"), FALSE, "Review")
        )
    )
)</f>
        <v>0</v>
      </c>
    </row>
    <row r="476" spans="1:13" x14ac:dyDescent="0.4">
      <c r="A476" s="2" t="str">
        <f>IFERROR(TRIM(Raw_Data!A476), "Review")</f>
        <v>EMP1474</v>
      </c>
      <c r="B476" s="2" t="str">
        <f>IFERROR(TRIM(Raw_Data!B476), "Review")</f>
        <v>Frank</v>
      </c>
      <c r="C476" s="2" t="str">
        <f>IFERROR(TRIM(Raw_Data!C476), "Review")</f>
        <v>Williams</v>
      </c>
      <c r="D476" s="2">
        <f>IF(Raw_Data!D476="", "", IFERROR(VALUE(Raw_Data!D476), ""))</f>
        <v>40</v>
      </c>
      <c r="E476" s="2" t="str">
        <f>IFERROR(LEFT(Raw_Data!E476,SEARCH("-",Raw_Data!E476)-1),"Review")</f>
        <v>HR</v>
      </c>
      <c r="F476" s="2" t="str">
        <f>IFERROR(_xlfn.TEXTAFTER(Raw_Data!E476,"-"),"Review")</f>
        <v>New York</v>
      </c>
      <c r="G476" s="2" t="str">
        <f>IFERROR(TRIM(Raw_Data!F476), "Review")</f>
        <v>Inactive</v>
      </c>
      <c r="H476" s="3" t="str">
        <f>IFERROR(TEXT(Raw_Data!G476, "YYYY-MM-DD"),"Review")</f>
        <v>2020-04-01</v>
      </c>
      <c r="I476" s="4">
        <f>IF(Raw_Data!H476="", "", IFERROR(VALUE(Raw_Data!H476), ""))</f>
        <v>68430.720000000001</v>
      </c>
      <c r="J476" s="2" t="str">
        <f>IF(Raw_Data!I476="", "", IF(ISNUMBER(FIND("@", Raw_Data!I476)), Raw_Data!I476, "Review"))</f>
        <v>frank.williams@example.com</v>
      </c>
      <c r="K476" s="5" t="str">
        <f>IFERROR(TEXT(ABS(Raw_Data!J476), "0"), "Review")</f>
        <v>5172444722</v>
      </c>
      <c r="L476" s="2" t="str">
        <f>IFERROR(TRIM(Raw_Data!K476), "Review")</f>
        <v>Good</v>
      </c>
      <c r="M476" s="2" t="b">
        <f>IF(Raw_Data!L476="", "",
    IF(ISLOGICAL(Raw_Data!L476), Raw_Data!L476,
        IF(OR(UPPER(Raw_Data!L476)="TRUE", UPPER(Raw_Data!L476)="YES", UPPER(Raw_Data!L476)="1"), TRUE,
            IF(OR(UPPER(Raw_Data!L476)="FALSE", UPPER(Raw_Data!L476)="NO", UPPER(Raw_Data!L476)="0"), FALSE, "Review")
        )
    )
)</f>
        <v>1</v>
      </c>
    </row>
    <row r="477" spans="1:13" x14ac:dyDescent="0.4">
      <c r="A477" s="2" t="str">
        <f>IFERROR(TRIM(Raw_Data!A477), "Review")</f>
        <v>EMP1475</v>
      </c>
      <c r="B477" s="2" t="str">
        <f>IFERROR(TRIM(Raw_Data!B477), "Review")</f>
        <v>David</v>
      </c>
      <c r="C477" s="2" t="str">
        <f>IFERROR(TRIM(Raw_Data!C477), "Review")</f>
        <v>Garcia</v>
      </c>
      <c r="D477" s="2">
        <f>IF(Raw_Data!D477="", "", IFERROR(VALUE(Raw_Data!D477), ""))</f>
        <v>35</v>
      </c>
      <c r="E477" s="2" t="str">
        <f>IFERROR(LEFT(Raw_Data!E477,SEARCH("-",Raw_Data!E477)-1),"Review")</f>
        <v>Sales</v>
      </c>
      <c r="F477" s="2" t="str">
        <f>IFERROR(_xlfn.TEXTAFTER(Raw_Data!E477,"-"),"Review")</f>
        <v>Texas</v>
      </c>
      <c r="G477" s="2" t="str">
        <f>IFERROR(TRIM(Raw_Data!F477), "Review")</f>
        <v>Active</v>
      </c>
      <c r="H477" s="3" t="str">
        <f>IFERROR(TEXT(Raw_Data!G477, "YYYY-MM-DD"),"Review")</f>
        <v>2024-03-20</v>
      </c>
      <c r="I477" s="4">
        <f>IF(Raw_Data!H477="", "", IFERROR(VALUE(Raw_Data!H477), ""))</f>
        <v>98752.97</v>
      </c>
      <c r="J477" s="2" t="str">
        <f>IF(Raw_Data!I477="", "", IF(ISNUMBER(FIND("@", Raw_Data!I477)), Raw_Data!I477, "Review"))</f>
        <v>david.garcia@example.com</v>
      </c>
      <c r="K477" s="5" t="str">
        <f>IFERROR(TEXT(ABS(Raw_Data!J477), "0"), "Review")</f>
        <v>2290310286</v>
      </c>
      <c r="L477" s="2" t="str">
        <f>IFERROR(TRIM(Raw_Data!K477), "Review")</f>
        <v>Excellent</v>
      </c>
      <c r="M477" s="2" t="b">
        <f>IF(Raw_Data!L477="", "",
    IF(ISLOGICAL(Raw_Data!L477), Raw_Data!L477,
        IF(OR(UPPER(Raw_Data!L477)="TRUE", UPPER(Raw_Data!L477)="YES", UPPER(Raw_Data!L477)="1"), TRUE,
            IF(OR(UPPER(Raw_Data!L477)="FALSE", UPPER(Raw_Data!L477)="NO", UPPER(Raw_Data!L477)="0"), FALSE, "Review")
        )
    )
)</f>
        <v>0</v>
      </c>
    </row>
    <row r="478" spans="1:13" x14ac:dyDescent="0.4">
      <c r="A478" s="2" t="str">
        <f>IFERROR(TRIM(Raw_Data!A478), "Review")</f>
        <v>EMP1476</v>
      </c>
      <c r="B478" s="2" t="str">
        <f>IFERROR(TRIM(Raw_Data!B478), "Review")</f>
        <v>Frank</v>
      </c>
      <c r="C478" s="2" t="str">
        <f>IFERROR(TRIM(Raw_Data!C478), "Review")</f>
        <v>Smith</v>
      </c>
      <c r="D478" s="2" t="str">
        <f>IF(Raw_Data!D478="", "", IFERROR(VALUE(Raw_Data!D478), ""))</f>
        <v/>
      </c>
      <c r="E478" s="2" t="str">
        <f>IFERROR(LEFT(Raw_Data!E478,SEARCH("-",Raw_Data!E478)-1),"Review")</f>
        <v>Finance</v>
      </c>
      <c r="F478" s="2" t="str">
        <f>IFERROR(_xlfn.TEXTAFTER(Raw_Data!E478,"-"),"Review")</f>
        <v>Illinois</v>
      </c>
      <c r="G478" s="2" t="str">
        <f>IFERROR(TRIM(Raw_Data!F478), "Review")</f>
        <v>Active</v>
      </c>
      <c r="H478" s="3" t="str">
        <f>IFERROR(TEXT(Raw_Data!G478, "YYYY-MM-DD"),"Review")</f>
        <v>2023-02-07</v>
      </c>
      <c r="I478" s="4">
        <f>IF(Raw_Data!H478="", "", IFERROR(VALUE(Raw_Data!H478), ""))</f>
        <v>54268.86</v>
      </c>
      <c r="J478" s="2" t="str">
        <f>IF(Raw_Data!I478="", "", IF(ISNUMBER(FIND("@", Raw_Data!I478)), Raw_Data!I478, "Review"))</f>
        <v>frank.smith@example.com</v>
      </c>
      <c r="K478" s="5" t="str">
        <f>IFERROR(TEXT(ABS(Raw_Data!J478), "0"), "Review")</f>
        <v>9508304404</v>
      </c>
      <c r="L478" s="2" t="str">
        <f>IFERROR(TRIM(Raw_Data!K478), "Review")</f>
        <v>Poor</v>
      </c>
      <c r="M478" s="2" t="b">
        <f>IF(Raw_Data!L478="", "",
    IF(ISLOGICAL(Raw_Data!L478), Raw_Data!L478,
        IF(OR(UPPER(Raw_Data!L478)="TRUE", UPPER(Raw_Data!L478)="YES", UPPER(Raw_Data!L478)="1"), TRUE,
            IF(OR(UPPER(Raw_Data!L478)="FALSE", UPPER(Raw_Data!L478)="NO", UPPER(Raw_Data!L478)="0"), FALSE, "Review")
        )
    )
)</f>
        <v>1</v>
      </c>
    </row>
    <row r="479" spans="1:13" x14ac:dyDescent="0.4">
      <c r="A479" s="2" t="str">
        <f>IFERROR(TRIM(Raw_Data!A479), "Review")</f>
        <v>EMP1477</v>
      </c>
      <c r="B479" s="2" t="str">
        <f>IFERROR(TRIM(Raw_Data!B479), "Review")</f>
        <v>Grace</v>
      </c>
      <c r="C479" s="2" t="str">
        <f>IFERROR(TRIM(Raw_Data!C479), "Review")</f>
        <v>Garcia</v>
      </c>
      <c r="D479" s="2" t="str">
        <f>IF(Raw_Data!D479="", "", IFERROR(VALUE(Raw_Data!D479), ""))</f>
        <v/>
      </c>
      <c r="E479" s="2" t="str">
        <f>IFERROR(LEFT(Raw_Data!E479,SEARCH("-",Raw_Data!E479)-1),"Review")</f>
        <v>DevOps</v>
      </c>
      <c r="F479" s="2" t="str">
        <f>IFERROR(_xlfn.TEXTAFTER(Raw_Data!E479,"-"),"Review")</f>
        <v>Florida</v>
      </c>
      <c r="G479" s="2" t="str">
        <f>IFERROR(TRIM(Raw_Data!F479), "Review")</f>
        <v>Pending</v>
      </c>
      <c r="H479" s="3" t="str">
        <f>IFERROR(TEXT(Raw_Data!G479, "YYYY-MM-DD"),"Review")</f>
        <v>2024-12-10</v>
      </c>
      <c r="I479" s="4">
        <f>IF(Raw_Data!H479="", "", IFERROR(VALUE(Raw_Data!H479), ""))</f>
        <v>66494.94</v>
      </c>
      <c r="J479" s="2" t="str">
        <f>IF(Raw_Data!I479="", "", IF(ISNUMBER(FIND("@", Raw_Data!I479)), Raw_Data!I479, "Review"))</f>
        <v>grace.garcia@example.com</v>
      </c>
      <c r="K479" s="5" t="str">
        <f>IFERROR(TEXT(ABS(Raw_Data!J479), "0"), "Review")</f>
        <v>8093511870</v>
      </c>
      <c r="L479" s="2" t="str">
        <f>IFERROR(TRIM(Raw_Data!K479), "Review")</f>
        <v>Poor</v>
      </c>
      <c r="M479" s="2" t="b">
        <f>IF(Raw_Data!L479="", "",
    IF(ISLOGICAL(Raw_Data!L479), Raw_Data!L479,
        IF(OR(UPPER(Raw_Data!L479)="TRUE", UPPER(Raw_Data!L479)="YES", UPPER(Raw_Data!L479)="1"), TRUE,
            IF(OR(UPPER(Raw_Data!L479)="FALSE", UPPER(Raw_Data!L479)="NO", UPPER(Raw_Data!L479)="0"), FALSE, "Review")
        )
    )
)</f>
        <v>0</v>
      </c>
    </row>
    <row r="480" spans="1:13" x14ac:dyDescent="0.4">
      <c r="A480" s="2" t="str">
        <f>IFERROR(TRIM(Raw_Data!A480), "Review")</f>
        <v>EMP1478</v>
      </c>
      <c r="B480" s="2" t="str">
        <f>IFERROR(TRIM(Raw_Data!B480), "Review")</f>
        <v>Grace</v>
      </c>
      <c r="C480" s="2" t="str">
        <f>IFERROR(TRIM(Raw_Data!C480), "Review")</f>
        <v>Smith</v>
      </c>
      <c r="D480" s="2">
        <f>IF(Raw_Data!D480="", "", IFERROR(VALUE(Raw_Data!D480), ""))</f>
        <v>25</v>
      </c>
      <c r="E480" s="2" t="str">
        <f>IFERROR(LEFT(Raw_Data!E480,SEARCH("-",Raw_Data!E480)-1),"Review")</f>
        <v>Sales</v>
      </c>
      <c r="F480" s="2" t="str">
        <f>IFERROR(_xlfn.TEXTAFTER(Raw_Data!E480,"-"),"Review")</f>
        <v>Illinois</v>
      </c>
      <c r="G480" s="2" t="str">
        <f>IFERROR(TRIM(Raw_Data!F480), "Review")</f>
        <v>Pending</v>
      </c>
      <c r="H480" s="3" t="str">
        <f>IFERROR(TEXT(Raw_Data!G480, "YYYY-MM-DD"),"Review")</f>
        <v>2024-06-27</v>
      </c>
      <c r="I480" s="4">
        <f>IF(Raw_Data!H480="", "", IFERROR(VALUE(Raw_Data!H480), ""))</f>
        <v>90003.98</v>
      </c>
      <c r="J480" s="2" t="str">
        <f>IF(Raw_Data!I480="", "", IF(ISNUMBER(FIND("@", Raw_Data!I480)), Raw_Data!I480, "Review"))</f>
        <v>grace.smith@example.com</v>
      </c>
      <c r="K480" s="5" t="str">
        <f>IFERROR(TEXT(ABS(Raw_Data!J480), "0"), "Review")</f>
        <v>8133595615</v>
      </c>
      <c r="L480" s="2" t="str">
        <f>IFERROR(TRIM(Raw_Data!K480), "Review")</f>
        <v>Average</v>
      </c>
      <c r="M480" s="2" t="b">
        <f>IF(Raw_Data!L480="", "",
    IF(ISLOGICAL(Raw_Data!L480), Raw_Data!L480,
        IF(OR(UPPER(Raw_Data!L480)="TRUE", UPPER(Raw_Data!L480)="YES", UPPER(Raw_Data!L480)="1"), TRUE,
            IF(OR(UPPER(Raw_Data!L480)="FALSE", UPPER(Raw_Data!L480)="NO", UPPER(Raw_Data!L480)="0"), FALSE, "Review")
        )
    )
)</f>
        <v>0</v>
      </c>
    </row>
    <row r="481" spans="1:13" x14ac:dyDescent="0.4">
      <c r="A481" s="2" t="str">
        <f>IFERROR(TRIM(Raw_Data!A481), "Review")</f>
        <v>EMP1479</v>
      </c>
      <c r="B481" s="2" t="str">
        <f>IFERROR(TRIM(Raw_Data!B481), "Review")</f>
        <v>Charlie</v>
      </c>
      <c r="C481" s="2" t="str">
        <f>IFERROR(TRIM(Raw_Data!C481), "Review")</f>
        <v>Brown</v>
      </c>
      <c r="D481" s="2">
        <f>IF(Raw_Data!D481="", "", IFERROR(VALUE(Raw_Data!D481), ""))</f>
        <v>25</v>
      </c>
      <c r="E481" s="2" t="str">
        <f>IFERROR(LEFT(Raw_Data!E481,SEARCH("-",Raw_Data!E481)-1),"Review")</f>
        <v>Finance</v>
      </c>
      <c r="F481" s="2" t="str">
        <f>IFERROR(_xlfn.TEXTAFTER(Raw_Data!E481,"-"),"Review")</f>
        <v>New York</v>
      </c>
      <c r="G481" s="2" t="str">
        <f>IFERROR(TRIM(Raw_Data!F481), "Review")</f>
        <v>Active</v>
      </c>
      <c r="H481" s="3" t="str">
        <f>IFERROR(TEXT(Raw_Data!G481, "YYYY-MM-DD"),"Review")</f>
        <v>2021-03-09</v>
      </c>
      <c r="I481" s="4">
        <f>IF(Raw_Data!H481="", "", IFERROR(VALUE(Raw_Data!H481), ""))</f>
        <v>106592.25</v>
      </c>
      <c r="J481" s="2" t="str">
        <f>IF(Raw_Data!I481="", "", IF(ISNUMBER(FIND("@", Raw_Data!I481)), Raw_Data!I481, "Review"))</f>
        <v>charlie.brown@example.com</v>
      </c>
      <c r="K481" s="5" t="str">
        <f>IFERROR(TEXT(ABS(Raw_Data!J481), "0"), "Review")</f>
        <v>4205955656</v>
      </c>
      <c r="L481" s="2" t="str">
        <f>IFERROR(TRIM(Raw_Data!K481), "Review")</f>
        <v>Average</v>
      </c>
      <c r="M481" s="2" t="b">
        <f>IF(Raw_Data!L481="", "",
    IF(ISLOGICAL(Raw_Data!L481), Raw_Data!L481,
        IF(OR(UPPER(Raw_Data!L481)="TRUE", UPPER(Raw_Data!L481)="YES", UPPER(Raw_Data!L481)="1"), TRUE,
            IF(OR(UPPER(Raw_Data!L481)="FALSE", UPPER(Raw_Data!L481)="NO", UPPER(Raw_Data!L481)="0"), FALSE, "Review")
        )
    )
)</f>
        <v>1</v>
      </c>
    </row>
    <row r="482" spans="1:13" x14ac:dyDescent="0.4">
      <c r="A482" s="2" t="str">
        <f>IFERROR(TRIM(Raw_Data!A482), "Review")</f>
        <v>EMP1480</v>
      </c>
      <c r="B482" s="2" t="str">
        <f>IFERROR(TRIM(Raw_Data!B482), "Review")</f>
        <v>Grace</v>
      </c>
      <c r="C482" s="2" t="str">
        <f>IFERROR(TRIM(Raw_Data!C482), "Review")</f>
        <v>Brown</v>
      </c>
      <c r="D482" s="2">
        <f>IF(Raw_Data!D482="", "", IFERROR(VALUE(Raw_Data!D482), ""))</f>
        <v>25</v>
      </c>
      <c r="E482" s="2" t="str">
        <f>IFERROR(LEFT(Raw_Data!E482,SEARCH("-",Raw_Data!E482)-1),"Review")</f>
        <v>DevOps</v>
      </c>
      <c r="F482" s="2" t="str">
        <f>IFERROR(_xlfn.TEXTAFTER(Raw_Data!E482,"-"),"Review")</f>
        <v>Florida</v>
      </c>
      <c r="G482" s="2" t="str">
        <f>IFERROR(TRIM(Raw_Data!F482), "Review")</f>
        <v>Active</v>
      </c>
      <c r="H482" s="3" t="str">
        <f>IFERROR(TEXT(Raw_Data!G482, "YYYY-MM-DD"),"Review")</f>
        <v>2024-08-11</v>
      </c>
      <c r="I482" s="4">
        <f>IF(Raw_Data!H482="", "", IFERROR(VALUE(Raw_Data!H482), ""))</f>
        <v>93905.83</v>
      </c>
      <c r="J482" s="2" t="str">
        <f>IF(Raw_Data!I482="", "", IF(ISNUMBER(FIND("@", Raw_Data!I482)), Raw_Data!I482, "Review"))</f>
        <v>grace.brown@example.com</v>
      </c>
      <c r="K482" s="5" t="str">
        <f>IFERROR(TEXT(ABS(Raw_Data!J482), "0"), "Review")</f>
        <v>4902504289</v>
      </c>
      <c r="L482" s="2" t="str">
        <f>IFERROR(TRIM(Raw_Data!K482), "Review")</f>
        <v>Average</v>
      </c>
      <c r="M482" s="2" t="b">
        <f>IF(Raw_Data!L482="", "",
    IF(ISLOGICAL(Raw_Data!L482), Raw_Data!L482,
        IF(OR(UPPER(Raw_Data!L482)="TRUE", UPPER(Raw_Data!L482)="YES", UPPER(Raw_Data!L482)="1"), TRUE,
            IF(OR(UPPER(Raw_Data!L482)="FALSE", UPPER(Raw_Data!L482)="NO", UPPER(Raw_Data!L482)="0"), FALSE, "Review")
        )
    )
)</f>
        <v>1</v>
      </c>
    </row>
    <row r="483" spans="1:13" x14ac:dyDescent="0.4">
      <c r="A483" s="2" t="str">
        <f>IFERROR(TRIM(Raw_Data!A483), "Review")</f>
        <v>EMP1481</v>
      </c>
      <c r="B483" s="2" t="str">
        <f>IFERROR(TRIM(Raw_Data!B483), "Review")</f>
        <v>Eva</v>
      </c>
      <c r="C483" s="2" t="str">
        <f>IFERROR(TRIM(Raw_Data!C483), "Review")</f>
        <v>Miller</v>
      </c>
      <c r="D483" s="2">
        <f>IF(Raw_Data!D483="", "", IFERROR(VALUE(Raw_Data!D483), ""))</f>
        <v>35</v>
      </c>
      <c r="E483" s="2" t="str">
        <f>IFERROR(LEFT(Raw_Data!E483,SEARCH("-",Raw_Data!E483)-1),"Review")</f>
        <v>DevOps</v>
      </c>
      <c r="F483" s="2" t="str">
        <f>IFERROR(_xlfn.TEXTAFTER(Raw_Data!E483,"-"),"Review")</f>
        <v>Texas</v>
      </c>
      <c r="G483" s="2" t="str">
        <f>IFERROR(TRIM(Raw_Data!F483), "Review")</f>
        <v>Active</v>
      </c>
      <c r="H483" s="3" t="str">
        <f>IFERROR(TEXT(Raw_Data!G483, "YYYY-MM-DD"),"Review")</f>
        <v>2022-03-05</v>
      </c>
      <c r="I483" s="4">
        <f>IF(Raw_Data!H483="", "", IFERROR(VALUE(Raw_Data!H483), ""))</f>
        <v>88945.49</v>
      </c>
      <c r="J483" s="2" t="str">
        <f>IF(Raw_Data!I483="", "", IF(ISNUMBER(FIND("@", Raw_Data!I483)), Raw_Data!I483, "Review"))</f>
        <v>eva.miller@example.com</v>
      </c>
      <c r="K483" s="5" t="str">
        <f>IFERROR(TEXT(ABS(Raw_Data!J483), "0"), "Review")</f>
        <v>1935889535</v>
      </c>
      <c r="L483" s="2" t="str">
        <f>IFERROR(TRIM(Raw_Data!K483), "Review")</f>
        <v>Good</v>
      </c>
      <c r="M483" s="2" t="b">
        <f>IF(Raw_Data!L483="", "",
    IF(ISLOGICAL(Raw_Data!L483), Raw_Data!L483,
        IF(OR(UPPER(Raw_Data!L483)="TRUE", UPPER(Raw_Data!L483)="YES", UPPER(Raw_Data!L483)="1"), TRUE,
            IF(OR(UPPER(Raw_Data!L483)="FALSE", UPPER(Raw_Data!L483)="NO", UPPER(Raw_Data!L483)="0"), FALSE, "Review")
        )
    )
)</f>
        <v>0</v>
      </c>
    </row>
    <row r="484" spans="1:13" x14ac:dyDescent="0.4">
      <c r="A484" s="2" t="str">
        <f>IFERROR(TRIM(Raw_Data!A484), "Review")</f>
        <v>EMP1482</v>
      </c>
      <c r="B484" s="2" t="str">
        <f>IFERROR(TRIM(Raw_Data!B484), "Review")</f>
        <v>Eva</v>
      </c>
      <c r="C484" s="2" t="str">
        <f>IFERROR(TRIM(Raw_Data!C484), "Review")</f>
        <v>Jones</v>
      </c>
      <c r="D484" s="2" t="str">
        <f>IF(Raw_Data!D484="", "", IFERROR(VALUE(Raw_Data!D484), ""))</f>
        <v/>
      </c>
      <c r="E484" s="2" t="str">
        <f>IFERROR(LEFT(Raw_Data!E484,SEARCH("-",Raw_Data!E484)-1),"Review")</f>
        <v>Finance</v>
      </c>
      <c r="F484" s="2" t="str">
        <f>IFERROR(_xlfn.TEXTAFTER(Raw_Data!E484,"-"),"Review")</f>
        <v>Texas</v>
      </c>
      <c r="G484" s="2" t="str">
        <f>IFERROR(TRIM(Raw_Data!F484), "Review")</f>
        <v>Pending</v>
      </c>
      <c r="H484" s="3" t="str">
        <f>IFERROR(TEXT(Raw_Data!G484, "YYYY-MM-DD"),"Review")</f>
        <v>2023-06-30</v>
      </c>
      <c r="I484" s="4">
        <f>IF(Raw_Data!H484="", "", IFERROR(VALUE(Raw_Data!H484), ""))</f>
        <v>91130.33</v>
      </c>
      <c r="J484" s="2" t="str">
        <f>IF(Raw_Data!I484="", "", IF(ISNUMBER(FIND("@", Raw_Data!I484)), Raw_Data!I484, "Review"))</f>
        <v>eva.jones@example.com</v>
      </c>
      <c r="K484" s="5" t="str">
        <f>IFERROR(TEXT(ABS(Raw_Data!J484), "0"), "Review")</f>
        <v>9026113988</v>
      </c>
      <c r="L484" s="2" t="str">
        <f>IFERROR(TRIM(Raw_Data!K484), "Review")</f>
        <v>Good</v>
      </c>
      <c r="M484" s="2" t="b">
        <f>IF(Raw_Data!L484="", "",
    IF(ISLOGICAL(Raw_Data!L484), Raw_Data!L484,
        IF(OR(UPPER(Raw_Data!L484)="TRUE", UPPER(Raw_Data!L484)="YES", UPPER(Raw_Data!L484)="1"), TRUE,
            IF(OR(UPPER(Raw_Data!L484)="FALSE", UPPER(Raw_Data!L484)="NO", UPPER(Raw_Data!L484)="0"), FALSE, "Review")
        )
    )
)</f>
        <v>0</v>
      </c>
    </row>
    <row r="485" spans="1:13" x14ac:dyDescent="0.4">
      <c r="A485" s="2" t="str">
        <f>IFERROR(TRIM(Raw_Data!A485), "Review")</f>
        <v>EMP1483</v>
      </c>
      <c r="B485" s="2" t="str">
        <f>IFERROR(TRIM(Raw_Data!B485), "Review")</f>
        <v>Bob</v>
      </c>
      <c r="C485" s="2" t="str">
        <f>IFERROR(TRIM(Raw_Data!C485), "Review")</f>
        <v>Miller</v>
      </c>
      <c r="D485" s="2">
        <f>IF(Raw_Data!D485="", "", IFERROR(VALUE(Raw_Data!D485), ""))</f>
        <v>40</v>
      </c>
      <c r="E485" s="2" t="str">
        <f>IFERROR(LEFT(Raw_Data!E485,SEARCH("-",Raw_Data!E485)-1),"Review")</f>
        <v>Admin</v>
      </c>
      <c r="F485" s="2" t="str">
        <f>IFERROR(_xlfn.TEXTAFTER(Raw_Data!E485,"-"),"Review")</f>
        <v>New York</v>
      </c>
      <c r="G485" s="2" t="str">
        <f>IFERROR(TRIM(Raw_Data!F485), "Review")</f>
        <v>Pending</v>
      </c>
      <c r="H485" s="3" t="str">
        <f>IFERROR(TEXT(Raw_Data!G485, "YYYY-MM-DD"),"Review")</f>
        <v>2023-04-19</v>
      </c>
      <c r="I485" s="4">
        <f>IF(Raw_Data!H485="", "", IFERROR(VALUE(Raw_Data!H485), ""))</f>
        <v>90787.4</v>
      </c>
      <c r="J485" s="2" t="str">
        <f>IF(Raw_Data!I485="", "", IF(ISNUMBER(FIND("@", Raw_Data!I485)), Raw_Data!I485, "Review"))</f>
        <v>bob.miller@example.com</v>
      </c>
      <c r="K485" s="5" t="str">
        <f>IFERROR(TEXT(ABS(Raw_Data!J485), "0"), "Review")</f>
        <v>8681809787</v>
      </c>
      <c r="L485" s="2" t="str">
        <f>IFERROR(TRIM(Raw_Data!K485), "Review")</f>
        <v>Average</v>
      </c>
      <c r="M485" s="2" t="b">
        <f>IF(Raw_Data!L485="", "",
    IF(ISLOGICAL(Raw_Data!L485), Raw_Data!L485,
        IF(OR(UPPER(Raw_Data!L485)="TRUE", UPPER(Raw_Data!L485)="YES", UPPER(Raw_Data!L485)="1"), TRUE,
            IF(OR(UPPER(Raw_Data!L485)="FALSE", UPPER(Raw_Data!L485)="NO", UPPER(Raw_Data!L485)="0"), FALSE, "Review")
        )
    )
)</f>
        <v>0</v>
      </c>
    </row>
    <row r="486" spans="1:13" x14ac:dyDescent="0.4">
      <c r="A486" s="2" t="str">
        <f>IFERROR(TRIM(Raw_Data!A486), "Review")</f>
        <v>EMP1484</v>
      </c>
      <c r="B486" s="2" t="str">
        <f>IFERROR(TRIM(Raw_Data!B486), "Review")</f>
        <v>Bob</v>
      </c>
      <c r="C486" s="2" t="str">
        <f>IFERROR(TRIM(Raw_Data!C486), "Review")</f>
        <v>Jones</v>
      </c>
      <c r="D486" s="2">
        <f>IF(Raw_Data!D486="", "", IFERROR(VALUE(Raw_Data!D486), ""))</f>
        <v>25</v>
      </c>
      <c r="E486" s="2" t="str">
        <f>IFERROR(LEFT(Raw_Data!E486,SEARCH("-",Raw_Data!E486)-1),"Review")</f>
        <v>Sales</v>
      </c>
      <c r="F486" s="2" t="str">
        <f>IFERROR(_xlfn.TEXTAFTER(Raw_Data!E486,"-"),"Review")</f>
        <v>Texas</v>
      </c>
      <c r="G486" s="2" t="str">
        <f>IFERROR(TRIM(Raw_Data!F486), "Review")</f>
        <v>Inactive</v>
      </c>
      <c r="H486" s="3" t="str">
        <f>IFERROR(TEXT(Raw_Data!G486, "YYYY-MM-DD"),"Review")</f>
        <v>2024-11-11</v>
      </c>
      <c r="I486" s="4">
        <f>IF(Raw_Data!H486="", "", IFERROR(VALUE(Raw_Data!H486), ""))</f>
        <v>87494.34</v>
      </c>
      <c r="J486" s="2" t="str">
        <f>IF(Raw_Data!I486="", "", IF(ISNUMBER(FIND("@", Raw_Data!I486)), Raw_Data!I486, "Review"))</f>
        <v>bob.jones@example.com</v>
      </c>
      <c r="K486" s="5" t="str">
        <f>IFERROR(TEXT(ABS(Raw_Data!J486), "0"), "Review")</f>
        <v>7543943534</v>
      </c>
      <c r="L486" s="2" t="str">
        <f>IFERROR(TRIM(Raw_Data!K486), "Review")</f>
        <v>Average</v>
      </c>
      <c r="M486" s="2" t="b">
        <f>IF(Raw_Data!L486="", "",
    IF(ISLOGICAL(Raw_Data!L486), Raw_Data!L486,
        IF(OR(UPPER(Raw_Data!L486)="TRUE", UPPER(Raw_Data!L486)="YES", UPPER(Raw_Data!L486)="1"), TRUE,
            IF(OR(UPPER(Raw_Data!L486)="FALSE", UPPER(Raw_Data!L486)="NO", UPPER(Raw_Data!L486)="0"), FALSE, "Review")
        )
    )
)</f>
        <v>1</v>
      </c>
    </row>
    <row r="487" spans="1:13" x14ac:dyDescent="0.4">
      <c r="A487" s="2" t="str">
        <f>IFERROR(TRIM(Raw_Data!A487), "Review")</f>
        <v>EMP1485</v>
      </c>
      <c r="B487" s="2" t="str">
        <f>IFERROR(TRIM(Raw_Data!B487), "Review")</f>
        <v>Grace</v>
      </c>
      <c r="C487" s="2" t="str">
        <f>IFERROR(TRIM(Raw_Data!C487), "Review")</f>
        <v>Miller</v>
      </c>
      <c r="D487" s="2">
        <f>IF(Raw_Data!D487="", "", IFERROR(VALUE(Raw_Data!D487), ""))</f>
        <v>35</v>
      </c>
      <c r="E487" s="2" t="str">
        <f>IFERROR(LEFT(Raw_Data!E487,SEARCH("-",Raw_Data!E487)-1),"Review")</f>
        <v>Finance</v>
      </c>
      <c r="F487" s="2" t="str">
        <f>IFERROR(_xlfn.TEXTAFTER(Raw_Data!E487,"-"),"Review")</f>
        <v>Nevada</v>
      </c>
      <c r="G487" s="2" t="str">
        <f>IFERROR(TRIM(Raw_Data!F487), "Review")</f>
        <v>Inactive</v>
      </c>
      <c r="H487" s="3" t="str">
        <f>IFERROR(TEXT(Raw_Data!G487, "YYYY-MM-DD"),"Review")</f>
        <v>2023-03-17</v>
      </c>
      <c r="I487" s="4">
        <f>IF(Raw_Data!H487="", "", IFERROR(VALUE(Raw_Data!H487), ""))</f>
        <v>92627.35</v>
      </c>
      <c r="J487" s="2" t="str">
        <f>IF(Raw_Data!I487="", "", IF(ISNUMBER(FIND("@", Raw_Data!I487)), Raw_Data!I487, "Review"))</f>
        <v>grace.miller@example.com</v>
      </c>
      <c r="K487" s="5" t="str">
        <f>IFERROR(TEXT(ABS(Raw_Data!J487), "0"), "Review")</f>
        <v>3751376514</v>
      </c>
      <c r="L487" s="2" t="str">
        <f>IFERROR(TRIM(Raw_Data!K487), "Review")</f>
        <v>Average</v>
      </c>
      <c r="M487" s="2" t="b">
        <f>IF(Raw_Data!L487="", "",
    IF(ISLOGICAL(Raw_Data!L487), Raw_Data!L487,
        IF(OR(UPPER(Raw_Data!L487)="TRUE", UPPER(Raw_Data!L487)="YES", UPPER(Raw_Data!L487)="1"), TRUE,
            IF(OR(UPPER(Raw_Data!L487)="FALSE", UPPER(Raw_Data!L487)="NO", UPPER(Raw_Data!L487)="0"), FALSE, "Review")
        )
    )
)</f>
        <v>0</v>
      </c>
    </row>
    <row r="488" spans="1:13" x14ac:dyDescent="0.4">
      <c r="A488" s="2" t="str">
        <f>IFERROR(TRIM(Raw_Data!A488), "Review")</f>
        <v>EMP1486</v>
      </c>
      <c r="B488" s="2" t="str">
        <f>IFERROR(TRIM(Raw_Data!B488), "Review")</f>
        <v>Eva</v>
      </c>
      <c r="C488" s="2" t="str">
        <f>IFERROR(TRIM(Raw_Data!C488), "Review")</f>
        <v>Williams</v>
      </c>
      <c r="D488" s="2">
        <f>IF(Raw_Data!D488="", "", IFERROR(VALUE(Raw_Data!D488), ""))</f>
        <v>40</v>
      </c>
      <c r="E488" s="2" t="str">
        <f>IFERROR(LEFT(Raw_Data!E488,SEARCH("-",Raw_Data!E488)-1),"Review")</f>
        <v>Admin</v>
      </c>
      <c r="F488" s="2" t="str">
        <f>IFERROR(_xlfn.TEXTAFTER(Raw_Data!E488,"-"),"Review")</f>
        <v>Illinois</v>
      </c>
      <c r="G488" s="2" t="str">
        <f>IFERROR(TRIM(Raw_Data!F488), "Review")</f>
        <v>Pending</v>
      </c>
      <c r="H488" s="3" t="str">
        <f>IFERROR(TEXT(Raw_Data!G488, "YYYY-MM-DD"),"Review")</f>
        <v>2023-10-26</v>
      </c>
      <c r="I488" s="4">
        <f>IF(Raw_Data!H488="", "", IFERROR(VALUE(Raw_Data!H488), ""))</f>
        <v>98556.29</v>
      </c>
      <c r="J488" s="2" t="str">
        <f>IF(Raw_Data!I488="", "", IF(ISNUMBER(FIND("@", Raw_Data!I488)), Raw_Data!I488, "Review"))</f>
        <v>eva.williams@example.com</v>
      </c>
      <c r="K488" s="5" t="str">
        <f>IFERROR(TEXT(ABS(Raw_Data!J488), "0"), "Review")</f>
        <v>8815793762</v>
      </c>
      <c r="L488" s="2" t="str">
        <f>IFERROR(TRIM(Raw_Data!K488), "Review")</f>
        <v>Poor</v>
      </c>
      <c r="M488" s="2" t="b">
        <f>IF(Raw_Data!L488="", "",
    IF(ISLOGICAL(Raw_Data!L488), Raw_Data!L488,
        IF(OR(UPPER(Raw_Data!L488)="TRUE", UPPER(Raw_Data!L488)="YES", UPPER(Raw_Data!L488)="1"), TRUE,
            IF(OR(UPPER(Raw_Data!L488)="FALSE", UPPER(Raw_Data!L488)="NO", UPPER(Raw_Data!L488)="0"), FALSE, "Review")
        )
    )
)</f>
        <v>1</v>
      </c>
    </row>
    <row r="489" spans="1:13" x14ac:dyDescent="0.4">
      <c r="A489" s="2" t="str">
        <f>IFERROR(TRIM(Raw_Data!A489), "Review")</f>
        <v>EMP1487</v>
      </c>
      <c r="B489" s="2" t="str">
        <f>IFERROR(TRIM(Raw_Data!B489), "Review")</f>
        <v>Frank</v>
      </c>
      <c r="C489" s="2" t="str">
        <f>IFERROR(TRIM(Raw_Data!C489), "Review")</f>
        <v>Brown</v>
      </c>
      <c r="D489" s="2">
        <f>IF(Raw_Data!D489="", "", IFERROR(VALUE(Raw_Data!D489), ""))</f>
        <v>30</v>
      </c>
      <c r="E489" s="2" t="str">
        <f>IFERROR(LEFT(Raw_Data!E489,SEARCH("-",Raw_Data!E489)-1),"Review")</f>
        <v>Cloud Tech</v>
      </c>
      <c r="F489" s="2" t="str">
        <f>IFERROR(_xlfn.TEXTAFTER(Raw_Data!E489,"-"),"Review")</f>
        <v>Nevada</v>
      </c>
      <c r="G489" s="2" t="str">
        <f>IFERROR(TRIM(Raw_Data!F489), "Review")</f>
        <v>Inactive</v>
      </c>
      <c r="H489" s="3" t="str">
        <f>IFERROR(TEXT(Raw_Data!G489, "YYYY-MM-DD"),"Review")</f>
        <v>2021-07-04</v>
      </c>
      <c r="I489" s="4">
        <f>IF(Raw_Data!H489="", "", IFERROR(VALUE(Raw_Data!H489), ""))</f>
        <v>112792.2</v>
      </c>
      <c r="J489" s="2" t="str">
        <f>IF(Raw_Data!I489="", "", IF(ISNUMBER(FIND("@", Raw_Data!I489)), Raw_Data!I489, "Review"))</f>
        <v>frank.brown@example.com</v>
      </c>
      <c r="K489" s="5" t="str">
        <f>IFERROR(TEXT(ABS(Raw_Data!J489), "0"), "Review")</f>
        <v>9283692943</v>
      </c>
      <c r="L489" s="2" t="str">
        <f>IFERROR(TRIM(Raw_Data!K489), "Review")</f>
        <v>Good</v>
      </c>
      <c r="M489" s="2" t="b">
        <f>IF(Raw_Data!L489="", "",
    IF(ISLOGICAL(Raw_Data!L489), Raw_Data!L489,
        IF(OR(UPPER(Raw_Data!L489)="TRUE", UPPER(Raw_Data!L489)="YES", UPPER(Raw_Data!L489)="1"), TRUE,
            IF(OR(UPPER(Raw_Data!L489)="FALSE", UPPER(Raw_Data!L489)="NO", UPPER(Raw_Data!L489)="0"), FALSE, "Review")
        )
    )
)</f>
        <v>1</v>
      </c>
    </row>
    <row r="490" spans="1:13" x14ac:dyDescent="0.4">
      <c r="A490" s="2" t="str">
        <f>IFERROR(TRIM(Raw_Data!A490), "Review")</f>
        <v>EMP1488</v>
      </c>
      <c r="B490" s="2" t="str">
        <f>IFERROR(TRIM(Raw_Data!B490), "Review")</f>
        <v>Eva</v>
      </c>
      <c r="C490" s="2" t="str">
        <f>IFERROR(TRIM(Raw_Data!C490), "Review")</f>
        <v>Smith</v>
      </c>
      <c r="D490" s="2">
        <f>IF(Raw_Data!D490="", "", IFERROR(VALUE(Raw_Data!D490), ""))</f>
        <v>35</v>
      </c>
      <c r="E490" s="2" t="str">
        <f>IFERROR(LEFT(Raw_Data!E490,SEARCH("-",Raw_Data!E490)-1),"Review")</f>
        <v>HR</v>
      </c>
      <c r="F490" s="2" t="str">
        <f>IFERROR(_xlfn.TEXTAFTER(Raw_Data!E490,"-"),"Review")</f>
        <v>Florida</v>
      </c>
      <c r="G490" s="2" t="str">
        <f>IFERROR(TRIM(Raw_Data!F490), "Review")</f>
        <v>Pending</v>
      </c>
      <c r="H490" s="3" t="str">
        <f>IFERROR(TEXT(Raw_Data!G490, "YYYY-MM-DD"),"Review")</f>
        <v>2023-11-03</v>
      </c>
      <c r="I490" s="4">
        <f>IF(Raw_Data!H490="", "", IFERROR(VALUE(Raw_Data!H490), ""))</f>
        <v>56875.22</v>
      </c>
      <c r="J490" s="2" t="str">
        <f>IF(Raw_Data!I490="", "", IF(ISNUMBER(FIND("@", Raw_Data!I490)), Raw_Data!I490, "Review"))</f>
        <v>eva.smith@example.com</v>
      </c>
      <c r="K490" s="5" t="str">
        <f>IFERROR(TEXT(ABS(Raw_Data!J490), "0"), "Review")</f>
        <v>5511668296</v>
      </c>
      <c r="L490" s="2" t="str">
        <f>IFERROR(TRIM(Raw_Data!K490), "Review")</f>
        <v>Poor</v>
      </c>
      <c r="M490" s="2" t="b">
        <f>IF(Raw_Data!L490="", "",
    IF(ISLOGICAL(Raw_Data!L490), Raw_Data!L490,
        IF(OR(UPPER(Raw_Data!L490)="TRUE", UPPER(Raw_Data!L490)="YES", UPPER(Raw_Data!L490)="1"), TRUE,
            IF(OR(UPPER(Raw_Data!L490)="FALSE", UPPER(Raw_Data!L490)="NO", UPPER(Raw_Data!L490)="0"), FALSE, "Review")
        )
    )
)</f>
        <v>0</v>
      </c>
    </row>
    <row r="491" spans="1:13" x14ac:dyDescent="0.4">
      <c r="A491" s="2" t="str">
        <f>IFERROR(TRIM(Raw_Data!A491), "Review")</f>
        <v>EMP1489</v>
      </c>
      <c r="B491" s="2" t="str">
        <f>IFERROR(TRIM(Raw_Data!B491), "Review")</f>
        <v>Charlie</v>
      </c>
      <c r="C491" s="2" t="str">
        <f>IFERROR(TRIM(Raw_Data!C491), "Review")</f>
        <v>Jones</v>
      </c>
      <c r="D491" s="2">
        <f>IF(Raw_Data!D491="", "", IFERROR(VALUE(Raw_Data!D491), ""))</f>
        <v>35</v>
      </c>
      <c r="E491" s="2" t="str">
        <f>IFERROR(LEFT(Raw_Data!E491,SEARCH("-",Raw_Data!E491)-1),"Review")</f>
        <v>DevOps</v>
      </c>
      <c r="F491" s="2" t="str">
        <f>IFERROR(_xlfn.TEXTAFTER(Raw_Data!E491,"-"),"Review")</f>
        <v>Florida</v>
      </c>
      <c r="G491" s="2" t="str">
        <f>IFERROR(TRIM(Raw_Data!F491), "Review")</f>
        <v>Inactive</v>
      </c>
      <c r="H491" s="3" t="str">
        <f>IFERROR(TEXT(Raw_Data!G491, "YYYY-MM-DD"),"Review")</f>
        <v>2021-07-05</v>
      </c>
      <c r="I491" s="4">
        <f>IF(Raw_Data!H491="", "", IFERROR(VALUE(Raw_Data!H491), ""))</f>
        <v>101015.96</v>
      </c>
      <c r="J491" s="2" t="str">
        <f>IF(Raw_Data!I491="", "", IF(ISNUMBER(FIND("@", Raw_Data!I491)), Raw_Data!I491, "Review"))</f>
        <v>charlie.jones@example.com</v>
      </c>
      <c r="K491" s="5" t="str">
        <f>IFERROR(TEXT(ABS(Raw_Data!J491), "0"), "Review")</f>
        <v>3270216486</v>
      </c>
      <c r="L491" s="2" t="str">
        <f>IFERROR(TRIM(Raw_Data!K491), "Review")</f>
        <v>Poor</v>
      </c>
      <c r="M491" s="2" t="b">
        <f>IF(Raw_Data!L491="", "",
    IF(ISLOGICAL(Raw_Data!L491), Raw_Data!L491,
        IF(OR(UPPER(Raw_Data!L491)="TRUE", UPPER(Raw_Data!L491)="YES", UPPER(Raw_Data!L491)="1"), TRUE,
            IF(OR(UPPER(Raw_Data!L491)="FALSE", UPPER(Raw_Data!L491)="NO", UPPER(Raw_Data!L491)="0"), FALSE, "Review")
        )
    )
)</f>
        <v>1</v>
      </c>
    </row>
    <row r="492" spans="1:13" x14ac:dyDescent="0.4">
      <c r="A492" s="2" t="str">
        <f>IFERROR(TRIM(Raw_Data!A492), "Review")</f>
        <v>EMP1490</v>
      </c>
      <c r="B492" s="2" t="str">
        <f>IFERROR(TRIM(Raw_Data!B492), "Review")</f>
        <v>Bob</v>
      </c>
      <c r="C492" s="2" t="str">
        <f>IFERROR(TRIM(Raw_Data!C492), "Review")</f>
        <v>Garcia</v>
      </c>
      <c r="D492" s="2">
        <f>IF(Raw_Data!D492="", "", IFERROR(VALUE(Raw_Data!D492), ""))</f>
        <v>30</v>
      </c>
      <c r="E492" s="2" t="str">
        <f>IFERROR(LEFT(Raw_Data!E492,SEARCH("-",Raw_Data!E492)-1),"Review")</f>
        <v>Finance</v>
      </c>
      <c r="F492" s="2" t="str">
        <f>IFERROR(_xlfn.TEXTAFTER(Raw_Data!E492,"-"),"Review")</f>
        <v>New York</v>
      </c>
      <c r="G492" s="2" t="str">
        <f>IFERROR(TRIM(Raw_Data!F492), "Review")</f>
        <v>Inactive</v>
      </c>
      <c r="H492" s="3" t="str">
        <f>IFERROR(TEXT(Raw_Data!G492, "YYYY-MM-DD"),"Review")</f>
        <v>2024-02-26</v>
      </c>
      <c r="I492" s="4">
        <f>IF(Raw_Data!H492="", "", IFERROR(VALUE(Raw_Data!H492), ""))</f>
        <v>83912.22</v>
      </c>
      <c r="J492" s="2" t="str">
        <f>IF(Raw_Data!I492="", "", IF(ISNUMBER(FIND("@", Raw_Data!I492)), Raw_Data!I492, "Review"))</f>
        <v>bob.garcia@example.com</v>
      </c>
      <c r="K492" s="5" t="str">
        <f>IFERROR(TEXT(ABS(Raw_Data!J492), "0"), "Review")</f>
        <v>1206021287</v>
      </c>
      <c r="L492" s="2" t="str">
        <f>IFERROR(TRIM(Raw_Data!K492), "Review")</f>
        <v>Average</v>
      </c>
      <c r="M492" s="2" t="b">
        <f>IF(Raw_Data!L492="", "",
    IF(ISLOGICAL(Raw_Data!L492), Raw_Data!L492,
        IF(OR(UPPER(Raw_Data!L492)="TRUE", UPPER(Raw_Data!L492)="YES", UPPER(Raw_Data!L492)="1"), TRUE,
            IF(OR(UPPER(Raw_Data!L492)="FALSE", UPPER(Raw_Data!L492)="NO", UPPER(Raw_Data!L492)="0"), FALSE, "Review")
        )
    )
)</f>
        <v>0</v>
      </c>
    </row>
    <row r="493" spans="1:13" x14ac:dyDescent="0.4">
      <c r="A493" s="2" t="str">
        <f>IFERROR(TRIM(Raw_Data!A493), "Review")</f>
        <v>EMP1491</v>
      </c>
      <c r="B493" s="2" t="str">
        <f>IFERROR(TRIM(Raw_Data!B493), "Review")</f>
        <v>Frank</v>
      </c>
      <c r="C493" s="2" t="str">
        <f>IFERROR(TRIM(Raw_Data!C493), "Review")</f>
        <v>Jones</v>
      </c>
      <c r="D493" s="2">
        <f>IF(Raw_Data!D493="", "", IFERROR(VALUE(Raw_Data!D493), ""))</f>
        <v>25</v>
      </c>
      <c r="E493" s="2" t="str">
        <f>IFERROR(LEFT(Raw_Data!E493,SEARCH("-",Raw_Data!E493)-1),"Review")</f>
        <v>Sales</v>
      </c>
      <c r="F493" s="2" t="str">
        <f>IFERROR(_xlfn.TEXTAFTER(Raw_Data!E493,"-"),"Review")</f>
        <v>New York</v>
      </c>
      <c r="G493" s="2" t="str">
        <f>IFERROR(TRIM(Raw_Data!F493), "Review")</f>
        <v>Active</v>
      </c>
      <c r="H493" s="3" t="str">
        <f>IFERROR(TEXT(Raw_Data!G493, "YYYY-MM-DD"),"Review")</f>
        <v>2021-09-29</v>
      </c>
      <c r="I493" s="4">
        <f>IF(Raw_Data!H493="", "", IFERROR(VALUE(Raw_Data!H493), ""))</f>
        <v>99669.86</v>
      </c>
      <c r="J493" s="2" t="str">
        <f>IF(Raw_Data!I493="", "", IF(ISNUMBER(FIND("@", Raw_Data!I493)), Raw_Data!I493, "Review"))</f>
        <v>frank.jones@example.com</v>
      </c>
      <c r="K493" s="5" t="str">
        <f>IFERROR(TEXT(ABS(Raw_Data!J493), "0"), "Review")</f>
        <v>6652683414</v>
      </c>
      <c r="L493" s="2" t="str">
        <f>IFERROR(TRIM(Raw_Data!K493), "Review")</f>
        <v>Average</v>
      </c>
      <c r="M493" s="2" t="b">
        <f>IF(Raw_Data!L493="", "",
    IF(ISLOGICAL(Raw_Data!L493), Raw_Data!L493,
        IF(OR(UPPER(Raw_Data!L493)="TRUE", UPPER(Raw_Data!L493)="YES", UPPER(Raw_Data!L493)="1"), TRUE,
            IF(OR(UPPER(Raw_Data!L493)="FALSE", UPPER(Raw_Data!L493)="NO", UPPER(Raw_Data!L493)="0"), FALSE, "Review")
        )
    )
)</f>
        <v>0</v>
      </c>
    </row>
    <row r="494" spans="1:13" x14ac:dyDescent="0.4">
      <c r="A494" s="2" t="str">
        <f>IFERROR(TRIM(Raw_Data!A494), "Review")</f>
        <v>EMP1492</v>
      </c>
      <c r="B494" s="2" t="str">
        <f>IFERROR(TRIM(Raw_Data!B494), "Review")</f>
        <v>Alice</v>
      </c>
      <c r="C494" s="2" t="str">
        <f>IFERROR(TRIM(Raw_Data!C494), "Review")</f>
        <v>Smith</v>
      </c>
      <c r="D494" s="2">
        <f>IF(Raw_Data!D494="", "", IFERROR(VALUE(Raw_Data!D494), ""))</f>
        <v>30</v>
      </c>
      <c r="E494" s="2" t="str">
        <f>IFERROR(LEFT(Raw_Data!E494,SEARCH("-",Raw_Data!E494)-1),"Review")</f>
        <v>Admin</v>
      </c>
      <c r="F494" s="2" t="str">
        <f>IFERROR(_xlfn.TEXTAFTER(Raw_Data!E494,"-"),"Review")</f>
        <v>New York</v>
      </c>
      <c r="G494" s="2" t="str">
        <f>IFERROR(TRIM(Raw_Data!F494), "Review")</f>
        <v>Active</v>
      </c>
      <c r="H494" s="3" t="str">
        <f>IFERROR(TEXT(Raw_Data!G494, "YYYY-MM-DD"),"Review")</f>
        <v>2021-05-25</v>
      </c>
      <c r="I494" s="4">
        <f>IF(Raw_Data!H494="", "", IFERROR(VALUE(Raw_Data!H494), ""))</f>
        <v>52314.97</v>
      </c>
      <c r="J494" s="2" t="str">
        <f>IF(Raw_Data!I494="", "", IF(ISNUMBER(FIND("@", Raw_Data!I494)), Raw_Data!I494, "Review"))</f>
        <v>alice.smith@example.com</v>
      </c>
      <c r="K494" s="5" t="str">
        <f>IFERROR(TEXT(ABS(Raw_Data!J494), "0"), "Review")</f>
        <v>5999101575</v>
      </c>
      <c r="L494" s="2" t="str">
        <f>IFERROR(TRIM(Raw_Data!K494), "Review")</f>
        <v>Excellent</v>
      </c>
      <c r="M494" s="2" t="b">
        <f>IF(Raw_Data!L494="", "",
    IF(ISLOGICAL(Raw_Data!L494), Raw_Data!L494,
        IF(OR(UPPER(Raw_Data!L494)="TRUE", UPPER(Raw_Data!L494)="YES", UPPER(Raw_Data!L494)="1"), TRUE,
            IF(OR(UPPER(Raw_Data!L494)="FALSE", UPPER(Raw_Data!L494)="NO", UPPER(Raw_Data!L494)="0"), FALSE, "Review")
        )
    )
)</f>
        <v>0</v>
      </c>
    </row>
    <row r="495" spans="1:13" x14ac:dyDescent="0.4">
      <c r="A495" s="2" t="str">
        <f>IFERROR(TRIM(Raw_Data!A495), "Review")</f>
        <v>EMP1493</v>
      </c>
      <c r="B495" s="2" t="str">
        <f>IFERROR(TRIM(Raw_Data!B495), "Review")</f>
        <v>Frank</v>
      </c>
      <c r="C495" s="2" t="str">
        <f>IFERROR(TRIM(Raw_Data!C495), "Review")</f>
        <v>Miller</v>
      </c>
      <c r="D495" s="2">
        <f>IF(Raw_Data!D495="", "", IFERROR(VALUE(Raw_Data!D495), ""))</f>
        <v>30</v>
      </c>
      <c r="E495" s="2" t="str">
        <f>IFERROR(LEFT(Raw_Data!E495,SEARCH("-",Raw_Data!E495)-1),"Review")</f>
        <v>HR</v>
      </c>
      <c r="F495" s="2" t="str">
        <f>IFERROR(_xlfn.TEXTAFTER(Raw_Data!E495,"-"),"Review")</f>
        <v>California</v>
      </c>
      <c r="G495" s="2" t="str">
        <f>IFERROR(TRIM(Raw_Data!F495), "Review")</f>
        <v>Inactive</v>
      </c>
      <c r="H495" s="3" t="str">
        <f>IFERROR(TEXT(Raw_Data!G495, "YYYY-MM-DD"),"Review")</f>
        <v>2022-10-31</v>
      </c>
      <c r="I495" s="4">
        <f>IF(Raw_Data!H495="", "", IFERROR(VALUE(Raw_Data!H495), ""))</f>
        <v>77785.960000000006</v>
      </c>
      <c r="J495" s="2" t="str">
        <f>IF(Raw_Data!I495="", "", IF(ISNUMBER(FIND("@", Raw_Data!I495)), Raw_Data!I495, "Review"))</f>
        <v>frank.miller@example.com</v>
      </c>
      <c r="K495" s="5" t="str">
        <f>IFERROR(TEXT(ABS(Raw_Data!J495), "0"), "Review")</f>
        <v>7647229811</v>
      </c>
      <c r="L495" s="2" t="str">
        <f>IFERROR(TRIM(Raw_Data!K495), "Review")</f>
        <v>Excellent</v>
      </c>
      <c r="M495" s="2" t="b">
        <f>IF(Raw_Data!L495="", "",
    IF(ISLOGICAL(Raw_Data!L495), Raw_Data!L495,
        IF(OR(UPPER(Raw_Data!L495)="TRUE", UPPER(Raw_Data!L495)="YES", UPPER(Raw_Data!L495)="1"), TRUE,
            IF(OR(UPPER(Raw_Data!L495)="FALSE", UPPER(Raw_Data!L495)="NO", UPPER(Raw_Data!L495)="0"), FALSE, "Review")
        )
    )
)</f>
        <v>0</v>
      </c>
    </row>
    <row r="496" spans="1:13" x14ac:dyDescent="0.4">
      <c r="A496" s="2" t="str">
        <f>IFERROR(TRIM(Raw_Data!A496), "Review")</f>
        <v>EMP1494</v>
      </c>
      <c r="B496" s="2" t="str">
        <f>IFERROR(TRIM(Raw_Data!B496), "Review")</f>
        <v>Alice</v>
      </c>
      <c r="C496" s="2" t="str">
        <f>IFERROR(TRIM(Raw_Data!C496), "Review")</f>
        <v>Jones</v>
      </c>
      <c r="D496" s="2">
        <f>IF(Raw_Data!D496="", "", IFERROR(VALUE(Raw_Data!D496), ""))</f>
        <v>30</v>
      </c>
      <c r="E496" s="2" t="str">
        <f>IFERROR(LEFT(Raw_Data!E496,SEARCH("-",Raw_Data!E496)-1),"Review")</f>
        <v>HR</v>
      </c>
      <c r="F496" s="2" t="str">
        <f>IFERROR(_xlfn.TEXTAFTER(Raw_Data!E496,"-"),"Review")</f>
        <v>Florida</v>
      </c>
      <c r="G496" s="2" t="str">
        <f>IFERROR(TRIM(Raw_Data!F496), "Review")</f>
        <v>Pending</v>
      </c>
      <c r="H496" s="3" t="str">
        <f>IFERROR(TEXT(Raw_Data!G496, "YYYY-MM-DD"),"Review")</f>
        <v>2022-07-02</v>
      </c>
      <c r="I496" s="4">
        <f>IF(Raw_Data!H496="", "", IFERROR(VALUE(Raw_Data!H496), ""))</f>
        <v>62430.86</v>
      </c>
      <c r="J496" s="2" t="str">
        <f>IF(Raw_Data!I496="", "", IF(ISNUMBER(FIND("@", Raw_Data!I496)), Raw_Data!I496, "Review"))</f>
        <v>alice.jones@example.com</v>
      </c>
      <c r="K496" s="5" t="str">
        <f>IFERROR(TEXT(ABS(Raw_Data!J496), "0"), "Review")</f>
        <v>995765727</v>
      </c>
      <c r="L496" s="2" t="str">
        <f>IFERROR(TRIM(Raw_Data!K496), "Review")</f>
        <v>Poor</v>
      </c>
      <c r="M496" s="2" t="b">
        <f>IF(Raw_Data!L496="", "",
    IF(ISLOGICAL(Raw_Data!L496), Raw_Data!L496,
        IF(OR(UPPER(Raw_Data!L496)="TRUE", UPPER(Raw_Data!L496)="YES", UPPER(Raw_Data!L496)="1"), TRUE,
            IF(OR(UPPER(Raw_Data!L496)="FALSE", UPPER(Raw_Data!L496)="NO", UPPER(Raw_Data!L496)="0"), FALSE, "Review")
        )
    )
)</f>
        <v>0</v>
      </c>
    </row>
    <row r="497" spans="1:13" x14ac:dyDescent="0.4">
      <c r="A497" s="2" t="str">
        <f>IFERROR(TRIM(Raw_Data!A497), "Review")</f>
        <v>EMP1495</v>
      </c>
      <c r="B497" s="2" t="str">
        <f>IFERROR(TRIM(Raw_Data!B497), "Review")</f>
        <v>Frank</v>
      </c>
      <c r="C497" s="2" t="str">
        <f>IFERROR(TRIM(Raw_Data!C497), "Review")</f>
        <v>Davis</v>
      </c>
      <c r="D497" s="2">
        <f>IF(Raw_Data!D497="", "", IFERROR(VALUE(Raw_Data!D497), ""))</f>
        <v>35</v>
      </c>
      <c r="E497" s="2" t="str">
        <f>IFERROR(LEFT(Raw_Data!E497,SEARCH("-",Raw_Data!E497)-1),"Review")</f>
        <v>Admin</v>
      </c>
      <c r="F497" s="2" t="str">
        <f>IFERROR(_xlfn.TEXTAFTER(Raw_Data!E497,"-"),"Review")</f>
        <v>California</v>
      </c>
      <c r="G497" s="2" t="str">
        <f>IFERROR(TRIM(Raw_Data!F497), "Review")</f>
        <v>Pending</v>
      </c>
      <c r="H497" s="3" t="str">
        <f>IFERROR(TEXT(Raw_Data!G497, "YYYY-MM-DD"),"Review")</f>
        <v>2024-08-28</v>
      </c>
      <c r="I497" s="4">
        <f>IF(Raw_Data!H497="", "", IFERROR(VALUE(Raw_Data!H497), ""))</f>
        <v>98219.54</v>
      </c>
      <c r="J497" s="2" t="str">
        <f>IF(Raw_Data!I497="", "", IF(ISNUMBER(FIND("@", Raw_Data!I497)), Raw_Data!I497, "Review"))</f>
        <v>frank.davis@example.com</v>
      </c>
      <c r="K497" s="5" t="str">
        <f>IFERROR(TEXT(ABS(Raw_Data!J497), "0"), "Review")</f>
        <v>9413475097</v>
      </c>
      <c r="L497" s="2" t="str">
        <f>IFERROR(TRIM(Raw_Data!K497), "Review")</f>
        <v>Good</v>
      </c>
      <c r="M497" s="2" t="b">
        <f>IF(Raw_Data!L497="", "",
    IF(ISLOGICAL(Raw_Data!L497), Raw_Data!L497,
        IF(OR(UPPER(Raw_Data!L497)="TRUE", UPPER(Raw_Data!L497)="YES", UPPER(Raw_Data!L497)="1"), TRUE,
            IF(OR(UPPER(Raw_Data!L497)="FALSE", UPPER(Raw_Data!L497)="NO", UPPER(Raw_Data!L497)="0"), FALSE, "Review")
        )
    )
)</f>
        <v>1</v>
      </c>
    </row>
    <row r="498" spans="1:13" x14ac:dyDescent="0.4">
      <c r="A498" s="2" t="str">
        <f>IFERROR(TRIM(Raw_Data!A498), "Review")</f>
        <v>EMP1496</v>
      </c>
      <c r="B498" s="2" t="str">
        <f>IFERROR(TRIM(Raw_Data!B498), "Review")</f>
        <v>Grace</v>
      </c>
      <c r="C498" s="2" t="str">
        <f>IFERROR(TRIM(Raw_Data!C498), "Review")</f>
        <v>Williams</v>
      </c>
      <c r="D498" s="2">
        <f>IF(Raw_Data!D498="", "", IFERROR(VALUE(Raw_Data!D498), ""))</f>
        <v>25</v>
      </c>
      <c r="E498" s="2" t="str">
        <f>IFERROR(LEFT(Raw_Data!E498,SEARCH("-",Raw_Data!E498)-1),"Review")</f>
        <v>Admin</v>
      </c>
      <c r="F498" s="2" t="str">
        <f>IFERROR(_xlfn.TEXTAFTER(Raw_Data!E498,"-"),"Review")</f>
        <v>Illinois</v>
      </c>
      <c r="G498" s="2" t="str">
        <f>IFERROR(TRIM(Raw_Data!F498), "Review")</f>
        <v>Active</v>
      </c>
      <c r="H498" s="3" t="str">
        <f>IFERROR(TEXT(Raw_Data!G498, "YYYY-MM-DD"),"Review")</f>
        <v>2024-10-21</v>
      </c>
      <c r="I498" s="4">
        <f>IF(Raw_Data!H498="", "", IFERROR(VALUE(Raw_Data!H498), ""))</f>
        <v>65494.58</v>
      </c>
      <c r="J498" s="2" t="str">
        <f>IF(Raw_Data!I498="", "", IF(ISNUMBER(FIND("@", Raw_Data!I498)), Raw_Data!I498, "Review"))</f>
        <v>grace.williams@example.com</v>
      </c>
      <c r="K498" s="5" t="str">
        <f>IFERROR(TEXT(ABS(Raw_Data!J498), "0"), "Review")</f>
        <v>8986456521</v>
      </c>
      <c r="L498" s="2" t="str">
        <f>IFERROR(TRIM(Raw_Data!K498), "Review")</f>
        <v>Average</v>
      </c>
      <c r="M498" s="2" t="b">
        <f>IF(Raw_Data!L498="", "",
    IF(ISLOGICAL(Raw_Data!L498), Raw_Data!L498,
        IF(OR(UPPER(Raw_Data!L498)="TRUE", UPPER(Raw_Data!L498)="YES", UPPER(Raw_Data!L498)="1"), TRUE,
            IF(OR(UPPER(Raw_Data!L498)="FALSE", UPPER(Raw_Data!L498)="NO", UPPER(Raw_Data!L498)="0"), FALSE, "Review")
        )
    )
)</f>
        <v>1</v>
      </c>
    </row>
    <row r="499" spans="1:13" x14ac:dyDescent="0.4">
      <c r="A499" s="2" t="str">
        <f>IFERROR(TRIM(Raw_Data!A499), "Review")</f>
        <v>EMP1497</v>
      </c>
      <c r="B499" s="2" t="str">
        <f>IFERROR(TRIM(Raw_Data!B499), "Review")</f>
        <v>David</v>
      </c>
      <c r="C499" s="2" t="str">
        <f>IFERROR(TRIM(Raw_Data!C499), "Review")</f>
        <v>Brown</v>
      </c>
      <c r="D499" s="2">
        <f>IF(Raw_Data!D499="", "", IFERROR(VALUE(Raw_Data!D499), ""))</f>
        <v>35</v>
      </c>
      <c r="E499" s="2" t="str">
        <f>IFERROR(LEFT(Raw_Data!E499,SEARCH("-",Raw_Data!E499)-1),"Review")</f>
        <v>DevOps</v>
      </c>
      <c r="F499" s="2" t="str">
        <f>IFERROR(_xlfn.TEXTAFTER(Raw_Data!E499,"-"),"Review")</f>
        <v>Florida</v>
      </c>
      <c r="G499" s="2" t="str">
        <f>IFERROR(TRIM(Raw_Data!F499), "Review")</f>
        <v>Pending</v>
      </c>
      <c r="H499" s="3" t="str">
        <f>IFERROR(TEXT(Raw_Data!G499, "YYYY-MM-DD"),"Review")</f>
        <v>2020-02-11</v>
      </c>
      <c r="I499" s="4">
        <f>IF(Raw_Data!H499="", "", IFERROR(VALUE(Raw_Data!H499), ""))</f>
        <v>110524.1</v>
      </c>
      <c r="J499" s="2" t="str">
        <f>IF(Raw_Data!I499="", "", IF(ISNUMBER(FIND("@", Raw_Data!I499)), Raw_Data!I499, "Review"))</f>
        <v>david.brown@example.com</v>
      </c>
      <c r="K499" s="5" t="str">
        <f>IFERROR(TEXT(ABS(Raw_Data!J499), "0"), "Review")</f>
        <v>368499514</v>
      </c>
      <c r="L499" s="2" t="str">
        <f>IFERROR(TRIM(Raw_Data!K499), "Review")</f>
        <v>Average</v>
      </c>
      <c r="M499" s="2" t="b">
        <f>IF(Raw_Data!L499="", "",
    IF(ISLOGICAL(Raw_Data!L499), Raw_Data!L499,
        IF(OR(UPPER(Raw_Data!L499)="TRUE", UPPER(Raw_Data!L499)="YES", UPPER(Raw_Data!L499)="1"), TRUE,
            IF(OR(UPPER(Raw_Data!L499)="FALSE", UPPER(Raw_Data!L499)="NO", UPPER(Raw_Data!L499)="0"), FALSE, "Review")
        )
    )
)</f>
        <v>0</v>
      </c>
    </row>
    <row r="500" spans="1:13" x14ac:dyDescent="0.4">
      <c r="A500" s="2" t="str">
        <f>IFERROR(TRIM(Raw_Data!A500), "Review")</f>
        <v>EMP1498</v>
      </c>
      <c r="B500" s="2" t="str">
        <f>IFERROR(TRIM(Raw_Data!B500), "Review")</f>
        <v>Alice</v>
      </c>
      <c r="C500" s="2" t="str">
        <f>IFERROR(TRIM(Raw_Data!C500), "Review")</f>
        <v>Smith</v>
      </c>
      <c r="D500" s="2">
        <f>IF(Raw_Data!D500="", "", IFERROR(VALUE(Raw_Data!D500), ""))</f>
        <v>40</v>
      </c>
      <c r="E500" s="2" t="str">
        <f>IFERROR(LEFT(Raw_Data!E500,SEARCH("-",Raw_Data!E500)-1),"Review")</f>
        <v>Admin</v>
      </c>
      <c r="F500" s="2" t="str">
        <f>IFERROR(_xlfn.TEXTAFTER(Raw_Data!E500,"-"),"Review")</f>
        <v>Nevada</v>
      </c>
      <c r="G500" s="2" t="str">
        <f>IFERROR(TRIM(Raw_Data!F500), "Review")</f>
        <v>Active</v>
      </c>
      <c r="H500" s="3" t="str">
        <f>IFERROR(TEXT(Raw_Data!G500, "YYYY-MM-DD"),"Review")</f>
        <v>2023-05-16</v>
      </c>
      <c r="I500" s="4">
        <f>IF(Raw_Data!H500="", "", IFERROR(VALUE(Raw_Data!H500), ""))</f>
        <v>106060.54</v>
      </c>
      <c r="J500" s="2" t="str">
        <f>IF(Raw_Data!I500="", "", IF(ISNUMBER(FIND("@", Raw_Data!I500)), Raw_Data!I500, "Review"))</f>
        <v>alice.smith@example.com</v>
      </c>
      <c r="K500" s="5" t="str">
        <f>IFERROR(TEXT(ABS(Raw_Data!J500), "0"), "Review")</f>
        <v>4214477323</v>
      </c>
      <c r="L500" s="2" t="str">
        <f>IFERROR(TRIM(Raw_Data!K500), "Review")</f>
        <v>Poor</v>
      </c>
      <c r="M500" s="2" t="b">
        <f>IF(Raw_Data!L500="", "",
    IF(ISLOGICAL(Raw_Data!L500), Raw_Data!L500,
        IF(OR(UPPER(Raw_Data!L500)="TRUE", UPPER(Raw_Data!L500)="YES", UPPER(Raw_Data!L500)="1"), TRUE,
            IF(OR(UPPER(Raw_Data!L500)="FALSE", UPPER(Raw_Data!L500)="NO", UPPER(Raw_Data!L500)="0"), FALSE, "Review")
        )
    )
)</f>
        <v>0</v>
      </c>
    </row>
    <row r="501" spans="1:13" x14ac:dyDescent="0.4">
      <c r="A501" s="2" t="str">
        <f>IFERROR(TRIM(Raw_Data!A501), "Review")</f>
        <v>EMP1499</v>
      </c>
      <c r="B501" s="2" t="str">
        <f>IFERROR(TRIM(Raw_Data!B501), "Review")</f>
        <v>Eva</v>
      </c>
      <c r="C501" s="2" t="str">
        <f>IFERROR(TRIM(Raw_Data!C501), "Review")</f>
        <v>Brown</v>
      </c>
      <c r="D501" s="2">
        <f>IF(Raw_Data!D501="", "", IFERROR(VALUE(Raw_Data!D501), ""))</f>
        <v>35</v>
      </c>
      <c r="E501" s="2" t="str">
        <f>IFERROR(LEFT(Raw_Data!E501,SEARCH("-",Raw_Data!E501)-1),"Review")</f>
        <v>Finance</v>
      </c>
      <c r="F501" s="2" t="str">
        <f>IFERROR(_xlfn.TEXTAFTER(Raw_Data!E501,"-"),"Review")</f>
        <v>Florida</v>
      </c>
      <c r="G501" s="2" t="str">
        <f>IFERROR(TRIM(Raw_Data!F501), "Review")</f>
        <v>Inactive</v>
      </c>
      <c r="H501" s="3" t="str">
        <f>IFERROR(TEXT(Raw_Data!G501, "YYYY-MM-DD"),"Review")</f>
        <v>2022-07-29</v>
      </c>
      <c r="I501" s="4">
        <f>IF(Raw_Data!H501="", "", IFERROR(VALUE(Raw_Data!H501), ""))</f>
        <v>67639.91</v>
      </c>
      <c r="J501" s="2" t="str">
        <f>IF(Raw_Data!I501="", "", IF(ISNUMBER(FIND("@", Raw_Data!I501)), Raw_Data!I501, "Review"))</f>
        <v>eva.brown@example.com</v>
      </c>
      <c r="K501" s="5" t="str">
        <f>IFERROR(TEXT(ABS(Raw_Data!J501), "0"), "Review")</f>
        <v>4913421387</v>
      </c>
      <c r="L501" s="2" t="str">
        <f>IFERROR(TRIM(Raw_Data!K501), "Review")</f>
        <v>Excellent</v>
      </c>
      <c r="M501" s="2" t="b">
        <f>IF(Raw_Data!L501="", "",
    IF(ISLOGICAL(Raw_Data!L501), Raw_Data!L501,
        IF(OR(UPPER(Raw_Data!L501)="TRUE", UPPER(Raw_Data!L501)="YES", UPPER(Raw_Data!L501)="1"), TRUE,
            IF(OR(UPPER(Raw_Data!L501)="FALSE", UPPER(Raw_Data!L501)="NO", UPPER(Raw_Data!L501)="0"), FALSE, "Review")
        )
    )
)</f>
        <v>1</v>
      </c>
    </row>
    <row r="502" spans="1:13" x14ac:dyDescent="0.4">
      <c r="A502" s="2" t="str">
        <f>IFERROR(TRIM(Raw_Data!A502), "Review")</f>
        <v>EMP1500</v>
      </c>
      <c r="B502" s="2" t="str">
        <f>IFERROR(TRIM(Raw_Data!B502), "Review")</f>
        <v>Grace</v>
      </c>
      <c r="C502" s="2" t="str">
        <f>IFERROR(TRIM(Raw_Data!C502), "Review")</f>
        <v>Davis</v>
      </c>
      <c r="D502" s="2" t="str">
        <f>IF(Raw_Data!D502="", "", IFERROR(VALUE(Raw_Data!D502), ""))</f>
        <v/>
      </c>
      <c r="E502" s="2" t="str">
        <f>IFERROR(LEFT(Raw_Data!E502,SEARCH("-",Raw_Data!E502)-1),"Review")</f>
        <v>Cloud Tech</v>
      </c>
      <c r="F502" s="2" t="str">
        <f>IFERROR(_xlfn.TEXTAFTER(Raw_Data!E502,"-"),"Review")</f>
        <v>Texas</v>
      </c>
      <c r="G502" s="2" t="str">
        <f>IFERROR(TRIM(Raw_Data!F502), "Review")</f>
        <v>Pending</v>
      </c>
      <c r="H502" s="3" t="str">
        <f>IFERROR(TEXT(Raw_Data!G502, "YYYY-MM-DD"),"Review")</f>
        <v>2023-09-18</v>
      </c>
      <c r="I502" s="4">
        <f>IF(Raw_Data!H502="", "", IFERROR(VALUE(Raw_Data!H502), ""))</f>
        <v>117653.98</v>
      </c>
      <c r="J502" s="2" t="str">
        <f>IF(Raw_Data!I502="", "", IF(ISNUMBER(FIND("@", Raw_Data!I502)), Raw_Data!I502, "Review"))</f>
        <v>grace.davis@example.com</v>
      </c>
      <c r="K502" s="5" t="str">
        <f>IFERROR(TEXT(ABS(Raw_Data!J502), "0"), "Review")</f>
        <v>2090883069</v>
      </c>
      <c r="L502" s="2" t="str">
        <f>IFERROR(TRIM(Raw_Data!K502), "Review")</f>
        <v>Good</v>
      </c>
      <c r="M502" s="2" t="b">
        <f>IF(Raw_Data!L502="", "",
    IF(ISLOGICAL(Raw_Data!L502), Raw_Data!L502,
        IF(OR(UPPER(Raw_Data!L502)="TRUE", UPPER(Raw_Data!L502)="YES", UPPER(Raw_Data!L502)="1"), TRUE,
            IF(OR(UPPER(Raw_Data!L502)="FALSE", UPPER(Raw_Data!L502)="NO", UPPER(Raw_Data!L502)="0"), FALSE, "Review")
        )
    )
)</f>
        <v>1</v>
      </c>
    </row>
    <row r="503" spans="1:13" x14ac:dyDescent="0.4">
      <c r="A503" s="2" t="str">
        <f>IFERROR(TRIM(Raw_Data!A503), "Review")</f>
        <v>EMP1501</v>
      </c>
      <c r="B503" s="2" t="str">
        <f>IFERROR(TRIM(Raw_Data!B503), "Review")</f>
        <v>Eva</v>
      </c>
      <c r="C503" s="2" t="str">
        <f>IFERROR(TRIM(Raw_Data!C503), "Review")</f>
        <v>Jones</v>
      </c>
      <c r="D503" s="2">
        <f>IF(Raw_Data!D503="", "", IFERROR(VALUE(Raw_Data!D503), ""))</f>
        <v>35</v>
      </c>
      <c r="E503" s="2" t="str">
        <f>IFERROR(LEFT(Raw_Data!E503,SEARCH("-",Raw_Data!E503)-1),"Review")</f>
        <v>DevOps</v>
      </c>
      <c r="F503" s="2" t="str">
        <f>IFERROR(_xlfn.TEXTAFTER(Raw_Data!E503,"-"),"Review")</f>
        <v>Texas</v>
      </c>
      <c r="G503" s="2" t="str">
        <f>IFERROR(TRIM(Raw_Data!F503), "Review")</f>
        <v>Inactive</v>
      </c>
      <c r="H503" s="3" t="str">
        <f>IFERROR(TEXT(Raw_Data!G503, "YYYY-MM-DD"),"Review")</f>
        <v>2020-05-10</v>
      </c>
      <c r="I503" s="4">
        <f>IF(Raw_Data!H503="", "", IFERROR(VALUE(Raw_Data!H503), ""))</f>
        <v>73539.86</v>
      </c>
      <c r="J503" s="2" t="str">
        <f>IF(Raw_Data!I503="", "", IF(ISNUMBER(FIND("@", Raw_Data!I503)), Raw_Data!I503, "Review"))</f>
        <v>eva.jones@example.com</v>
      </c>
      <c r="K503" s="5" t="str">
        <f>IFERROR(TEXT(ABS(Raw_Data!J503), "0"), "Review")</f>
        <v>5349678273</v>
      </c>
      <c r="L503" s="2" t="str">
        <f>IFERROR(TRIM(Raw_Data!K503), "Review")</f>
        <v>Excellent</v>
      </c>
      <c r="M503" s="2" t="b">
        <f>IF(Raw_Data!L503="", "",
    IF(ISLOGICAL(Raw_Data!L503), Raw_Data!L503,
        IF(OR(UPPER(Raw_Data!L503)="TRUE", UPPER(Raw_Data!L503)="YES", UPPER(Raw_Data!L503)="1"), TRUE,
            IF(OR(UPPER(Raw_Data!L503)="FALSE", UPPER(Raw_Data!L503)="NO", UPPER(Raw_Data!L503)="0"), FALSE, "Review")
        )
    )
)</f>
        <v>1</v>
      </c>
    </row>
    <row r="504" spans="1:13" x14ac:dyDescent="0.4">
      <c r="A504" s="2" t="str">
        <f>IFERROR(TRIM(Raw_Data!A504), "Review")</f>
        <v>EMP1502</v>
      </c>
      <c r="B504" s="2" t="str">
        <f>IFERROR(TRIM(Raw_Data!B504), "Review")</f>
        <v>Frank</v>
      </c>
      <c r="C504" s="2" t="str">
        <f>IFERROR(TRIM(Raw_Data!C504), "Review")</f>
        <v>Jones</v>
      </c>
      <c r="D504" s="2">
        <f>IF(Raw_Data!D504="", "", IFERROR(VALUE(Raw_Data!D504), ""))</f>
        <v>35</v>
      </c>
      <c r="E504" s="2" t="str">
        <f>IFERROR(LEFT(Raw_Data!E504,SEARCH("-",Raw_Data!E504)-1),"Review")</f>
        <v>HR</v>
      </c>
      <c r="F504" s="2" t="str">
        <f>IFERROR(_xlfn.TEXTAFTER(Raw_Data!E504,"-"),"Review")</f>
        <v>Nevada</v>
      </c>
      <c r="G504" s="2" t="str">
        <f>IFERROR(TRIM(Raw_Data!F504), "Review")</f>
        <v>Pending</v>
      </c>
      <c r="H504" s="3" t="str">
        <f>IFERROR(TEXT(Raw_Data!G504, "YYYY-MM-DD"),"Review")</f>
        <v>2023-08-27</v>
      </c>
      <c r="I504" s="4">
        <f>IF(Raw_Data!H504="", "", IFERROR(VALUE(Raw_Data!H504), ""))</f>
        <v>70915.38</v>
      </c>
      <c r="J504" s="2" t="str">
        <f>IF(Raw_Data!I504="", "", IF(ISNUMBER(FIND("@", Raw_Data!I504)), Raw_Data!I504, "Review"))</f>
        <v>frank.jones@example.com</v>
      </c>
      <c r="K504" s="5" t="str">
        <f>IFERROR(TEXT(ABS(Raw_Data!J504), "0"), "Review")</f>
        <v>1176741240</v>
      </c>
      <c r="L504" s="2" t="str">
        <f>IFERROR(TRIM(Raw_Data!K504), "Review")</f>
        <v>Excellent</v>
      </c>
      <c r="M504" s="2" t="b">
        <f>IF(Raw_Data!L504="", "",
    IF(ISLOGICAL(Raw_Data!L504), Raw_Data!L504,
        IF(OR(UPPER(Raw_Data!L504)="TRUE", UPPER(Raw_Data!L504)="YES", UPPER(Raw_Data!L504)="1"), TRUE,
            IF(OR(UPPER(Raw_Data!L504)="FALSE", UPPER(Raw_Data!L504)="NO", UPPER(Raw_Data!L504)="0"), FALSE, "Review")
        )
    )
)</f>
        <v>1</v>
      </c>
    </row>
    <row r="505" spans="1:13" x14ac:dyDescent="0.4">
      <c r="A505" s="2" t="str">
        <f>IFERROR(TRIM(Raw_Data!A505), "Review")</f>
        <v>EMP1503</v>
      </c>
      <c r="B505" s="2" t="str">
        <f>IFERROR(TRIM(Raw_Data!B505), "Review")</f>
        <v>David</v>
      </c>
      <c r="C505" s="2" t="str">
        <f>IFERROR(TRIM(Raw_Data!C505), "Review")</f>
        <v>Garcia</v>
      </c>
      <c r="D505" s="2">
        <f>IF(Raw_Data!D505="", "", IFERROR(VALUE(Raw_Data!D505), ""))</f>
        <v>25</v>
      </c>
      <c r="E505" s="2" t="str">
        <f>IFERROR(LEFT(Raw_Data!E505,SEARCH("-",Raw_Data!E505)-1),"Review")</f>
        <v>Sales</v>
      </c>
      <c r="F505" s="2" t="str">
        <f>IFERROR(_xlfn.TEXTAFTER(Raw_Data!E505,"-"),"Review")</f>
        <v>Florida</v>
      </c>
      <c r="G505" s="2" t="str">
        <f>IFERROR(TRIM(Raw_Data!F505), "Review")</f>
        <v>Pending</v>
      </c>
      <c r="H505" s="3" t="str">
        <f>IFERROR(TEXT(Raw_Data!G505, "YYYY-MM-DD"),"Review")</f>
        <v>2021-10-16</v>
      </c>
      <c r="I505" s="4">
        <f>IF(Raw_Data!H505="", "", IFERROR(VALUE(Raw_Data!H505), ""))</f>
        <v>97652.9</v>
      </c>
      <c r="J505" s="2" t="str">
        <f>IF(Raw_Data!I505="", "", IF(ISNUMBER(FIND("@", Raw_Data!I505)), Raw_Data!I505, "Review"))</f>
        <v>david.garcia@example.com</v>
      </c>
      <c r="K505" s="5" t="str">
        <f>IFERROR(TEXT(ABS(Raw_Data!J505), "0"), "Review")</f>
        <v>5131528546</v>
      </c>
      <c r="L505" s="2" t="str">
        <f>IFERROR(TRIM(Raw_Data!K505), "Review")</f>
        <v>Excellent</v>
      </c>
      <c r="M505" s="2" t="b">
        <f>IF(Raw_Data!L505="", "",
    IF(ISLOGICAL(Raw_Data!L505), Raw_Data!L505,
        IF(OR(UPPER(Raw_Data!L505)="TRUE", UPPER(Raw_Data!L505)="YES", UPPER(Raw_Data!L505)="1"), TRUE,
            IF(OR(UPPER(Raw_Data!L505)="FALSE", UPPER(Raw_Data!L505)="NO", UPPER(Raw_Data!L505)="0"), FALSE, "Review")
        )
    )
)</f>
        <v>0</v>
      </c>
    </row>
    <row r="506" spans="1:13" x14ac:dyDescent="0.4">
      <c r="A506" s="2" t="str">
        <f>IFERROR(TRIM(Raw_Data!A506), "Review")</f>
        <v>EMP1504</v>
      </c>
      <c r="B506" s="2" t="str">
        <f>IFERROR(TRIM(Raw_Data!B506), "Review")</f>
        <v>Heidi</v>
      </c>
      <c r="C506" s="2" t="str">
        <f>IFERROR(TRIM(Raw_Data!C506), "Review")</f>
        <v>Davis</v>
      </c>
      <c r="D506" s="2">
        <f>IF(Raw_Data!D506="", "", IFERROR(VALUE(Raw_Data!D506), ""))</f>
        <v>35</v>
      </c>
      <c r="E506" s="2" t="str">
        <f>IFERROR(LEFT(Raw_Data!E506,SEARCH("-",Raw_Data!E506)-1),"Review")</f>
        <v>HR</v>
      </c>
      <c r="F506" s="2" t="str">
        <f>IFERROR(_xlfn.TEXTAFTER(Raw_Data!E506,"-"),"Review")</f>
        <v>Florida</v>
      </c>
      <c r="G506" s="2" t="str">
        <f>IFERROR(TRIM(Raw_Data!F506), "Review")</f>
        <v>Inactive</v>
      </c>
      <c r="H506" s="3" t="str">
        <f>IFERROR(TEXT(Raw_Data!G506, "YYYY-MM-DD"),"Review")</f>
        <v>2022-03-06</v>
      </c>
      <c r="I506" s="4">
        <f>IF(Raw_Data!H506="", "", IFERROR(VALUE(Raw_Data!H506), ""))</f>
        <v>101571.25</v>
      </c>
      <c r="J506" s="2" t="str">
        <f>IF(Raw_Data!I506="", "", IF(ISNUMBER(FIND("@", Raw_Data!I506)), Raw_Data!I506, "Review"))</f>
        <v>heidi.davis@example.com</v>
      </c>
      <c r="K506" s="5" t="str">
        <f>IFERROR(TEXT(ABS(Raw_Data!J506), "0"), "Review")</f>
        <v>8150618537</v>
      </c>
      <c r="L506" s="2" t="str">
        <f>IFERROR(TRIM(Raw_Data!K506), "Review")</f>
        <v>Excellent</v>
      </c>
      <c r="M506" s="2" t="b">
        <f>IF(Raw_Data!L506="", "",
    IF(ISLOGICAL(Raw_Data!L506), Raw_Data!L506,
        IF(OR(UPPER(Raw_Data!L506)="TRUE", UPPER(Raw_Data!L506)="YES", UPPER(Raw_Data!L506)="1"), TRUE,
            IF(OR(UPPER(Raw_Data!L506)="FALSE", UPPER(Raw_Data!L506)="NO", UPPER(Raw_Data!L506)="0"), FALSE, "Review")
        )
    )
)</f>
        <v>0</v>
      </c>
    </row>
    <row r="507" spans="1:13" x14ac:dyDescent="0.4">
      <c r="A507" s="2" t="str">
        <f>IFERROR(TRIM(Raw_Data!A507), "Review")</f>
        <v>EMP1505</v>
      </c>
      <c r="B507" s="2" t="str">
        <f>IFERROR(TRIM(Raw_Data!B507), "Review")</f>
        <v>David</v>
      </c>
      <c r="C507" s="2" t="str">
        <f>IFERROR(TRIM(Raw_Data!C507), "Review")</f>
        <v>Smith</v>
      </c>
      <c r="D507" s="2">
        <f>IF(Raw_Data!D507="", "", IFERROR(VALUE(Raw_Data!D507), ""))</f>
        <v>35</v>
      </c>
      <c r="E507" s="2" t="str">
        <f>IFERROR(LEFT(Raw_Data!E507,SEARCH("-",Raw_Data!E507)-1),"Review")</f>
        <v>DevOps</v>
      </c>
      <c r="F507" s="2" t="str">
        <f>IFERROR(_xlfn.TEXTAFTER(Raw_Data!E507,"-"),"Review")</f>
        <v>Nevada</v>
      </c>
      <c r="G507" s="2" t="str">
        <f>IFERROR(TRIM(Raw_Data!F507), "Review")</f>
        <v>Active</v>
      </c>
      <c r="H507" s="3" t="str">
        <f>IFERROR(TEXT(Raw_Data!G507, "YYYY-MM-DD"),"Review")</f>
        <v>2023-11-06</v>
      </c>
      <c r="I507" s="4">
        <f>IF(Raw_Data!H507="", "", IFERROR(VALUE(Raw_Data!H507), ""))</f>
        <v>87424.46</v>
      </c>
      <c r="J507" s="2" t="str">
        <f>IF(Raw_Data!I507="", "", IF(ISNUMBER(FIND("@", Raw_Data!I507)), Raw_Data!I507, "Review"))</f>
        <v>david.smith@example.com</v>
      </c>
      <c r="K507" s="5" t="str">
        <f>IFERROR(TEXT(ABS(Raw_Data!J507), "0"), "Review")</f>
        <v>32963346</v>
      </c>
      <c r="L507" s="2" t="str">
        <f>IFERROR(TRIM(Raw_Data!K507), "Review")</f>
        <v>Average</v>
      </c>
      <c r="M507" s="2" t="b">
        <f>IF(Raw_Data!L507="", "",
    IF(ISLOGICAL(Raw_Data!L507), Raw_Data!L507,
        IF(OR(UPPER(Raw_Data!L507)="TRUE", UPPER(Raw_Data!L507)="YES", UPPER(Raw_Data!L507)="1"), TRUE,
            IF(OR(UPPER(Raw_Data!L507)="FALSE", UPPER(Raw_Data!L507)="NO", UPPER(Raw_Data!L507)="0"), FALSE, "Review")
        )
    )
)</f>
        <v>1</v>
      </c>
    </row>
    <row r="508" spans="1:13" x14ac:dyDescent="0.4">
      <c r="A508" s="2" t="str">
        <f>IFERROR(TRIM(Raw_Data!A508), "Review")</f>
        <v>EMP1506</v>
      </c>
      <c r="B508" s="2" t="str">
        <f>IFERROR(TRIM(Raw_Data!B508), "Review")</f>
        <v>Frank</v>
      </c>
      <c r="C508" s="2" t="str">
        <f>IFERROR(TRIM(Raw_Data!C508), "Review")</f>
        <v>Garcia</v>
      </c>
      <c r="D508" s="2" t="str">
        <f>IF(Raw_Data!D508="", "", IFERROR(VALUE(Raw_Data!D508), ""))</f>
        <v/>
      </c>
      <c r="E508" s="2" t="str">
        <f>IFERROR(LEFT(Raw_Data!E508,SEARCH("-",Raw_Data!E508)-1),"Review")</f>
        <v>HR</v>
      </c>
      <c r="F508" s="2" t="str">
        <f>IFERROR(_xlfn.TEXTAFTER(Raw_Data!E508,"-"),"Review")</f>
        <v>New York</v>
      </c>
      <c r="G508" s="2" t="str">
        <f>IFERROR(TRIM(Raw_Data!F508), "Review")</f>
        <v>Pending</v>
      </c>
      <c r="H508" s="3" t="str">
        <f>IFERROR(TEXT(Raw_Data!G508, "YYYY-MM-DD"),"Review")</f>
        <v>2024-11-30</v>
      </c>
      <c r="I508" s="4">
        <f>IF(Raw_Data!H508="", "", IFERROR(VALUE(Raw_Data!H508), ""))</f>
        <v>89077.36</v>
      </c>
      <c r="J508" s="2" t="str">
        <f>IF(Raw_Data!I508="", "", IF(ISNUMBER(FIND("@", Raw_Data!I508)), Raw_Data!I508, "Review"))</f>
        <v>frank.garcia@example.com</v>
      </c>
      <c r="K508" s="5" t="str">
        <f>IFERROR(TEXT(ABS(Raw_Data!J508), "0"), "Review")</f>
        <v>2727423182</v>
      </c>
      <c r="L508" s="2" t="str">
        <f>IFERROR(TRIM(Raw_Data!K508), "Review")</f>
        <v>Average</v>
      </c>
      <c r="M508" s="2" t="b">
        <f>IF(Raw_Data!L508="", "",
    IF(ISLOGICAL(Raw_Data!L508), Raw_Data!L508,
        IF(OR(UPPER(Raw_Data!L508)="TRUE", UPPER(Raw_Data!L508)="YES", UPPER(Raw_Data!L508)="1"), TRUE,
            IF(OR(UPPER(Raw_Data!L508)="FALSE", UPPER(Raw_Data!L508)="NO", UPPER(Raw_Data!L508)="0"), FALSE, "Review")
        )
    )
)</f>
        <v>0</v>
      </c>
    </row>
    <row r="509" spans="1:13" x14ac:dyDescent="0.4">
      <c r="A509" s="2" t="str">
        <f>IFERROR(TRIM(Raw_Data!A509), "Review")</f>
        <v>EMP1507</v>
      </c>
      <c r="B509" s="2" t="str">
        <f>IFERROR(TRIM(Raw_Data!B509), "Review")</f>
        <v>Heidi</v>
      </c>
      <c r="C509" s="2" t="str">
        <f>IFERROR(TRIM(Raw_Data!C509), "Review")</f>
        <v>Williams</v>
      </c>
      <c r="D509" s="2">
        <f>IF(Raw_Data!D509="", "", IFERROR(VALUE(Raw_Data!D509), ""))</f>
        <v>30</v>
      </c>
      <c r="E509" s="2" t="str">
        <f>IFERROR(LEFT(Raw_Data!E509,SEARCH("-",Raw_Data!E509)-1),"Review")</f>
        <v>DevOps</v>
      </c>
      <c r="F509" s="2" t="str">
        <f>IFERROR(_xlfn.TEXTAFTER(Raw_Data!E509,"-"),"Review")</f>
        <v>California</v>
      </c>
      <c r="G509" s="2" t="str">
        <f>IFERROR(TRIM(Raw_Data!F509), "Review")</f>
        <v>Pending</v>
      </c>
      <c r="H509" s="3" t="str">
        <f>IFERROR(TEXT(Raw_Data!G509, "YYYY-MM-DD"),"Review")</f>
        <v>2024-07-13</v>
      </c>
      <c r="I509" s="4">
        <f>IF(Raw_Data!H509="", "", IFERROR(VALUE(Raw_Data!H509), ""))</f>
        <v>89132.22</v>
      </c>
      <c r="J509" s="2" t="str">
        <f>IF(Raw_Data!I509="", "", IF(ISNUMBER(FIND("@", Raw_Data!I509)), Raw_Data!I509, "Review"))</f>
        <v>heidi.williams@example.com</v>
      </c>
      <c r="K509" s="5" t="str">
        <f>IFERROR(TEXT(ABS(Raw_Data!J509), "0"), "Review")</f>
        <v>617893205</v>
      </c>
      <c r="L509" s="2" t="str">
        <f>IFERROR(TRIM(Raw_Data!K509), "Review")</f>
        <v>Excellent</v>
      </c>
      <c r="M509" s="2" t="b">
        <f>IF(Raw_Data!L509="", "",
    IF(ISLOGICAL(Raw_Data!L509), Raw_Data!L509,
        IF(OR(UPPER(Raw_Data!L509)="TRUE", UPPER(Raw_Data!L509)="YES", UPPER(Raw_Data!L509)="1"), TRUE,
            IF(OR(UPPER(Raw_Data!L509)="FALSE", UPPER(Raw_Data!L509)="NO", UPPER(Raw_Data!L509)="0"), FALSE, "Review")
        )
    )
)</f>
        <v>1</v>
      </c>
    </row>
    <row r="510" spans="1:13" x14ac:dyDescent="0.4">
      <c r="A510" s="2" t="str">
        <f>IFERROR(TRIM(Raw_Data!A510), "Review")</f>
        <v>EMP1508</v>
      </c>
      <c r="B510" s="2" t="str">
        <f>IFERROR(TRIM(Raw_Data!B510), "Review")</f>
        <v>Frank</v>
      </c>
      <c r="C510" s="2" t="str">
        <f>IFERROR(TRIM(Raw_Data!C510), "Review")</f>
        <v>Garcia</v>
      </c>
      <c r="D510" s="2">
        <f>IF(Raw_Data!D510="", "", IFERROR(VALUE(Raw_Data!D510), ""))</f>
        <v>25</v>
      </c>
      <c r="E510" s="2" t="str">
        <f>IFERROR(LEFT(Raw_Data!E510,SEARCH("-",Raw_Data!E510)-1),"Review")</f>
        <v>Admin</v>
      </c>
      <c r="F510" s="2" t="str">
        <f>IFERROR(_xlfn.TEXTAFTER(Raw_Data!E510,"-"),"Review")</f>
        <v>California</v>
      </c>
      <c r="G510" s="2" t="str">
        <f>IFERROR(TRIM(Raw_Data!F510), "Review")</f>
        <v>Active</v>
      </c>
      <c r="H510" s="3" t="str">
        <f>IFERROR(TEXT(Raw_Data!G510, "YYYY-MM-DD"),"Review")</f>
        <v>2024-03-04</v>
      </c>
      <c r="I510" s="4">
        <f>IF(Raw_Data!H510="", "", IFERROR(VALUE(Raw_Data!H510), ""))</f>
        <v>111000.26</v>
      </c>
      <c r="J510" s="2" t="str">
        <f>IF(Raw_Data!I510="", "", IF(ISNUMBER(FIND("@", Raw_Data!I510)), Raw_Data!I510, "Review"))</f>
        <v>frank.garcia@example.com</v>
      </c>
      <c r="K510" s="5" t="str">
        <f>IFERROR(TEXT(ABS(Raw_Data!J510), "0"), "Review")</f>
        <v>4969357823</v>
      </c>
      <c r="L510" s="2" t="str">
        <f>IFERROR(TRIM(Raw_Data!K510), "Review")</f>
        <v>Good</v>
      </c>
      <c r="M510" s="2" t="b">
        <f>IF(Raw_Data!L510="", "",
    IF(ISLOGICAL(Raw_Data!L510), Raw_Data!L510,
        IF(OR(UPPER(Raw_Data!L510)="TRUE", UPPER(Raw_Data!L510)="YES", UPPER(Raw_Data!L510)="1"), TRUE,
            IF(OR(UPPER(Raw_Data!L510)="FALSE", UPPER(Raw_Data!L510)="NO", UPPER(Raw_Data!L510)="0"), FALSE, "Review")
        )
    )
)</f>
        <v>0</v>
      </c>
    </row>
    <row r="511" spans="1:13" x14ac:dyDescent="0.4">
      <c r="A511" s="2" t="str">
        <f>IFERROR(TRIM(Raw_Data!A511), "Review")</f>
        <v>EMP1509</v>
      </c>
      <c r="B511" s="2" t="str">
        <f>IFERROR(TRIM(Raw_Data!B511), "Review")</f>
        <v>Frank</v>
      </c>
      <c r="C511" s="2" t="str">
        <f>IFERROR(TRIM(Raw_Data!C511), "Review")</f>
        <v>Johnson</v>
      </c>
      <c r="D511" s="2">
        <f>IF(Raw_Data!D511="", "", IFERROR(VALUE(Raw_Data!D511), ""))</f>
        <v>35</v>
      </c>
      <c r="E511" s="2" t="str">
        <f>IFERROR(LEFT(Raw_Data!E511,SEARCH("-",Raw_Data!E511)-1),"Review")</f>
        <v>HR</v>
      </c>
      <c r="F511" s="2" t="str">
        <f>IFERROR(_xlfn.TEXTAFTER(Raw_Data!E511,"-"),"Review")</f>
        <v>Illinois</v>
      </c>
      <c r="G511" s="2" t="str">
        <f>IFERROR(TRIM(Raw_Data!F511), "Review")</f>
        <v>Inactive</v>
      </c>
      <c r="H511" s="3" t="str">
        <f>IFERROR(TEXT(Raw_Data!G511, "YYYY-MM-DD"),"Review")</f>
        <v>2022-08-07</v>
      </c>
      <c r="I511" s="4">
        <f>IF(Raw_Data!H511="", "", IFERROR(VALUE(Raw_Data!H511), ""))</f>
        <v>109584.97</v>
      </c>
      <c r="J511" s="2" t="str">
        <f>IF(Raw_Data!I511="", "", IF(ISNUMBER(FIND("@", Raw_Data!I511)), Raw_Data!I511, "Review"))</f>
        <v>frank.johnson@example.com</v>
      </c>
      <c r="K511" s="5" t="str">
        <f>IFERROR(TEXT(ABS(Raw_Data!J511), "0"), "Review")</f>
        <v>3477695873</v>
      </c>
      <c r="L511" s="2" t="str">
        <f>IFERROR(TRIM(Raw_Data!K511), "Review")</f>
        <v>Poor</v>
      </c>
      <c r="M511" s="2" t="b">
        <f>IF(Raw_Data!L511="", "",
    IF(ISLOGICAL(Raw_Data!L511), Raw_Data!L511,
        IF(OR(UPPER(Raw_Data!L511)="TRUE", UPPER(Raw_Data!L511)="YES", UPPER(Raw_Data!L511)="1"), TRUE,
            IF(OR(UPPER(Raw_Data!L511)="FALSE", UPPER(Raw_Data!L511)="NO", UPPER(Raw_Data!L511)="0"), FALSE, "Review")
        )
    )
)</f>
        <v>1</v>
      </c>
    </row>
    <row r="512" spans="1:13" x14ac:dyDescent="0.4">
      <c r="A512" s="2" t="str">
        <f>IFERROR(TRIM(Raw_Data!A512), "Review")</f>
        <v>EMP1510</v>
      </c>
      <c r="B512" s="2" t="str">
        <f>IFERROR(TRIM(Raw_Data!B512), "Review")</f>
        <v>Bob</v>
      </c>
      <c r="C512" s="2" t="str">
        <f>IFERROR(TRIM(Raw_Data!C512), "Review")</f>
        <v>Smith</v>
      </c>
      <c r="D512" s="2">
        <f>IF(Raw_Data!D512="", "", IFERROR(VALUE(Raw_Data!D512), ""))</f>
        <v>40</v>
      </c>
      <c r="E512" s="2" t="str">
        <f>IFERROR(LEFT(Raw_Data!E512,SEARCH("-",Raw_Data!E512)-1),"Review")</f>
        <v>Admin</v>
      </c>
      <c r="F512" s="2" t="str">
        <f>IFERROR(_xlfn.TEXTAFTER(Raw_Data!E512,"-"),"Review")</f>
        <v>Illinois</v>
      </c>
      <c r="G512" s="2" t="str">
        <f>IFERROR(TRIM(Raw_Data!F512), "Review")</f>
        <v>Active</v>
      </c>
      <c r="H512" s="3" t="str">
        <f>IFERROR(TEXT(Raw_Data!G512, "YYYY-MM-DD"),"Review")</f>
        <v>2024-11-11</v>
      </c>
      <c r="I512" s="4">
        <f>IF(Raw_Data!H512="", "", IFERROR(VALUE(Raw_Data!H512), ""))</f>
        <v>97648.84</v>
      </c>
      <c r="J512" s="2" t="str">
        <f>IF(Raw_Data!I512="", "", IF(ISNUMBER(FIND("@", Raw_Data!I512)), Raw_Data!I512, "Review"))</f>
        <v>bob.smith@example.com</v>
      </c>
      <c r="K512" s="5" t="str">
        <f>IFERROR(TEXT(ABS(Raw_Data!J512), "0"), "Review")</f>
        <v>1314675360</v>
      </c>
      <c r="L512" s="2" t="str">
        <f>IFERROR(TRIM(Raw_Data!K512), "Review")</f>
        <v>Good</v>
      </c>
      <c r="M512" s="2" t="b">
        <f>IF(Raw_Data!L512="", "",
    IF(ISLOGICAL(Raw_Data!L512), Raw_Data!L512,
        IF(OR(UPPER(Raw_Data!L512)="TRUE", UPPER(Raw_Data!L512)="YES", UPPER(Raw_Data!L512)="1"), TRUE,
            IF(OR(UPPER(Raw_Data!L512)="FALSE", UPPER(Raw_Data!L512)="NO", UPPER(Raw_Data!L512)="0"), FALSE, "Review")
        )
    )
)</f>
        <v>0</v>
      </c>
    </row>
    <row r="513" spans="1:13" x14ac:dyDescent="0.4">
      <c r="A513" s="2" t="str">
        <f>IFERROR(TRIM(Raw_Data!A513), "Review")</f>
        <v>EMP1511</v>
      </c>
      <c r="B513" s="2" t="str">
        <f>IFERROR(TRIM(Raw_Data!B513), "Review")</f>
        <v>Grace</v>
      </c>
      <c r="C513" s="2" t="str">
        <f>IFERROR(TRIM(Raw_Data!C513), "Review")</f>
        <v>Johnson</v>
      </c>
      <c r="D513" s="2">
        <f>IF(Raw_Data!D513="", "", IFERROR(VALUE(Raw_Data!D513), ""))</f>
        <v>25</v>
      </c>
      <c r="E513" s="2" t="str">
        <f>IFERROR(LEFT(Raw_Data!E513,SEARCH("-",Raw_Data!E513)-1),"Review")</f>
        <v>Admin</v>
      </c>
      <c r="F513" s="2" t="str">
        <f>IFERROR(_xlfn.TEXTAFTER(Raw_Data!E513,"-"),"Review")</f>
        <v>New York</v>
      </c>
      <c r="G513" s="2" t="str">
        <f>IFERROR(TRIM(Raw_Data!F513), "Review")</f>
        <v>Active</v>
      </c>
      <c r="H513" s="3" t="str">
        <f>IFERROR(TEXT(Raw_Data!G513, "YYYY-MM-DD"),"Review")</f>
        <v>2021-12-02</v>
      </c>
      <c r="I513" s="4">
        <f>IF(Raw_Data!H513="", "", IFERROR(VALUE(Raw_Data!H513), ""))</f>
        <v>78643.429999999993</v>
      </c>
      <c r="J513" s="2" t="str">
        <f>IF(Raw_Data!I513="", "", IF(ISNUMBER(FIND("@", Raw_Data!I513)), Raw_Data!I513, "Review"))</f>
        <v>grace.johnson@example.com</v>
      </c>
      <c r="K513" s="5" t="str">
        <f>IFERROR(TEXT(ABS(Raw_Data!J513), "0"), "Review")</f>
        <v>2751562778</v>
      </c>
      <c r="L513" s="2" t="str">
        <f>IFERROR(TRIM(Raw_Data!K513), "Review")</f>
        <v>Good</v>
      </c>
      <c r="M513" s="2" t="b">
        <f>IF(Raw_Data!L513="", "",
    IF(ISLOGICAL(Raw_Data!L513), Raw_Data!L513,
        IF(OR(UPPER(Raw_Data!L513)="TRUE", UPPER(Raw_Data!L513)="YES", UPPER(Raw_Data!L513)="1"), TRUE,
            IF(OR(UPPER(Raw_Data!L513)="FALSE", UPPER(Raw_Data!L513)="NO", UPPER(Raw_Data!L513)="0"), FALSE, "Review")
        )
    )
)</f>
        <v>1</v>
      </c>
    </row>
    <row r="514" spans="1:13" x14ac:dyDescent="0.4">
      <c r="A514" s="2" t="str">
        <f>IFERROR(TRIM(Raw_Data!A514), "Review")</f>
        <v>EMP1512</v>
      </c>
      <c r="B514" s="2" t="str">
        <f>IFERROR(TRIM(Raw_Data!B514), "Review")</f>
        <v>Heidi</v>
      </c>
      <c r="C514" s="2" t="str">
        <f>IFERROR(TRIM(Raw_Data!C514), "Review")</f>
        <v>Davis</v>
      </c>
      <c r="D514" s="2">
        <f>IF(Raw_Data!D514="", "", IFERROR(VALUE(Raw_Data!D514), ""))</f>
        <v>30</v>
      </c>
      <c r="E514" s="2" t="str">
        <f>IFERROR(LEFT(Raw_Data!E514,SEARCH("-",Raw_Data!E514)-1),"Review")</f>
        <v>HR</v>
      </c>
      <c r="F514" s="2" t="str">
        <f>IFERROR(_xlfn.TEXTAFTER(Raw_Data!E514,"-"),"Review")</f>
        <v>Nevada</v>
      </c>
      <c r="G514" s="2" t="str">
        <f>IFERROR(TRIM(Raw_Data!F514), "Review")</f>
        <v>Active</v>
      </c>
      <c r="H514" s="3" t="str">
        <f>IFERROR(TEXT(Raw_Data!G514, "YYYY-MM-DD"),"Review")</f>
        <v>2024-05-14</v>
      </c>
      <c r="I514" s="4">
        <f>IF(Raw_Data!H514="", "", IFERROR(VALUE(Raw_Data!H514), ""))</f>
        <v>55656.800000000003</v>
      </c>
      <c r="J514" s="2" t="str">
        <f>IF(Raw_Data!I514="", "", IF(ISNUMBER(FIND("@", Raw_Data!I514)), Raw_Data!I514, "Review"))</f>
        <v>heidi.davis@example.com</v>
      </c>
      <c r="K514" s="5" t="str">
        <f>IFERROR(TEXT(ABS(Raw_Data!J514), "0"), "Review")</f>
        <v>6304483607</v>
      </c>
      <c r="L514" s="2" t="str">
        <f>IFERROR(TRIM(Raw_Data!K514), "Review")</f>
        <v>Good</v>
      </c>
      <c r="M514" s="2" t="b">
        <f>IF(Raw_Data!L514="", "",
    IF(ISLOGICAL(Raw_Data!L514), Raw_Data!L514,
        IF(OR(UPPER(Raw_Data!L514)="TRUE", UPPER(Raw_Data!L514)="YES", UPPER(Raw_Data!L514)="1"), TRUE,
            IF(OR(UPPER(Raw_Data!L514)="FALSE", UPPER(Raw_Data!L514)="NO", UPPER(Raw_Data!L514)="0"), FALSE, "Review")
        )
    )
)</f>
        <v>1</v>
      </c>
    </row>
    <row r="515" spans="1:13" x14ac:dyDescent="0.4">
      <c r="A515" s="2" t="str">
        <f>IFERROR(TRIM(Raw_Data!A515), "Review")</f>
        <v>EMP1513</v>
      </c>
      <c r="B515" s="2" t="str">
        <f>IFERROR(TRIM(Raw_Data!B515), "Review")</f>
        <v>Charlie</v>
      </c>
      <c r="C515" s="2" t="str">
        <f>IFERROR(TRIM(Raw_Data!C515), "Review")</f>
        <v>Miller</v>
      </c>
      <c r="D515" s="2">
        <f>IF(Raw_Data!D515="", "", IFERROR(VALUE(Raw_Data!D515), ""))</f>
        <v>35</v>
      </c>
      <c r="E515" s="2" t="str">
        <f>IFERROR(LEFT(Raw_Data!E515,SEARCH("-",Raw_Data!E515)-1),"Review")</f>
        <v>DevOps</v>
      </c>
      <c r="F515" s="2" t="str">
        <f>IFERROR(_xlfn.TEXTAFTER(Raw_Data!E515,"-"),"Review")</f>
        <v>Texas</v>
      </c>
      <c r="G515" s="2" t="str">
        <f>IFERROR(TRIM(Raw_Data!F515), "Review")</f>
        <v>Active</v>
      </c>
      <c r="H515" s="3" t="str">
        <f>IFERROR(TEXT(Raw_Data!G515, "YYYY-MM-DD"),"Review")</f>
        <v>2022-07-14</v>
      </c>
      <c r="I515" s="4">
        <f>IF(Raw_Data!H515="", "", IFERROR(VALUE(Raw_Data!H515), ""))</f>
        <v>69146.95</v>
      </c>
      <c r="J515" s="2" t="str">
        <f>IF(Raw_Data!I515="", "", IF(ISNUMBER(FIND("@", Raw_Data!I515)), Raw_Data!I515, "Review"))</f>
        <v>charlie.miller@example.com</v>
      </c>
      <c r="K515" s="5" t="str">
        <f>IFERROR(TEXT(ABS(Raw_Data!J515), "0"), "Review")</f>
        <v>5456676639</v>
      </c>
      <c r="L515" s="2" t="str">
        <f>IFERROR(TRIM(Raw_Data!K515), "Review")</f>
        <v>Excellent</v>
      </c>
      <c r="M515" s="2" t="b">
        <f>IF(Raw_Data!L515="", "",
    IF(ISLOGICAL(Raw_Data!L515), Raw_Data!L515,
        IF(OR(UPPER(Raw_Data!L515)="TRUE", UPPER(Raw_Data!L515)="YES", UPPER(Raw_Data!L515)="1"), TRUE,
            IF(OR(UPPER(Raw_Data!L515)="FALSE", UPPER(Raw_Data!L515)="NO", UPPER(Raw_Data!L515)="0"), FALSE, "Review")
        )
    )
)</f>
        <v>0</v>
      </c>
    </row>
    <row r="516" spans="1:13" x14ac:dyDescent="0.4">
      <c r="A516" s="2" t="str">
        <f>IFERROR(TRIM(Raw_Data!A516), "Review")</f>
        <v>EMP1514</v>
      </c>
      <c r="B516" s="2" t="str">
        <f>IFERROR(TRIM(Raw_Data!B516), "Review")</f>
        <v>Charlie</v>
      </c>
      <c r="C516" s="2" t="str">
        <f>IFERROR(TRIM(Raw_Data!C516), "Review")</f>
        <v>Johnson</v>
      </c>
      <c r="D516" s="2" t="str">
        <f>IF(Raw_Data!D516="", "", IFERROR(VALUE(Raw_Data!D516), ""))</f>
        <v/>
      </c>
      <c r="E516" s="2" t="str">
        <f>IFERROR(LEFT(Raw_Data!E516,SEARCH("-",Raw_Data!E516)-1),"Review")</f>
        <v>Admin</v>
      </c>
      <c r="F516" s="2" t="str">
        <f>IFERROR(_xlfn.TEXTAFTER(Raw_Data!E516,"-"),"Review")</f>
        <v>Florida</v>
      </c>
      <c r="G516" s="2" t="str">
        <f>IFERROR(TRIM(Raw_Data!F516), "Review")</f>
        <v>Active</v>
      </c>
      <c r="H516" s="3" t="str">
        <f>IFERROR(TEXT(Raw_Data!G516, "YYYY-MM-DD"),"Review")</f>
        <v>2020-09-22</v>
      </c>
      <c r="I516" s="4">
        <f>IF(Raw_Data!H516="", "", IFERROR(VALUE(Raw_Data!H516), ""))</f>
        <v>93013.58</v>
      </c>
      <c r="J516" s="2" t="str">
        <f>IF(Raw_Data!I516="", "", IF(ISNUMBER(FIND("@", Raw_Data!I516)), Raw_Data!I516, "Review"))</f>
        <v>charlie.johnson@example.com</v>
      </c>
      <c r="K516" s="5" t="str">
        <f>IFERROR(TEXT(ABS(Raw_Data!J516), "0"), "Review")</f>
        <v>4735047638</v>
      </c>
      <c r="L516" s="2" t="str">
        <f>IFERROR(TRIM(Raw_Data!K516), "Review")</f>
        <v>Average</v>
      </c>
      <c r="M516" s="2" t="b">
        <f>IF(Raw_Data!L516="", "",
    IF(ISLOGICAL(Raw_Data!L516), Raw_Data!L516,
        IF(OR(UPPER(Raw_Data!L516)="TRUE", UPPER(Raw_Data!L516)="YES", UPPER(Raw_Data!L516)="1"), TRUE,
            IF(OR(UPPER(Raw_Data!L516)="FALSE", UPPER(Raw_Data!L516)="NO", UPPER(Raw_Data!L516)="0"), FALSE, "Review")
        )
    )
)</f>
        <v>1</v>
      </c>
    </row>
    <row r="517" spans="1:13" x14ac:dyDescent="0.4">
      <c r="A517" s="2" t="str">
        <f>IFERROR(TRIM(Raw_Data!A517), "Review")</f>
        <v>EMP1515</v>
      </c>
      <c r="B517" s="2" t="str">
        <f>IFERROR(TRIM(Raw_Data!B517), "Review")</f>
        <v>Grace</v>
      </c>
      <c r="C517" s="2" t="str">
        <f>IFERROR(TRIM(Raw_Data!C517), "Review")</f>
        <v>Williams</v>
      </c>
      <c r="D517" s="2">
        <f>IF(Raw_Data!D517="", "", IFERROR(VALUE(Raw_Data!D517), ""))</f>
        <v>40</v>
      </c>
      <c r="E517" s="2" t="str">
        <f>IFERROR(LEFT(Raw_Data!E517,SEARCH("-",Raw_Data!E517)-1),"Review")</f>
        <v>Finance</v>
      </c>
      <c r="F517" s="2" t="str">
        <f>IFERROR(_xlfn.TEXTAFTER(Raw_Data!E517,"-"),"Review")</f>
        <v>Florida</v>
      </c>
      <c r="G517" s="2" t="str">
        <f>IFERROR(TRIM(Raw_Data!F517), "Review")</f>
        <v>Active</v>
      </c>
      <c r="H517" s="3" t="str">
        <f>IFERROR(TEXT(Raw_Data!G517, "YYYY-MM-DD"),"Review")</f>
        <v>2020-03-18</v>
      </c>
      <c r="I517" s="4">
        <f>IF(Raw_Data!H517="", "", IFERROR(VALUE(Raw_Data!H517), ""))</f>
        <v>87364.78</v>
      </c>
      <c r="J517" s="2" t="str">
        <f>IF(Raw_Data!I517="", "", IF(ISNUMBER(FIND("@", Raw_Data!I517)), Raw_Data!I517, "Review"))</f>
        <v>grace.williams@example.com</v>
      </c>
      <c r="K517" s="5" t="str">
        <f>IFERROR(TEXT(ABS(Raw_Data!J517), "0"), "Review")</f>
        <v>2831995297</v>
      </c>
      <c r="L517" s="2" t="str">
        <f>IFERROR(TRIM(Raw_Data!K517), "Review")</f>
        <v>Good</v>
      </c>
      <c r="M517" s="2" t="b">
        <f>IF(Raw_Data!L517="", "",
    IF(ISLOGICAL(Raw_Data!L517), Raw_Data!L517,
        IF(OR(UPPER(Raw_Data!L517)="TRUE", UPPER(Raw_Data!L517)="YES", UPPER(Raw_Data!L517)="1"), TRUE,
            IF(OR(UPPER(Raw_Data!L517)="FALSE", UPPER(Raw_Data!L517)="NO", UPPER(Raw_Data!L517)="0"), FALSE, "Review")
        )
    )
)</f>
        <v>0</v>
      </c>
    </row>
    <row r="518" spans="1:13" x14ac:dyDescent="0.4">
      <c r="A518" s="2" t="str">
        <f>IFERROR(TRIM(Raw_Data!A518), "Review")</f>
        <v>EMP1516</v>
      </c>
      <c r="B518" s="2" t="str">
        <f>IFERROR(TRIM(Raw_Data!B518), "Review")</f>
        <v>Alice</v>
      </c>
      <c r="C518" s="2" t="str">
        <f>IFERROR(TRIM(Raw_Data!C518), "Review")</f>
        <v>Garcia</v>
      </c>
      <c r="D518" s="2">
        <f>IF(Raw_Data!D518="", "", IFERROR(VALUE(Raw_Data!D518), ""))</f>
        <v>35</v>
      </c>
      <c r="E518" s="2" t="str">
        <f>IFERROR(LEFT(Raw_Data!E518,SEARCH("-",Raw_Data!E518)-1),"Review")</f>
        <v>Sales</v>
      </c>
      <c r="F518" s="2" t="str">
        <f>IFERROR(_xlfn.TEXTAFTER(Raw_Data!E518,"-"),"Review")</f>
        <v>New York</v>
      </c>
      <c r="G518" s="2" t="str">
        <f>IFERROR(TRIM(Raw_Data!F518), "Review")</f>
        <v>Active</v>
      </c>
      <c r="H518" s="3" t="str">
        <f>IFERROR(TEXT(Raw_Data!G518, "YYYY-MM-DD"),"Review")</f>
        <v>2023-10-17</v>
      </c>
      <c r="I518" s="4">
        <f>IF(Raw_Data!H518="", "", IFERROR(VALUE(Raw_Data!H518), ""))</f>
        <v>50288.67</v>
      </c>
      <c r="J518" s="2" t="str">
        <f>IF(Raw_Data!I518="", "", IF(ISNUMBER(FIND("@", Raw_Data!I518)), Raw_Data!I518, "Review"))</f>
        <v>alice.garcia@example.com</v>
      </c>
      <c r="K518" s="5" t="str">
        <f>IFERROR(TEXT(ABS(Raw_Data!J518), "0"), "Review")</f>
        <v>61558107</v>
      </c>
      <c r="L518" s="2" t="str">
        <f>IFERROR(TRIM(Raw_Data!K518), "Review")</f>
        <v>Excellent</v>
      </c>
      <c r="M518" s="2" t="b">
        <f>IF(Raw_Data!L518="", "",
    IF(ISLOGICAL(Raw_Data!L518), Raw_Data!L518,
        IF(OR(UPPER(Raw_Data!L518)="TRUE", UPPER(Raw_Data!L518)="YES", UPPER(Raw_Data!L518)="1"), TRUE,
            IF(OR(UPPER(Raw_Data!L518)="FALSE", UPPER(Raw_Data!L518)="NO", UPPER(Raw_Data!L518)="0"), FALSE, "Review")
        )
    )
)</f>
        <v>0</v>
      </c>
    </row>
    <row r="519" spans="1:13" x14ac:dyDescent="0.4">
      <c r="A519" s="2" t="str">
        <f>IFERROR(TRIM(Raw_Data!A519), "Review")</f>
        <v>EMP1517</v>
      </c>
      <c r="B519" s="2" t="str">
        <f>IFERROR(TRIM(Raw_Data!B519), "Review")</f>
        <v>David</v>
      </c>
      <c r="C519" s="2" t="str">
        <f>IFERROR(TRIM(Raw_Data!C519), "Review")</f>
        <v>Miller</v>
      </c>
      <c r="D519" s="2">
        <f>IF(Raw_Data!D519="", "", IFERROR(VALUE(Raw_Data!D519), ""))</f>
        <v>35</v>
      </c>
      <c r="E519" s="2" t="str">
        <f>IFERROR(LEFT(Raw_Data!E519,SEARCH("-",Raw_Data!E519)-1),"Review")</f>
        <v>HR</v>
      </c>
      <c r="F519" s="2" t="str">
        <f>IFERROR(_xlfn.TEXTAFTER(Raw_Data!E519,"-"),"Review")</f>
        <v>New York</v>
      </c>
      <c r="G519" s="2" t="str">
        <f>IFERROR(TRIM(Raw_Data!F519), "Review")</f>
        <v>Active</v>
      </c>
      <c r="H519" s="3" t="str">
        <f>IFERROR(TEXT(Raw_Data!G519, "YYYY-MM-DD"),"Review")</f>
        <v>2022-02-24</v>
      </c>
      <c r="I519" s="4">
        <f>IF(Raw_Data!H519="", "", IFERROR(VALUE(Raw_Data!H519), ""))</f>
        <v>85233.55</v>
      </c>
      <c r="J519" s="2" t="str">
        <f>IF(Raw_Data!I519="", "", IF(ISNUMBER(FIND("@", Raw_Data!I519)), Raw_Data!I519, "Review"))</f>
        <v>david.miller@example.com</v>
      </c>
      <c r="K519" s="5" t="str">
        <f>IFERROR(TEXT(ABS(Raw_Data!J519), "0"), "Review")</f>
        <v>3583286341</v>
      </c>
      <c r="L519" s="2" t="str">
        <f>IFERROR(TRIM(Raw_Data!K519), "Review")</f>
        <v>Good</v>
      </c>
      <c r="M519" s="2" t="b">
        <f>IF(Raw_Data!L519="", "",
    IF(ISLOGICAL(Raw_Data!L519), Raw_Data!L519,
        IF(OR(UPPER(Raw_Data!L519)="TRUE", UPPER(Raw_Data!L519)="YES", UPPER(Raw_Data!L519)="1"), TRUE,
            IF(OR(UPPER(Raw_Data!L519)="FALSE", UPPER(Raw_Data!L519)="NO", UPPER(Raw_Data!L519)="0"), FALSE, "Review")
        )
    )
)</f>
        <v>1</v>
      </c>
    </row>
    <row r="520" spans="1:13" x14ac:dyDescent="0.4">
      <c r="A520" s="2" t="str">
        <f>IFERROR(TRIM(Raw_Data!A520), "Review")</f>
        <v>EMP1518</v>
      </c>
      <c r="B520" s="2" t="str">
        <f>IFERROR(TRIM(Raw_Data!B520), "Review")</f>
        <v>Bob</v>
      </c>
      <c r="C520" s="2" t="str">
        <f>IFERROR(TRIM(Raw_Data!C520), "Review")</f>
        <v>Garcia</v>
      </c>
      <c r="D520" s="2">
        <f>IF(Raw_Data!D520="", "", IFERROR(VALUE(Raw_Data!D520), ""))</f>
        <v>25</v>
      </c>
      <c r="E520" s="2" t="str">
        <f>IFERROR(LEFT(Raw_Data!E520,SEARCH("-",Raw_Data!E520)-1),"Review")</f>
        <v>HR</v>
      </c>
      <c r="F520" s="2" t="str">
        <f>IFERROR(_xlfn.TEXTAFTER(Raw_Data!E520,"-"),"Review")</f>
        <v>California</v>
      </c>
      <c r="G520" s="2" t="str">
        <f>IFERROR(TRIM(Raw_Data!F520), "Review")</f>
        <v>Inactive</v>
      </c>
      <c r="H520" s="3" t="str">
        <f>IFERROR(TEXT(Raw_Data!G520, "YYYY-MM-DD"),"Review")</f>
        <v>2024-01-30</v>
      </c>
      <c r="I520" s="4">
        <f>IF(Raw_Data!H520="", "", IFERROR(VALUE(Raw_Data!H520), ""))</f>
        <v>86420.19</v>
      </c>
      <c r="J520" s="2" t="str">
        <f>IF(Raw_Data!I520="", "", IF(ISNUMBER(FIND("@", Raw_Data!I520)), Raw_Data!I520, "Review"))</f>
        <v>bob.garcia@example.com</v>
      </c>
      <c r="K520" s="5" t="str">
        <f>IFERROR(TEXT(ABS(Raw_Data!J520), "0"), "Review")</f>
        <v>5563830007</v>
      </c>
      <c r="L520" s="2" t="str">
        <f>IFERROR(TRIM(Raw_Data!K520), "Review")</f>
        <v>Good</v>
      </c>
      <c r="M520" s="2" t="b">
        <f>IF(Raw_Data!L520="", "",
    IF(ISLOGICAL(Raw_Data!L520), Raw_Data!L520,
        IF(OR(UPPER(Raw_Data!L520)="TRUE", UPPER(Raw_Data!L520)="YES", UPPER(Raw_Data!L520)="1"), TRUE,
            IF(OR(UPPER(Raw_Data!L520)="FALSE", UPPER(Raw_Data!L520)="NO", UPPER(Raw_Data!L520)="0"), FALSE, "Review")
        )
    )
)</f>
        <v>0</v>
      </c>
    </row>
    <row r="521" spans="1:13" x14ac:dyDescent="0.4">
      <c r="A521" s="2" t="str">
        <f>IFERROR(TRIM(Raw_Data!A521), "Review")</f>
        <v>EMP1519</v>
      </c>
      <c r="B521" s="2" t="str">
        <f>IFERROR(TRIM(Raw_Data!B521), "Review")</f>
        <v>Grace</v>
      </c>
      <c r="C521" s="2" t="str">
        <f>IFERROR(TRIM(Raw_Data!C521), "Review")</f>
        <v>Johnson</v>
      </c>
      <c r="D521" s="2">
        <f>IF(Raw_Data!D521="", "", IFERROR(VALUE(Raw_Data!D521), ""))</f>
        <v>30</v>
      </c>
      <c r="E521" s="2" t="str">
        <f>IFERROR(LEFT(Raw_Data!E521,SEARCH("-",Raw_Data!E521)-1),"Review")</f>
        <v>HR</v>
      </c>
      <c r="F521" s="2" t="str">
        <f>IFERROR(_xlfn.TEXTAFTER(Raw_Data!E521,"-"),"Review")</f>
        <v>Florida</v>
      </c>
      <c r="G521" s="2" t="str">
        <f>IFERROR(TRIM(Raw_Data!F521), "Review")</f>
        <v>Inactive</v>
      </c>
      <c r="H521" s="3" t="str">
        <f>IFERROR(TEXT(Raw_Data!G521, "YYYY-MM-DD"),"Review")</f>
        <v>2024-03-16</v>
      </c>
      <c r="I521" s="4">
        <f>IF(Raw_Data!H521="", "", IFERROR(VALUE(Raw_Data!H521), ""))</f>
        <v>63189.82</v>
      </c>
      <c r="J521" s="2" t="str">
        <f>IF(Raw_Data!I521="", "", IF(ISNUMBER(FIND("@", Raw_Data!I521)), Raw_Data!I521, "Review"))</f>
        <v>grace.johnson@example.com</v>
      </c>
      <c r="K521" s="5" t="str">
        <f>IFERROR(TEXT(ABS(Raw_Data!J521), "0"), "Review")</f>
        <v>1867024402</v>
      </c>
      <c r="L521" s="2" t="str">
        <f>IFERROR(TRIM(Raw_Data!K521), "Review")</f>
        <v>Excellent</v>
      </c>
      <c r="M521" s="2" t="b">
        <f>IF(Raw_Data!L521="", "",
    IF(ISLOGICAL(Raw_Data!L521), Raw_Data!L521,
        IF(OR(UPPER(Raw_Data!L521)="TRUE", UPPER(Raw_Data!L521)="YES", UPPER(Raw_Data!L521)="1"), TRUE,
            IF(OR(UPPER(Raw_Data!L521)="FALSE", UPPER(Raw_Data!L521)="NO", UPPER(Raw_Data!L521)="0"), FALSE, "Review")
        )
    )
)</f>
        <v>0</v>
      </c>
    </row>
    <row r="522" spans="1:13" x14ac:dyDescent="0.4">
      <c r="A522" s="2" t="str">
        <f>IFERROR(TRIM(Raw_Data!A522), "Review")</f>
        <v>EMP1520</v>
      </c>
      <c r="B522" s="2" t="str">
        <f>IFERROR(TRIM(Raw_Data!B522), "Review")</f>
        <v>Grace</v>
      </c>
      <c r="C522" s="2" t="str">
        <f>IFERROR(TRIM(Raw_Data!C522), "Review")</f>
        <v>Garcia</v>
      </c>
      <c r="D522" s="2">
        <f>IF(Raw_Data!D522="", "", IFERROR(VALUE(Raw_Data!D522), ""))</f>
        <v>25</v>
      </c>
      <c r="E522" s="2" t="str">
        <f>IFERROR(LEFT(Raw_Data!E522,SEARCH("-",Raw_Data!E522)-1),"Review")</f>
        <v>Admin</v>
      </c>
      <c r="F522" s="2" t="str">
        <f>IFERROR(_xlfn.TEXTAFTER(Raw_Data!E522,"-"),"Review")</f>
        <v>New York</v>
      </c>
      <c r="G522" s="2" t="str">
        <f>IFERROR(TRIM(Raw_Data!F522), "Review")</f>
        <v>Pending</v>
      </c>
      <c r="H522" s="3" t="str">
        <f>IFERROR(TEXT(Raw_Data!G522, "YYYY-MM-DD"),"Review")</f>
        <v>2020-09-25</v>
      </c>
      <c r="I522" s="4">
        <f>IF(Raw_Data!H522="", "", IFERROR(VALUE(Raw_Data!H522), ""))</f>
        <v>64783.32</v>
      </c>
      <c r="J522" s="2" t="str">
        <f>IF(Raw_Data!I522="", "", IF(ISNUMBER(FIND("@", Raw_Data!I522)), Raw_Data!I522, "Review"))</f>
        <v>grace.garcia@example.com</v>
      </c>
      <c r="K522" s="5" t="str">
        <f>IFERROR(TEXT(ABS(Raw_Data!J522), "0"), "Review")</f>
        <v>3041662410</v>
      </c>
      <c r="L522" s="2" t="str">
        <f>IFERROR(TRIM(Raw_Data!K522), "Review")</f>
        <v>Average</v>
      </c>
      <c r="M522" s="2" t="b">
        <f>IF(Raw_Data!L522="", "",
    IF(ISLOGICAL(Raw_Data!L522), Raw_Data!L522,
        IF(OR(UPPER(Raw_Data!L522)="TRUE", UPPER(Raw_Data!L522)="YES", UPPER(Raw_Data!L522)="1"), TRUE,
            IF(OR(UPPER(Raw_Data!L522)="FALSE", UPPER(Raw_Data!L522)="NO", UPPER(Raw_Data!L522)="0"), FALSE, "Review")
        )
    )
)</f>
        <v>0</v>
      </c>
    </row>
    <row r="523" spans="1:13" x14ac:dyDescent="0.4">
      <c r="A523" s="2" t="str">
        <f>IFERROR(TRIM(Raw_Data!A523), "Review")</f>
        <v>EMP1521</v>
      </c>
      <c r="B523" s="2" t="str">
        <f>IFERROR(TRIM(Raw_Data!B523), "Review")</f>
        <v>Charlie</v>
      </c>
      <c r="C523" s="2" t="str">
        <f>IFERROR(TRIM(Raw_Data!C523), "Review")</f>
        <v>Davis</v>
      </c>
      <c r="D523" s="2">
        <f>IF(Raw_Data!D523="", "", IFERROR(VALUE(Raw_Data!D523), ""))</f>
        <v>25</v>
      </c>
      <c r="E523" s="2" t="str">
        <f>IFERROR(LEFT(Raw_Data!E523,SEARCH("-",Raw_Data!E523)-1),"Review")</f>
        <v>HR</v>
      </c>
      <c r="F523" s="2" t="str">
        <f>IFERROR(_xlfn.TEXTAFTER(Raw_Data!E523,"-"),"Review")</f>
        <v>Nevada</v>
      </c>
      <c r="G523" s="2" t="str">
        <f>IFERROR(TRIM(Raw_Data!F523), "Review")</f>
        <v>Pending</v>
      </c>
      <c r="H523" s="3" t="str">
        <f>IFERROR(TEXT(Raw_Data!G523, "YYYY-MM-DD"),"Review")</f>
        <v>2024-06-10</v>
      </c>
      <c r="I523" s="4">
        <f>IF(Raw_Data!H523="", "", IFERROR(VALUE(Raw_Data!H523), ""))</f>
        <v>52615.44</v>
      </c>
      <c r="J523" s="2" t="str">
        <f>IF(Raw_Data!I523="", "", IF(ISNUMBER(FIND("@", Raw_Data!I523)), Raw_Data!I523, "Review"))</f>
        <v>charlie.davis@example.com</v>
      </c>
      <c r="K523" s="5" t="str">
        <f>IFERROR(TEXT(ABS(Raw_Data!J523), "0"), "Review")</f>
        <v>1860089218</v>
      </c>
      <c r="L523" s="2" t="str">
        <f>IFERROR(TRIM(Raw_Data!K523), "Review")</f>
        <v>Average</v>
      </c>
      <c r="M523" s="2" t="b">
        <f>IF(Raw_Data!L523="", "",
    IF(ISLOGICAL(Raw_Data!L523), Raw_Data!L523,
        IF(OR(UPPER(Raw_Data!L523)="TRUE", UPPER(Raw_Data!L523)="YES", UPPER(Raw_Data!L523)="1"), TRUE,
            IF(OR(UPPER(Raw_Data!L523)="FALSE", UPPER(Raw_Data!L523)="NO", UPPER(Raw_Data!L523)="0"), FALSE, "Review")
        )
    )
)</f>
        <v>0</v>
      </c>
    </row>
    <row r="524" spans="1:13" x14ac:dyDescent="0.4">
      <c r="A524" s="2" t="str">
        <f>IFERROR(TRIM(Raw_Data!A524), "Review")</f>
        <v>EMP1522</v>
      </c>
      <c r="B524" s="2" t="str">
        <f>IFERROR(TRIM(Raw_Data!B524), "Review")</f>
        <v>Eva</v>
      </c>
      <c r="C524" s="2" t="str">
        <f>IFERROR(TRIM(Raw_Data!C524), "Review")</f>
        <v>Miller</v>
      </c>
      <c r="D524" s="2" t="str">
        <f>IF(Raw_Data!D524="", "", IFERROR(VALUE(Raw_Data!D524), ""))</f>
        <v/>
      </c>
      <c r="E524" s="2" t="str">
        <f>IFERROR(LEFT(Raw_Data!E524,SEARCH("-",Raw_Data!E524)-1),"Review")</f>
        <v>Sales</v>
      </c>
      <c r="F524" s="2" t="str">
        <f>IFERROR(_xlfn.TEXTAFTER(Raw_Data!E524,"-"),"Review")</f>
        <v>Texas</v>
      </c>
      <c r="G524" s="2" t="str">
        <f>IFERROR(TRIM(Raw_Data!F524), "Review")</f>
        <v>Pending</v>
      </c>
      <c r="H524" s="3" t="str">
        <f>IFERROR(TEXT(Raw_Data!G524, "YYYY-MM-DD"),"Review")</f>
        <v>2020-04-08</v>
      </c>
      <c r="I524" s="4">
        <f>IF(Raw_Data!H524="", "", IFERROR(VALUE(Raw_Data!H524), ""))</f>
        <v>96337.89</v>
      </c>
      <c r="J524" s="2" t="str">
        <f>IF(Raw_Data!I524="", "", IF(ISNUMBER(FIND("@", Raw_Data!I524)), Raw_Data!I524, "Review"))</f>
        <v>eva.miller@example.com</v>
      </c>
      <c r="K524" s="5" t="str">
        <f>IFERROR(TEXT(ABS(Raw_Data!J524), "0"), "Review")</f>
        <v>6394568043</v>
      </c>
      <c r="L524" s="2" t="str">
        <f>IFERROR(TRIM(Raw_Data!K524), "Review")</f>
        <v>Poor</v>
      </c>
      <c r="M524" s="2" t="b">
        <f>IF(Raw_Data!L524="", "",
    IF(ISLOGICAL(Raw_Data!L524), Raw_Data!L524,
        IF(OR(UPPER(Raw_Data!L524)="TRUE", UPPER(Raw_Data!L524)="YES", UPPER(Raw_Data!L524)="1"), TRUE,
            IF(OR(UPPER(Raw_Data!L524)="FALSE", UPPER(Raw_Data!L524)="NO", UPPER(Raw_Data!L524)="0"), FALSE, "Review")
        )
    )
)</f>
        <v>0</v>
      </c>
    </row>
    <row r="525" spans="1:13" x14ac:dyDescent="0.4">
      <c r="A525" s="2" t="str">
        <f>IFERROR(TRIM(Raw_Data!A525), "Review")</f>
        <v>EMP1523</v>
      </c>
      <c r="B525" s="2" t="str">
        <f>IFERROR(TRIM(Raw_Data!B525), "Review")</f>
        <v>Alice</v>
      </c>
      <c r="C525" s="2" t="str">
        <f>IFERROR(TRIM(Raw_Data!C525), "Review")</f>
        <v>Davis</v>
      </c>
      <c r="D525" s="2">
        <f>IF(Raw_Data!D525="", "", IFERROR(VALUE(Raw_Data!D525), ""))</f>
        <v>25</v>
      </c>
      <c r="E525" s="2" t="str">
        <f>IFERROR(LEFT(Raw_Data!E525,SEARCH("-",Raw_Data!E525)-1),"Review")</f>
        <v>DevOps</v>
      </c>
      <c r="F525" s="2" t="str">
        <f>IFERROR(_xlfn.TEXTAFTER(Raw_Data!E525,"-"),"Review")</f>
        <v>Texas</v>
      </c>
      <c r="G525" s="2" t="str">
        <f>IFERROR(TRIM(Raw_Data!F525), "Review")</f>
        <v>Inactive</v>
      </c>
      <c r="H525" s="3" t="str">
        <f>IFERROR(TEXT(Raw_Data!G525, "YYYY-MM-DD"),"Review")</f>
        <v>2022-06-28</v>
      </c>
      <c r="I525" s="4">
        <f>IF(Raw_Data!H525="", "", IFERROR(VALUE(Raw_Data!H525), ""))</f>
        <v>76617.759999999995</v>
      </c>
      <c r="J525" s="2" t="str">
        <f>IF(Raw_Data!I525="", "", IF(ISNUMBER(FIND("@", Raw_Data!I525)), Raw_Data!I525, "Review"))</f>
        <v>alice.davis@example.com</v>
      </c>
      <c r="K525" s="5" t="str">
        <f>IFERROR(TEXT(ABS(Raw_Data!J525), "0"), "Review")</f>
        <v>7314976460</v>
      </c>
      <c r="L525" s="2" t="str">
        <f>IFERROR(TRIM(Raw_Data!K525), "Review")</f>
        <v>Excellent</v>
      </c>
      <c r="M525" s="2" t="b">
        <f>IF(Raw_Data!L525="", "",
    IF(ISLOGICAL(Raw_Data!L525), Raw_Data!L525,
        IF(OR(UPPER(Raw_Data!L525)="TRUE", UPPER(Raw_Data!L525)="YES", UPPER(Raw_Data!L525)="1"), TRUE,
            IF(OR(UPPER(Raw_Data!L525)="FALSE", UPPER(Raw_Data!L525)="NO", UPPER(Raw_Data!L525)="0"), FALSE, "Review")
        )
    )
)</f>
        <v>1</v>
      </c>
    </row>
    <row r="526" spans="1:13" x14ac:dyDescent="0.4">
      <c r="A526" s="2" t="str">
        <f>IFERROR(TRIM(Raw_Data!A526), "Review")</f>
        <v>EMP1524</v>
      </c>
      <c r="B526" s="2" t="str">
        <f>IFERROR(TRIM(Raw_Data!B526), "Review")</f>
        <v>Heidi</v>
      </c>
      <c r="C526" s="2" t="str">
        <f>IFERROR(TRIM(Raw_Data!C526), "Review")</f>
        <v>Johnson</v>
      </c>
      <c r="D526" s="2">
        <f>IF(Raw_Data!D526="", "", IFERROR(VALUE(Raw_Data!D526), ""))</f>
        <v>30</v>
      </c>
      <c r="E526" s="2" t="str">
        <f>IFERROR(LEFT(Raw_Data!E526,SEARCH("-",Raw_Data!E526)-1),"Review")</f>
        <v>Admin</v>
      </c>
      <c r="F526" s="2" t="str">
        <f>IFERROR(_xlfn.TEXTAFTER(Raw_Data!E526,"-"),"Review")</f>
        <v>Nevada</v>
      </c>
      <c r="G526" s="2" t="str">
        <f>IFERROR(TRIM(Raw_Data!F526), "Review")</f>
        <v>Pending</v>
      </c>
      <c r="H526" s="3" t="str">
        <f>IFERROR(TEXT(Raw_Data!G526, "YYYY-MM-DD"),"Review")</f>
        <v>2023-07-14</v>
      </c>
      <c r="I526" s="4">
        <f>IF(Raw_Data!H526="", "", IFERROR(VALUE(Raw_Data!H526), ""))</f>
        <v>50651.32</v>
      </c>
      <c r="J526" s="2" t="str">
        <f>IF(Raw_Data!I526="", "", IF(ISNUMBER(FIND("@", Raw_Data!I526)), Raw_Data!I526, "Review"))</f>
        <v>heidi.johnson@example.com</v>
      </c>
      <c r="K526" s="5" t="str">
        <f>IFERROR(TEXT(ABS(Raw_Data!J526), "0"), "Review")</f>
        <v>3684748835</v>
      </c>
      <c r="L526" s="2" t="str">
        <f>IFERROR(TRIM(Raw_Data!K526), "Review")</f>
        <v>Poor</v>
      </c>
      <c r="M526" s="2" t="b">
        <f>IF(Raw_Data!L526="", "",
    IF(ISLOGICAL(Raw_Data!L526), Raw_Data!L526,
        IF(OR(UPPER(Raw_Data!L526)="TRUE", UPPER(Raw_Data!L526)="YES", UPPER(Raw_Data!L526)="1"), TRUE,
            IF(OR(UPPER(Raw_Data!L526)="FALSE", UPPER(Raw_Data!L526)="NO", UPPER(Raw_Data!L526)="0"), FALSE, "Review")
        )
    )
)</f>
        <v>0</v>
      </c>
    </row>
    <row r="527" spans="1:13" x14ac:dyDescent="0.4">
      <c r="A527" s="2" t="str">
        <f>IFERROR(TRIM(Raw_Data!A527), "Review")</f>
        <v>EMP1525</v>
      </c>
      <c r="B527" s="2" t="str">
        <f>IFERROR(TRIM(Raw_Data!B527), "Review")</f>
        <v>Bob</v>
      </c>
      <c r="C527" s="2" t="str">
        <f>IFERROR(TRIM(Raw_Data!C527), "Review")</f>
        <v>Davis</v>
      </c>
      <c r="D527" s="2" t="str">
        <f>IF(Raw_Data!D527="", "", IFERROR(VALUE(Raw_Data!D527), ""))</f>
        <v/>
      </c>
      <c r="E527" s="2" t="str">
        <f>IFERROR(LEFT(Raw_Data!E527,SEARCH("-",Raw_Data!E527)-1),"Review")</f>
        <v>HR</v>
      </c>
      <c r="F527" s="2" t="str">
        <f>IFERROR(_xlfn.TEXTAFTER(Raw_Data!E527,"-"),"Review")</f>
        <v>Illinois</v>
      </c>
      <c r="G527" s="2" t="str">
        <f>IFERROR(TRIM(Raw_Data!F527), "Review")</f>
        <v>Pending</v>
      </c>
      <c r="H527" s="3" t="str">
        <f>IFERROR(TEXT(Raw_Data!G527, "YYYY-MM-DD"),"Review")</f>
        <v>2023-12-06</v>
      </c>
      <c r="I527" s="4">
        <f>IF(Raw_Data!H527="", "", IFERROR(VALUE(Raw_Data!H527), ""))</f>
        <v>59601.45</v>
      </c>
      <c r="J527" s="2" t="str">
        <f>IF(Raw_Data!I527="", "", IF(ISNUMBER(FIND("@", Raw_Data!I527)), Raw_Data!I527, "Review"))</f>
        <v>bob.davis@example.com</v>
      </c>
      <c r="K527" s="5" t="str">
        <f>IFERROR(TEXT(ABS(Raw_Data!J527), "0"), "Review")</f>
        <v>765817389</v>
      </c>
      <c r="L527" s="2" t="str">
        <f>IFERROR(TRIM(Raw_Data!K527), "Review")</f>
        <v>Poor</v>
      </c>
      <c r="M527" s="2" t="b">
        <f>IF(Raw_Data!L527="", "",
    IF(ISLOGICAL(Raw_Data!L527), Raw_Data!L527,
        IF(OR(UPPER(Raw_Data!L527)="TRUE", UPPER(Raw_Data!L527)="YES", UPPER(Raw_Data!L527)="1"), TRUE,
            IF(OR(UPPER(Raw_Data!L527)="FALSE", UPPER(Raw_Data!L527)="NO", UPPER(Raw_Data!L527)="0"), FALSE, "Review")
        )
    )
)</f>
        <v>0</v>
      </c>
    </row>
    <row r="528" spans="1:13" x14ac:dyDescent="0.4">
      <c r="A528" s="2" t="str">
        <f>IFERROR(TRIM(Raw_Data!A528), "Review")</f>
        <v>EMP1526</v>
      </c>
      <c r="B528" s="2" t="str">
        <f>IFERROR(TRIM(Raw_Data!B528), "Review")</f>
        <v>Bob</v>
      </c>
      <c r="C528" s="2" t="str">
        <f>IFERROR(TRIM(Raw_Data!C528), "Review")</f>
        <v>Williams</v>
      </c>
      <c r="D528" s="2" t="str">
        <f>IF(Raw_Data!D528="", "", IFERROR(VALUE(Raw_Data!D528), ""))</f>
        <v/>
      </c>
      <c r="E528" s="2" t="str">
        <f>IFERROR(LEFT(Raw_Data!E528,SEARCH("-",Raw_Data!E528)-1),"Review")</f>
        <v>DevOps</v>
      </c>
      <c r="F528" s="2" t="str">
        <f>IFERROR(_xlfn.TEXTAFTER(Raw_Data!E528,"-"),"Review")</f>
        <v>Illinois</v>
      </c>
      <c r="G528" s="2" t="str">
        <f>IFERROR(TRIM(Raw_Data!F528), "Review")</f>
        <v>Active</v>
      </c>
      <c r="H528" s="3" t="str">
        <f>IFERROR(TEXT(Raw_Data!G528, "YYYY-MM-DD"),"Review")</f>
        <v>2021-08-01</v>
      </c>
      <c r="I528" s="4">
        <f>IF(Raw_Data!H528="", "", IFERROR(VALUE(Raw_Data!H528), ""))</f>
        <v>57980.88</v>
      </c>
      <c r="J528" s="2" t="str">
        <f>IF(Raw_Data!I528="", "", IF(ISNUMBER(FIND("@", Raw_Data!I528)), Raw_Data!I528, "Review"))</f>
        <v>bob.williams@example.com</v>
      </c>
      <c r="K528" s="5" t="str">
        <f>IFERROR(TEXT(ABS(Raw_Data!J528), "0"), "Review")</f>
        <v>6375791451</v>
      </c>
      <c r="L528" s="2" t="str">
        <f>IFERROR(TRIM(Raw_Data!K528), "Review")</f>
        <v>Poor</v>
      </c>
      <c r="M528" s="2" t="b">
        <f>IF(Raw_Data!L528="", "",
    IF(ISLOGICAL(Raw_Data!L528), Raw_Data!L528,
        IF(OR(UPPER(Raw_Data!L528)="TRUE", UPPER(Raw_Data!L528)="YES", UPPER(Raw_Data!L528)="1"), TRUE,
            IF(OR(UPPER(Raw_Data!L528)="FALSE", UPPER(Raw_Data!L528)="NO", UPPER(Raw_Data!L528)="0"), FALSE, "Review")
        )
    )
)</f>
        <v>0</v>
      </c>
    </row>
    <row r="529" spans="1:13" x14ac:dyDescent="0.4">
      <c r="A529" s="2" t="str">
        <f>IFERROR(TRIM(Raw_Data!A529), "Review")</f>
        <v>EMP1527</v>
      </c>
      <c r="B529" s="2" t="str">
        <f>IFERROR(TRIM(Raw_Data!B529), "Review")</f>
        <v>David</v>
      </c>
      <c r="C529" s="2" t="str">
        <f>IFERROR(TRIM(Raw_Data!C529), "Review")</f>
        <v>Johnson</v>
      </c>
      <c r="D529" s="2" t="str">
        <f>IF(Raw_Data!D529="", "", IFERROR(VALUE(Raw_Data!D529), ""))</f>
        <v/>
      </c>
      <c r="E529" s="2" t="str">
        <f>IFERROR(LEFT(Raw_Data!E529,SEARCH("-",Raw_Data!E529)-1),"Review")</f>
        <v>Admin</v>
      </c>
      <c r="F529" s="2" t="str">
        <f>IFERROR(_xlfn.TEXTAFTER(Raw_Data!E529,"-"),"Review")</f>
        <v>California</v>
      </c>
      <c r="G529" s="2" t="str">
        <f>IFERROR(TRIM(Raw_Data!F529), "Review")</f>
        <v>Pending</v>
      </c>
      <c r="H529" s="3" t="str">
        <f>IFERROR(TEXT(Raw_Data!G529, "YYYY-MM-DD"),"Review")</f>
        <v>2021-02-17</v>
      </c>
      <c r="I529" s="4">
        <f>IF(Raw_Data!H529="", "", IFERROR(VALUE(Raw_Data!H529), ""))</f>
        <v>75054.53</v>
      </c>
      <c r="J529" s="2" t="str">
        <f>IF(Raw_Data!I529="", "", IF(ISNUMBER(FIND("@", Raw_Data!I529)), Raw_Data!I529, "Review"))</f>
        <v>david.johnson@example.com</v>
      </c>
      <c r="K529" s="5" t="str">
        <f>IFERROR(TEXT(ABS(Raw_Data!J529), "0"), "Review")</f>
        <v>1182379311</v>
      </c>
      <c r="L529" s="2" t="str">
        <f>IFERROR(TRIM(Raw_Data!K529), "Review")</f>
        <v>Average</v>
      </c>
      <c r="M529" s="2" t="b">
        <f>IF(Raw_Data!L529="", "",
    IF(ISLOGICAL(Raw_Data!L529), Raw_Data!L529,
        IF(OR(UPPER(Raw_Data!L529)="TRUE", UPPER(Raw_Data!L529)="YES", UPPER(Raw_Data!L529)="1"), TRUE,
            IF(OR(UPPER(Raw_Data!L529)="FALSE", UPPER(Raw_Data!L529)="NO", UPPER(Raw_Data!L529)="0"), FALSE, "Review")
        )
    )
)</f>
        <v>0</v>
      </c>
    </row>
    <row r="530" spans="1:13" x14ac:dyDescent="0.4">
      <c r="A530" s="2" t="str">
        <f>IFERROR(TRIM(Raw_Data!A530), "Review")</f>
        <v>EMP1528</v>
      </c>
      <c r="B530" s="2" t="str">
        <f>IFERROR(TRIM(Raw_Data!B530), "Review")</f>
        <v>Charlie</v>
      </c>
      <c r="C530" s="2" t="str">
        <f>IFERROR(TRIM(Raw_Data!C530), "Review")</f>
        <v>Johnson</v>
      </c>
      <c r="D530" s="2">
        <f>IF(Raw_Data!D530="", "", IFERROR(VALUE(Raw_Data!D530), ""))</f>
        <v>25</v>
      </c>
      <c r="E530" s="2" t="str">
        <f>IFERROR(LEFT(Raw_Data!E530,SEARCH("-",Raw_Data!E530)-1),"Review")</f>
        <v>Sales</v>
      </c>
      <c r="F530" s="2" t="str">
        <f>IFERROR(_xlfn.TEXTAFTER(Raw_Data!E530,"-"),"Review")</f>
        <v>Florida</v>
      </c>
      <c r="G530" s="2" t="str">
        <f>IFERROR(TRIM(Raw_Data!F530), "Review")</f>
        <v>Active</v>
      </c>
      <c r="H530" s="3" t="str">
        <f>IFERROR(TEXT(Raw_Data!G530, "YYYY-MM-DD"),"Review")</f>
        <v>2023-11-10</v>
      </c>
      <c r="I530" s="4">
        <f>IF(Raw_Data!H530="", "", IFERROR(VALUE(Raw_Data!H530), ""))</f>
        <v>115318.7</v>
      </c>
      <c r="J530" s="2" t="str">
        <f>IF(Raw_Data!I530="", "", IF(ISNUMBER(FIND("@", Raw_Data!I530)), Raw_Data!I530, "Review"))</f>
        <v>charlie.johnson@example.com</v>
      </c>
      <c r="K530" s="5" t="str">
        <f>IFERROR(TEXT(ABS(Raw_Data!J530), "0"), "Review")</f>
        <v>6978930745</v>
      </c>
      <c r="L530" s="2" t="str">
        <f>IFERROR(TRIM(Raw_Data!K530), "Review")</f>
        <v>Excellent</v>
      </c>
      <c r="M530" s="2" t="b">
        <f>IF(Raw_Data!L530="", "",
    IF(ISLOGICAL(Raw_Data!L530), Raw_Data!L530,
        IF(OR(UPPER(Raw_Data!L530)="TRUE", UPPER(Raw_Data!L530)="YES", UPPER(Raw_Data!L530)="1"), TRUE,
            IF(OR(UPPER(Raw_Data!L530)="FALSE", UPPER(Raw_Data!L530)="NO", UPPER(Raw_Data!L530)="0"), FALSE, "Review")
        )
    )
)</f>
        <v>0</v>
      </c>
    </row>
    <row r="531" spans="1:13" x14ac:dyDescent="0.4">
      <c r="A531" s="2" t="str">
        <f>IFERROR(TRIM(Raw_Data!A531), "Review")</f>
        <v>EMP1529</v>
      </c>
      <c r="B531" s="2" t="str">
        <f>IFERROR(TRIM(Raw_Data!B531), "Review")</f>
        <v>Alice</v>
      </c>
      <c r="C531" s="2" t="str">
        <f>IFERROR(TRIM(Raw_Data!C531), "Review")</f>
        <v>Johnson</v>
      </c>
      <c r="D531" s="2">
        <f>IF(Raw_Data!D531="", "", IFERROR(VALUE(Raw_Data!D531), ""))</f>
        <v>25</v>
      </c>
      <c r="E531" s="2" t="str">
        <f>IFERROR(LEFT(Raw_Data!E531,SEARCH("-",Raw_Data!E531)-1),"Review")</f>
        <v>DevOps</v>
      </c>
      <c r="F531" s="2" t="str">
        <f>IFERROR(_xlfn.TEXTAFTER(Raw_Data!E531,"-"),"Review")</f>
        <v>Texas</v>
      </c>
      <c r="G531" s="2" t="str">
        <f>IFERROR(TRIM(Raw_Data!F531), "Review")</f>
        <v>Active</v>
      </c>
      <c r="H531" s="3" t="str">
        <f>IFERROR(TEXT(Raw_Data!G531, "YYYY-MM-DD"),"Review")</f>
        <v>2024-09-06</v>
      </c>
      <c r="I531" s="4">
        <f>IF(Raw_Data!H531="", "", IFERROR(VALUE(Raw_Data!H531), ""))</f>
        <v>90190.69</v>
      </c>
      <c r="J531" s="2" t="str">
        <f>IF(Raw_Data!I531="", "", IF(ISNUMBER(FIND("@", Raw_Data!I531)), Raw_Data!I531, "Review"))</f>
        <v>alice.johnson@example.com</v>
      </c>
      <c r="K531" s="5" t="str">
        <f>IFERROR(TEXT(ABS(Raw_Data!J531), "0"), "Review")</f>
        <v>4520599603</v>
      </c>
      <c r="L531" s="2" t="str">
        <f>IFERROR(TRIM(Raw_Data!K531), "Review")</f>
        <v>Poor</v>
      </c>
      <c r="M531" s="2" t="b">
        <f>IF(Raw_Data!L531="", "",
    IF(ISLOGICAL(Raw_Data!L531), Raw_Data!L531,
        IF(OR(UPPER(Raw_Data!L531)="TRUE", UPPER(Raw_Data!L531)="YES", UPPER(Raw_Data!L531)="1"), TRUE,
            IF(OR(UPPER(Raw_Data!L531)="FALSE", UPPER(Raw_Data!L531)="NO", UPPER(Raw_Data!L531)="0"), FALSE, "Review")
        )
    )
)</f>
        <v>1</v>
      </c>
    </row>
    <row r="532" spans="1:13" x14ac:dyDescent="0.4">
      <c r="A532" s="2" t="str">
        <f>IFERROR(TRIM(Raw_Data!A532), "Review")</f>
        <v>EMP1530</v>
      </c>
      <c r="B532" s="2" t="str">
        <f>IFERROR(TRIM(Raw_Data!B532), "Review")</f>
        <v>Bob</v>
      </c>
      <c r="C532" s="2" t="str">
        <f>IFERROR(TRIM(Raw_Data!C532), "Review")</f>
        <v>Smith</v>
      </c>
      <c r="D532" s="2" t="str">
        <f>IF(Raw_Data!D532="", "", IFERROR(VALUE(Raw_Data!D532), ""))</f>
        <v/>
      </c>
      <c r="E532" s="2" t="str">
        <f>IFERROR(LEFT(Raw_Data!E532,SEARCH("-",Raw_Data!E532)-1),"Review")</f>
        <v>Cloud Tech</v>
      </c>
      <c r="F532" s="2" t="str">
        <f>IFERROR(_xlfn.TEXTAFTER(Raw_Data!E532,"-"),"Review")</f>
        <v>Nevada</v>
      </c>
      <c r="G532" s="2" t="str">
        <f>IFERROR(TRIM(Raw_Data!F532), "Review")</f>
        <v>Pending</v>
      </c>
      <c r="H532" s="3" t="str">
        <f>IFERROR(TEXT(Raw_Data!G532, "YYYY-MM-DD"),"Review")</f>
        <v>2020-07-26</v>
      </c>
      <c r="I532" s="4">
        <f>IF(Raw_Data!H532="", "", IFERROR(VALUE(Raw_Data!H532), ""))</f>
        <v>113334.56</v>
      </c>
      <c r="J532" s="2" t="str">
        <f>IF(Raw_Data!I532="", "", IF(ISNUMBER(FIND("@", Raw_Data!I532)), Raw_Data!I532, "Review"))</f>
        <v>bob.smith@example.com</v>
      </c>
      <c r="K532" s="5" t="str">
        <f>IFERROR(TEXT(ABS(Raw_Data!J532), "0"), "Review")</f>
        <v>3878753576</v>
      </c>
      <c r="L532" s="2" t="str">
        <f>IFERROR(TRIM(Raw_Data!K532), "Review")</f>
        <v>Excellent</v>
      </c>
      <c r="M532" s="2" t="b">
        <f>IF(Raw_Data!L532="", "",
    IF(ISLOGICAL(Raw_Data!L532), Raw_Data!L532,
        IF(OR(UPPER(Raw_Data!L532)="TRUE", UPPER(Raw_Data!L532)="YES", UPPER(Raw_Data!L532)="1"), TRUE,
            IF(OR(UPPER(Raw_Data!L532)="FALSE", UPPER(Raw_Data!L532)="NO", UPPER(Raw_Data!L532)="0"), FALSE, "Review")
        )
    )
)</f>
        <v>0</v>
      </c>
    </row>
    <row r="533" spans="1:13" x14ac:dyDescent="0.4">
      <c r="A533" s="2" t="str">
        <f>IFERROR(TRIM(Raw_Data!A533), "Review")</f>
        <v>EMP1531</v>
      </c>
      <c r="B533" s="2" t="str">
        <f>IFERROR(TRIM(Raw_Data!B533), "Review")</f>
        <v>Heidi</v>
      </c>
      <c r="C533" s="2" t="str">
        <f>IFERROR(TRIM(Raw_Data!C533), "Review")</f>
        <v>Garcia</v>
      </c>
      <c r="D533" s="2">
        <f>IF(Raw_Data!D533="", "", IFERROR(VALUE(Raw_Data!D533), ""))</f>
        <v>35</v>
      </c>
      <c r="E533" s="2" t="str">
        <f>IFERROR(LEFT(Raw_Data!E533,SEARCH("-",Raw_Data!E533)-1),"Review")</f>
        <v>HR</v>
      </c>
      <c r="F533" s="2" t="str">
        <f>IFERROR(_xlfn.TEXTAFTER(Raw_Data!E533,"-"),"Review")</f>
        <v>Florida</v>
      </c>
      <c r="G533" s="2" t="str">
        <f>IFERROR(TRIM(Raw_Data!F533), "Review")</f>
        <v>Active</v>
      </c>
      <c r="H533" s="3" t="str">
        <f>IFERROR(TEXT(Raw_Data!G533, "YYYY-MM-DD"),"Review")</f>
        <v>2020-07-23</v>
      </c>
      <c r="I533" s="4">
        <f>IF(Raw_Data!H533="", "", IFERROR(VALUE(Raw_Data!H533), ""))</f>
        <v>106922.49</v>
      </c>
      <c r="J533" s="2" t="str">
        <f>IF(Raw_Data!I533="", "", IF(ISNUMBER(FIND("@", Raw_Data!I533)), Raw_Data!I533, "Review"))</f>
        <v>heidi.garcia@example.com</v>
      </c>
      <c r="K533" s="5" t="str">
        <f>IFERROR(TEXT(ABS(Raw_Data!J533), "0"), "Review")</f>
        <v>8811616201</v>
      </c>
      <c r="L533" s="2" t="str">
        <f>IFERROR(TRIM(Raw_Data!K533), "Review")</f>
        <v>Excellent</v>
      </c>
      <c r="M533" s="2" t="b">
        <f>IF(Raw_Data!L533="", "",
    IF(ISLOGICAL(Raw_Data!L533), Raw_Data!L533,
        IF(OR(UPPER(Raw_Data!L533)="TRUE", UPPER(Raw_Data!L533)="YES", UPPER(Raw_Data!L533)="1"), TRUE,
            IF(OR(UPPER(Raw_Data!L533)="FALSE", UPPER(Raw_Data!L533)="NO", UPPER(Raw_Data!L533)="0"), FALSE, "Review")
        )
    )
)</f>
        <v>1</v>
      </c>
    </row>
    <row r="534" spans="1:13" x14ac:dyDescent="0.4">
      <c r="A534" s="2" t="str">
        <f>IFERROR(TRIM(Raw_Data!A534), "Review")</f>
        <v>EMP1532</v>
      </c>
      <c r="B534" s="2" t="str">
        <f>IFERROR(TRIM(Raw_Data!B534), "Review")</f>
        <v>Eva</v>
      </c>
      <c r="C534" s="2" t="str">
        <f>IFERROR(TRIM(Raw_Data!C534), "Review")</f>
        <v>Smith</v>
      </c>
      <c r="D534" s="2">
        <f>IF(Raw_Data!D534="", "", IFERROR(VALUE(Raw_Data!D534), ""))</f>
        <v>35</v>
      </c>
      <c r="E534" s="2" t="str">
        <f>IFERROR(LEFT(Raw_Data!E534,SEARCH("-",Raw_Data!E534)-1),"Review")</f>
        <v>DevOps</v>
      </c>
      <c r="F534" s="2" t="str">
        <f>IFERROR(_xlfn.TEXTAFTER(Raw_Data!E534,"-"),"Review")</f>
        <v>California</v>
      </c>
      <c r="G534" s="2" t="str">
        <f>IFERROR(TRIM(Raw_Data!F534), "Review")</f>
        <v>Inactive</v>
      </c>
      <c r="H534" s="3" t="str">
        <f>IFERROR(TEXT(Raw_Data!G534, "YYYY-MM-DD"),"Review")</f>
        <v>2024-02-21</v>
      </c>
      <c r="I534" s="4">
        <f>IF(Raw_Data!H534="", "", IFERROR(VALUE(Raw_Data!H534), ""))</f>
        <v>58113.07</v>
      </c>
      <c r="J534" s="2" t="str">
        <f>IF(Raw_Data!I534="", "", IF(ISNUMBER(FIND("@", Raw_Data!I534)), Raw_Data!I534, "Review"))</f>
        <v>eva.smith@example.com</v>
      </c>
      <c r="K534" s="5" t="str">
        <f>IFERROR(TEXT(ABS(Raw_Data!J534), "0"), "Review")</f>
        <v>8123710671</v>
      </c>
      <c r="L534" s="2" t="str">
        <f>IFERROR(TRIM(Raw_Data!K534), "Review")</f>
        <v>Average</v>
      </c>
      <c r="M534" s="2" t="b">
        <f>IF(Raw_Data!L534="", "",
    IF(ISLOGICAL(Raw_Data!L534), Raw_Data!L534,
        IF(OR(UPPER(Raw_Data!L534)="TRUE", UPPER(Raw_Data!L534)="YES", UPPER(Raw_Data!L534)="1"), TRUE,
            IF(OR(UPPER(Raw_Data!L534)="FALSE", UPPER(Raw_Data!L534)="NO", UPPER(Raw_Data!L534)="0"), FALSE, "Review")
        )
    )
)</f>
        <v>1</v>
      </c>
    </row>
    <row r="535" spans="1:13" x14ac:dyDescent="0.4">
      <c r="A535" s="2" t="str">
        <f>IFERROR(TRIM(Raw_Data!A535), "Review")</f>
        <v>EMP1533</v>
      </c>
      <c r="B535" s="2" t="str">
        <f>IFERROR(TRIM(Raw_Data!B535), "Review")</f>
        <v>Alice</v>
      </c>
      <c r="C535" s="2" t="str">
        <f>IFERROR(TRIM(Raw_Data!C535), "Review")</f>
        <v>Smith</v>
      </c>
      <c r="D535" s="2">
        <f>IF(Raw_Data!D535="", "", IFERROR(VALUE(Raw_Data!D535), ""))</f>
        <v>25</v>
      </c>
      <c r="E535" s="2" t="str">
        <f>IFERROR(LEFT(Raw_Data!E535,SEARCH("-",Raw_Data!E535)-1),"Review")</f>
        <v>Admin</v>
      </c>
      <c r="F535" s="2" t="str">
        <f>IFERROR(_xlfn.TEXTAFTER(Raw_Data!E535,"-"),"Review")</f>
        <v>Nevada</v>
      </c>
      <c r="G535" s="2" t="str">
        <f>IFERROR(TRIM(Raw_Data!F535), "Review")</f>
        <v>Pending</v>
      </c>
      <c r="H535" s="3" t="str">
        <f>IFERROR(TEXT(Raw_Data!G535, "YYYY-MM-DD"),"Review")</f>
        <v>2020-12-15</v>
      </c>
      <c r="I535" s="4">
        <f>IF(Raw_Data!H535="", "", IFERROR(VALUE(Raw_Data!H535), ""))</f>
        <v>73006.259999999995</v>
      </c>
      <c r="J535" s="2" t="str">
        <f>IF(Raw_Data!I535="", "", IF(ISNUMBER(FIND("@", Raw_Data!I535)), Raw_Data!I535, "Review"))</f>
        <v>alice.smith@example.com</v>
      </c>
      <c r="K535" s="5" t="str">
        <f>IFERROR(TEXT(ABS(Raw_Data!J535), "0"), "Review")</f>
        <v>8728660415</v>
      </c>
      <c r="L535" s="2" t="str">
        <f>IFERROR(TRIM(Raw_Data!K535), "Review")</f>
        <v>Poor</v>
      </c>
      <c r="M535" s="2" t="b">
        <f>IF(Raw_Data!L535="", "",
    IF(ISLOGICAL(Raw_Data!L535), Raw_Data!L535,
        IF(OR(UPPER(Raw_Data!L535)="TRUE", UPPER(Raw_Data!L535)="YES", UPPER(Raw_Data!L535)="1"), TRUE,
            IF(OR(UPPER(Raw_Data!L535)="FALSE", UPPER(Raw_Data!L535)="NO", UPPER(Raw_Data!L535)="0"), FALSE, "Review")
        )
    )
)</f>
        <v>1</v>
      </c>
    </row>
    <row r="536" spans="1:13" x14ac:dyDescent="0.4">
      <c r="A536" s="2" t="str">
        <f>IFERROR(TRIM(Raw_Data!A536), "Review")</f>
        <v>EMP1534</v>
      </c>
      <c r="B536" s="2" t="str">
        <f>IFERROR(TRIM(Raw_Data!B536), "Review")</f>
        <v>Eva</v>
      </c>
      <c r="C536" s="2" t="str">
        <f>IFERROR(TRIM(Raw_Data!C536), "Review")</f>
        <v>Williams</v>
      </c>
      <c r="D536" s="2">
        <f>IF(Raw_Data!D536="", "", IFERROR(VALUE(Raw_Data!D536), ""))</f>
        <v>25</v>
      </c>
      <c r="E536" s="2" t="str">
        <f>IFERROR(LEFT(Raw_Data!E536,SEARCH("-",Raw_Data!E536)-1),"Review")</f>
        <v>HR</v>
      </c>
      <c r="F536" s="2" t="str">
        <f>IFERROR(_xlfn.TEXTAFTER(Raw_Data!E536,"-"),"Review")</f>
        <v>California</v>
      </c>
      <c r="G536" s="2" t="str">
        <f>IFERROR(TRIM(Raw_Data!F536), "Review")</f>
        <v>Active</v>
      </c>
      <c r="H536" s="3" t="str">
        <f>IFERROR(TEXT(Raw_Data!G536, "YYYY-MM-DD"),"Review")</f>
        <v>2020-08-21</v>
      </c>
      <c r="I536" s="4">
        <f>IF(Raw_Data!H536="", "", IFERROR(VALUE(Raw_Data!H536), ""))</f>
        <v>78054.429999999993</v>
      </c>
      <c r="J536" s="2" t="str">
        <f>IF(Raw_Data!I536="", "", IF(ISNUMBER(FIND("@", Raw_Data!I536)), Raw_Data!I536, "Review"))</f>
        <v>eva.williams@example.com</v>
      </c>
      <c r="K536" s="5" t="str">
        <f>IFERROR(TEXT(ABS(Raw_Data!J536), "0"), "Review")</f>
        <v>4485959223</v>
      </c>
      <c r="L536" s="2" t="str">
        <f>IFERROR(TRIM(Raw_Data!K536), "Review")</f>
        <v>Poor</v>
      </c>
      <c r="M536" s="2" t="b">
        <f>IF(Raw_Data!L536="", "",
    IF(ISLOGICAL(Raw_Data!L536), Raw_Data!L536,
        IF(OR(UPPER(Raw_Data!L536)="TRUE", UPPER(Raw_Data!L536)="YES", UPPER(Raw_Data!L536)="1"), TRUE,
            IF(OR(UPPER(Raw_Data!L536)="FALSE", UPPER(Raw_Data!L536)="NO", UPPER(Raw_Data!L536)="0"), FALSE, "Review")
        )
    )
)</f>
        <v>1</v>
      </c>
    </row>
    <row r="537" spans="1:13" x14ac:dyDescent="0.4">
      <c r="A537" s="2" t="str">
        <f>IFERROR(TRIM(Raw_Data!A537), "Review")</f>
        <v>EMP1535</v>
      </c>
      <c r="B537" s="2" t="str">
        <f>IFERROR(TRIM(Raw_Data!B537), "Review")</f>
        <v>Eva</v>
      </c>
      <c r="C537" s="2" t="str">
        <f>IFERROR(TRIM(Raw_Data!C537), "Review")</f>
        <v>Miller</v>
      </c>
      <c r="D537" s="2">
        <f>IF(Raw_Data!D537="", "", IFERROR(VALUE(Raw_Data!D537), ""))</f>
        <v>40</v>
      </c>
      <c r="E537" s="2" t="str">
        <f>IFERROR(LEFT(Raw_Data!E537,SEARCH("-",Raw_Data!E537)-1),"Review")</f>
        <v>DevOps</v>
      </c>
      <c r="F537" s="2" t="str">
        <f>IFERROR(_xlfn.TEXTAFTER(Raw_Data!E537,"-"),"Review")</f>
        <v>Florida</v>
      </c>
      <c r="G537" s="2" t="str">
        <f>IFERROR(TRIM(Raw_Data!F537), "Review")</f>
        <v>Inactive</v>
      </c>
      <c r="H537" s="3" t="str">
        <f>IFERROR(TEXT(Raw_Data!G537, "YYYY-MM-DD"),"Review")</f>
        <v>2023-08-21</v>
      </c>
      <c r="I537" s="4">
        <f>IF(Raw_Data!H537="", "", IFERROR(VALUE(Raw_Data!H537), ""))</f>
        <v>112028.67</v>
      </c>
      <c r="J537" s="2" t="str">
        <f>IF(Raw_Data!I537="", "", IF(ISNUMBER(FIND("@", Raw_Data!I537)), Raw_Data!I537, "Review"))</f>
        <v>eva.miller@example.com</v>
      </c>
      <c r="K537" s="5" t="str">
        <f>IFERROR(TEXT(ABS(Raw_Data!J537), "0"), "Review")</f>
        <v>8395894772</v>
      </c>
      <c r="L537" s="2" t="str">
        <f>IFERROR(TRIM(Raw_Data!K537), "Review")</f>
        <v>Excellent</v>
      </c>
      <c r="M537" s="2" t="b">
        <f>IF(Raw_Data!L537="", "",
    IF(ISLOGICAL(Raw_Data!L537), Raw_Data!L537,
        IF(OR(UPPER(Raw_Data!L537)="TRUE", UPPER(Raw_Data!L537)="YES", UPPER(Raw_Data!L537)="1"), TRUE,
            IF(OR(UPPER(Raw_Data!L537)="FALSE", UPPER(Raw_Data!L537)="NO", UPPER(Raw_Data!L537)="0"), FALSE, "Review")
        )
    )
)</f>
        <v>0</v>
      </c>
    </row>
    <row r="538" spans="1:13" x14ac:dyDescent="0.4">
      <c r="A538" s="2" t="str">
        <f>IFERROR(TRIM(Raw_Data!A538), "Review")</f>
        <v>EMP1536</v>
      </c>
      <c r="B538" s="2" t="str">
        <f>IFERROR(TRIM(Raw_Data!B538), "Review")</f>
        <v>Charlie</v>
      </c>
      <c r="C538" s="2" t="str">
        <f>IFERROR(TRIM(Raw_Data!C538), "Review")</f>
        <v>Garcia</v>
      </c>
      <c r="D538" s="2">
        <f>IF(Raw_Data!D538="", "", IFERROR(VALUE(Raw_Data!D538), ""))</f>
        <v>25</v>
      </c>
      <c r="E538" s="2" t="str">
        <f>IFERROR(LEFT(Raw_Data!E538,SEARCH("-",Raw_Data!E538)-1),"Review")</f>
        <v>Admin</v>
      </c>
      <c r="F538" s="2" t="str">
        <f>IFERROR(_xlfn.TEXTAFTER(Raw_Data!E538,"-"),"Review")</f>
        <v>Texas</v>
      </c>
      <c r="G538" s="2" t="str">
        <f>IFERROR(TRIM(Raw_Data!F538), "Review")</f>
        <v>Inactive</v>
      </c>
      <c r="H538" s="3" t="str">
        <f>IFERROR(TEXT(Raw_Data!G538, "YYYY-MM-DD"),"Review")</f>
        <v>2023-04-24</v>
      </c>
      <c r="I538" s="4">
        <f>IF(Raw_Data!H538="", "", IFERROR(VALUE(Raw_Data!H538), ""))</f>
        <v>83787.240000000005</v>
      </c>
      <c r="J538" s="2" t="str">
        <f>IF(Raw_Data!I538="", "", IF(ISNUMBER(FIND("@", Raw_Data!I538)), Raw_Data!I538, "Review"))</f>
        <v>charlie.garcia@example.com</v>
      </c>
      <c r="K538" s="5" t="str">
        <f>IFERROR(TEXT(ABS(Raw_Data!J538), "0"), "Review")</f>
        <v>5228705621</v>
      </c>
      <c r="L538" s="2" t="str">
        <f>IFERROR(TRIM(Raw_Data!K538), "Review")</f>
        <v>Good</v>
      </c>
      <c r="M538" s="2" t="b">
        <f>IF(Raw_Data!L538="", "",
    IF(ISLOGICAL(Raw_Data!L538), Raw_Data!L538,
        IF(OR(UPPER(Raw_Data!L538)="TRUE", UPPER(Raw_Data!L538)="YES", UPPER(Raw_Data!L538)="1"), TRUE,
            IF(OR(UPPER(Raw_Data!L538)="FALSE", UPPER(Raw_Data!L538)="NO", UPPER(Raw_Data!L538)="0"), FALSE, "Review")
        )
    )
)</f>
        <v>1</v>
      </c>
    </row>
    <row r="539" spans="1:13" x14ac:dyDescent="0.4">
      <c r="A539" s="2" t="str">
        <f>IFERROR(TRIM(Raw_Data!A539), "Review")</f>
        <v>EMP1537</v>
      </c>
      <c r="B539" s="2" t="str">
        <f>IFERROR(TRIM(Raw_Data!B539), "Review")</f>
        <v>Heidi</v>
      </c>
      <c r="C539" s="2" t="str">
        <f>IFERROR(TRIM(Raw_Data!C539), "Review")</f>
        <v>Davis</v>
      </c>
      <c r="D539" s="2">
        <f>IF(Raw_Data!D539="", "", IFERROR(VALUE(Raw_Data!D539), ""))</f>
        <v>30</v>
      </c>
      <c r="E539" s="2" t="str">
        <f>IFERROR(LEFT(Raw_Data!E539,SEARCH("-",Raw_Data!E539)-1),"Review")</f>
        <v>Sales</v>
      </c>
      <c r="F539" s="2" t="str">
        <f>IFERROR(_xlfn.TEXTAFTER(Raw_Data!E539,"-"),"Review")</f>
        <v>Florida</v>
      </c>
      <c r="G539" s="2" t="str">
        <f>IFERROR(TRIM(Raw_Data!F539), "Review")</f>
        <v>Inactive</v>
      </c>
      <c r="H539" s="3" t="str">
        <f>IFERROR(TEXT(Raw_Data!G539, "YYYY-MM-DD"),"Review")</f>
        <v>2023-06-06</v>
      </c>
      <c r="I539" s="4">
        <f>IF(Raw_Data!H539="", "", IFERROR(VALUE(Raw_Data!H539), ""))</f>
        <v>52017.14</v>
      </c>
      <c r="J539" s="2" t="str">
        <f>IF(Raw_Data!I539="", "", IF(ISNUMBER(FIND("@", Raw_Data!I539)), Raw_Data!I539, "Review"))</f>
        <v>heidi.davis@example.com</v>
      </c>
      <c r="K539" s="5" t="str">
        <f>IFERROR(TEXT(ABS(Raw_Data!J539), "0"), "Review")</f>
        <v>7104331874</v>
      </c>
      <c r="L539" s="2" t="str">
        <f>IFERROR(TRIM(Raw_Data!K539), "Review")</f>
        <v>Average</v>
      </c>
      <c r="M539" s="2" t="b">
        <f>IF(Raw_Data!L539="", "",
    IF(ISLOGICAL(Raw_Data!L539), Raw_Data!L539,
        IF(OR(UPPER(Raw_Data!L539)="TRUE", UPPER(Raw_Data!L539)="YES", UPPER(Raw_Data!L539)="1"), TRUE,
            IF(OR(UPPER(Raw_Data!L539)="FALSE", UPPER(Raw_Data!L539)="NO", UPPER(Raw_Data!L539)="0"), FALSE, "Review")
        )
    )
)</f>
        <v>1</v>
      </c>
    </row>
    <row r="540" spans="1:13" x14ac:dyDescent="0.4">
      <c r="A540" s="2" t="str">
        <f>IFERROR(TRIM(Raw_Data!A540), "Review")</f>
        <v>EMP1538</v>
      </c>
      <c r="B540" s="2" t="str">
        <f>IFERROR(TRIM(Raw_Data!B540), "Review")</f>
        <v>Charlie</v>
      </c>
      <c r="C540" s="2" t="str">
        <f>IFERROR(TRIM(Raw_Data!C540), "Review")</f>
        <v>Jones</v>
      </c>
      <c r="D540" s="2">
        <f>IF(Raw_Data!D540="", "", IFERROR(VALUE(Raw_Data!D540), ""))</f>
        <v>40</v>
      </c>
      <c r="E540" s="2" t="str">
        <f>IFERROR(LEFT(Raw_Data!E540,SEARCH("-",Raw_Data!E540)-1),"Review")</f>
        <v>Finance</v>
      </c>
      <c r="F540" s="2" t="str">
        <f>IFERROR(_xlfn.TEXTAFTER(Raw_Data!E540,"-"),"Review")</f>
        <v>Texas</v>
      </c>
      <c r="G540" s="2" t="str">
        <f>IFERROR(TRIM(Raw_Data!F540), "Review")</f>
        <v>Inactive</v>
      </c>
      <c r="H540" s="3" t="str">
        <f>IFERROR(TEXT(Raw_Data!G540, "YYYY-MM-DD"),"Review")</f>
        <v>2022-06-21</v>
      </c>
      <c r="I540" s="4">
        <f>IF(Raw_Data!H540="", "", IFERROR(VALUE(Raw_Data!H540), ""))</f>
        <v>53218.06</v>
      </c>
      <c r="J540" s="2" t="str">
        <f>IF(Raw_Data!I540="", "", IF(ISNUMBER(FIND("@", Raw_Data!I540)), Raw_Data!I540, "Review"))</f>
        <v>charlie.jones@example.com</v>
      </c>
      <c r="K540" s="5" t="str">
        <f>IFERROR(TEXT(ABS(Raw_Data!J540), "0"), "Review")</f>
        <v>1097921582</v>
      </c>
      <c r="L540" s="2" t="str">
        <f>IFERROR(TRIM(Raw_Data!K540), "Review")</f>
        <v>Average</v>
      </c>
      <c r="M540" s="2" t="b">
        <f>IF(Raw_Data!L540="", "",
    IF(ISLOGICAL(Raw_Data!L540), Raw_Data!L540,
        IF(OR(UPPER(Raw_Data!L540)="TRUE", UPPER(Raw_Data!L540)="YES", UPPER(Raw_Data!L540)="1"), TRUE,
            IF(OR(UPPER(Raw_Data!L540)="FALSE", UPPER(Raw_Data!L540)="NO", UPPER(Raw_Data!L540)="0"), FALSE, "Review")
        )
    )
)</f>
        <v>0</v>
      </c>
    </row>
    <row r="541" spans="1:13" x14ac:dyDescent="0.4">
      <c r="A541" s="2" t="str">
        <f>IFERROR(TRIM(Raw_Data!A541), "Review")</f>
        <v>EMP1539</v>
      </c>
      <c r="B541" s="2" t="str">
        <f>IFERROR(TRIM(Raw_Data!B541), "Review")</f>
        <v>Frank</v>
      </c>
      <c r="C541" s="2" t="str">
        <f>IFERROR(TRIM(Raw_Data!C541), "Review")</f>
        <v>Johnson</v>
      </c>
      <c r="D541" s="2">
        <f>IF(Raw_Data!D541="", "", IFERROR(VALUE(Raw_Data!D541), ""))</f>
        <v>25</v>
      </c>
      <c r="E541" s="2" t="str">
        <f>IFERROR(LEFT(Raw_Data!E541,SEARCH("-",Raw_Data!E541)-1),"Review")</f>
        <v>DevOps</v>
      </c>
      <c r="F541" s="2" t="str">
        <f>IFERROR(_xlfn.TEXTAFTER(Raw_Data!E541,"-"),"Review")</f>
        <v>Nevada</v>
      </c>
      <c r="G541" s="2" t="str">
        <f>IFERROR(TRIM(Raw_Data!F541), "Review")</f>
        <v>Pending</v>
      </c>
      <c r="H541" s="3" t="str">
        <f>IFERROR(TEXT(Raw_Data!G541, "YYYY-MM-DD"),"Review")</f>
        <v>2024-04-20</v>
      </c>
      <c r="I541" s="4">
        <f>IF(Raw_Data!H541="", "", IFERROR(VALUE(Raw_Data!H541), ""))</f>
        <v>102053.67</v>
      </c>
      <c r="J541" s="2" t="str">
        <f>IF(Raw_Data!I541="", "", IF(ISNUMBER(FIND("@", Raw_Data!I541)), Raw_Data!I541, "Review"))</f>
        <v>frank.johnson@example.com</v>
      </c>
      <c r="K541" s="5" t="str">
        <f>IFERROR(TEXT(ABS(Raw_Data!J541), "0"), "Review")</f>
        <v>5034469458</v>
      </c>
      <c r="L541" s="2" t="str">
        <f>IFERROR(TRIM(Raw_Data!K541), "Review")</f>
        <v>Average</v>
      </c>
      <c r="M541" s="2" t="b">
        <f>IF(Raw_Data!L541="", "",
    IF(ISLOGICAL(Raw_Data!L541), Raw_Data!L541,
        IF(OR(UPPER(Raw_Data!L541)="TRUE", UPPER(Raw_Data!L541)="YES", UPPER(Raw_Data!L541)="1"), TRUE,
            IF(OR(UPPER(Raw_Data!L541)="FALSE", UPPER(Raw_Data!L541)="NO", UPPER(Raw_Data!L541)="0"), FALSE, "Review")
        )
    )
)</f>
        <v>0</v>
      </c>
    </row>
    <row r="542" spans="1:13" x14ac:dyDescent="0.4">
      <c r="A542" s="2" t="str">
        <f>IFERROR(TRIM(Raw_Data!A542), "Review")</f>
        <v>EMP1540</v>
      </c>
      <c r="B542" s="2" t="str">
        <f>IFERROR(TRIM(Raw_Data!B542), "Review")</f>
        <v>David</v>
      </c>
      <c r="C542" s="2" t="str">
        <f>IFERROR(TRIM(Raw_Data!C542), "Review")</f>
        <v>Davis</v>
      </c>
      <c r="D542" s="2">
        <f>IF(Raw_Data!D542="", "", IFERROR(VALUE(Raw_Data!D542), ""))</f>
        <v>35</v>
      </c>
      <c r="E542" s="2" t="str">
        <f>IFERROR(LEFT(Raw_Data!E542,SEARCH("-",Raw_Data!E542)-1),"Review")</f>
        <v>Sales</v>
      </c>
      <c r="F542" s="2" t="str">
        <f>IFERROR(_xlfn.TEXTAFTER(Raw_Data!E542,"-"),"Review")</f>
        <v>Illinois</v>
      </c>
      <c r="G542" s="2" t="str">
        <f>IFERROR(TRIM(Raw_Data!F542), "Review")</f>
        <v>Pending</v>
      </c>
      <c r="H542" s="3" t="str">
        <f>IFERROR(TEXT(Raw_Data!G542, "YYYY-MM-DD"),"Review")</f>
        <v>2023-12-05</v>
      </c>
      <c r="I542" s="4">
        <f>IF(Raw_Data!H542="", "", IFERROR(VALUE(Raw_Data!H542), ""))</f>
        <v>93276.73</v>
      </c>
      <c r="J542" s="2" t="str">
        <f>IF(Raw_Data!I542="", "", IF(ISNUMBER(FIND("@", Raw_Data!I542)), Raw_Data!I542, "Review"))</f>
        <v>david.davis@example.com</v>
      </c>
      <c r="K542" s="5" t="str">
        <f>IFERROR(TEXT(ABS(Raw_Data!J542), "0"), "Review")</f>
        <v>6488319212</v>
      </c>
      <c r="L542" s="2" t="str">
        <f>IFERROR(TRIM(Raw_Data!K542), "Review")</f>
        <v>Average</v>
      </c>
      <c r="M542" s="2" t="b">
        <f>IF(Raw_Data!L542="", "",
    IF(ISLOGICAL(Raw_Data!L542), Raw_Data!L542,
        IF(OR(UPPER(Raw_Data!L542)="TRUE", UPPER(Raw_Data!L542)="YES", UPPER(Raw_Data!L542)="1"), TRUE,
            IF(OR(UPPER(Raw_Data!L542)="FALSE", UPPER(Raw_Data!L542)="NO", UPPER(Raw_Data!L542)="0"), FALSE, "Review")
        )
    )
)</f>
        <v>0</v>
      </c>
    </row>
    <row r="543" spans="1:13" x14ac:dyDescent="0.4">
      <c r="A543" s="2" t="str">
        <f>IFERROR(TRIM(Raw_Data!A543), "Review")</f>
        <v>EMP1541</v>
      </c>
      <c r="B543" s="2" t="str">
        <f>IFERROR(TRIM(Raw_Data!B543), "Review")</f>
        <v>David</v>
      </c>
      <c r="C543" s="2" t="str">
        <f>IFERROR(TRIM(Raw_Data!C543), "Review")</f>
        <v>Johnson</v>
      </c>
      <c r="D543" s="2">
        <f>IF(Raw_Data!D543="", "", IFERROR(VALUE(Raw_Data!D543), ""))</f>
        <v>40</v>
      </c>
      <c r="E543" s="2" t="str">
        <f>IFERROR(LEFT(Raw_Data!E543,SEARCH("-",Raw_Data!E543)-1),"Review")</f>
        <v>HR</v>
      </c>
      <c r="F543" s="2" t="str">
        <f>IFERROR(_xlfn.TEXTAFTER(Raw_Data!E543,"-"),"Review")</f>
        <v>Nevada</v>
      </c>
      <c r="G543" s="2" t="str">
        <f>IFERROR(TRIM(Raw_Data!F543), "Review")</f>
        <v>Pending</v>
      </c>
      <c r="H543" s="3" t="str">
        <f>IFERROR(TEXT(Raw_Data!G543, "YYYY-MM-DD"),"Review")</f>
        <v>2023-08-06</v>
      </c>
      <c r="I543" s="4">
        <f>IF(Raw_Data!H543="", "", IFERROR(VALUE(Raw_Data!H543), ""))</f>
        <v>76941.36</v>
      </c>
      <c r="J543" s="2" t="str">
        <f>IF(Raw_Data!I543="", "", IF(ISNUMBER(FIND("@", Raw_Data!I543)), Raw_Data!I543, "Review"))</f>
        <v>david.johnson@example.com</v>
      </c>
      <c r="K543" s="5" t="str">
        <f>IFERROR(TEXT(ABS(Raw_Data!J543), "0"), "Review")</f>
        <v>4249128964</v>
      </c>
      <c r="L543" s="2" t="str">
        <f>IFERROR(TRIM(Raw_Data!K543), "Review")</f>
        <v>Poor</v>
      </c>
      <c r="M543" s="2" t="b">
        <f>IF(Raw_Data!L543="", "",
    IF(ISLOGICAL(Raw_Data!L543), Raw_Data!L543,
        IF(OR(UPPER(Raw_Data!L543)="TRUE", UPPER(Raw_Data!L543)="YES", UPPER(Raw_Data!L543)="1"), TRUE,
            IF(OR(UPPER(Raw_Data!L543)="FALSE", UPPER(Raw_Data!L543)="NO", UPPER(Raw_Data!L543)="0"), FALSE, "Review")
        )
    )
)</f>
        <v>1</v>
      </c>
    </row>
    <row r="544" spans="1:13" x14ac:dyDescent="0.4">
      <c r="A544" s="2" t="str">
        <f>IFERROR(TRIM(Raw_Data!A544), "Review")</f>
        <v>EMP1542</v>
      </c>
      <c r="B544" s="2" t="str">
        <f>IFERROR(TRIM(Raw_Data!B544), "Review")</f>
        <v>Alice</v>
      </c>
      <c r="C544" s="2" t="str">
        <f>IFERROR(TRIM(Raw_Data!C544), "Review")</f>
        <v>Williams</v>
      </c>
      <c r="D544" s="2">
        <f>IF(Raw_Data!D544="", "", IFERROR(VALUE(Raw_Data!D544), ""))</f>
        <v>25</v>
      </c>
      <c r="E544" s="2" t="str">
        <f>IFERROR(LEFT(Raw_Data!E544,SEARCH("-",Raw_Data!E544)-1),"Review")</f>
        <v>DevOps</v>
      </c>
      <c r="F544" s="2" t="str">
        <f>IFERROR(_xlfn.TEXTAFTER(Raw_Data!E544,"-"),"Review")</f>
        <v>New York</v>
      </c>
      <c r="G544" s="2" t="str">
        <f>IFERROR(TRIM(Raw_Data!F544), "Review")</f>
        <v>Pending</v>
      </c>
      <c r="H544" s="3" t="str">
        <f>IFERROR(TEXT(Raw_Data!G544, "YYYY-MM-DD"),"Review")</f>
        <v>2024-10-04</v>
      </c>
      <c r="I544" s="4">
        <f>IF(Raw_Data!H544="", "", IFERROR(VALUE(Raw_Data!H544), ""))</f>
        <v>82850.23</v>
      </c>
      <c r="J544" s="2" t="str">
        <f>IF(Raw_Data!I544="", "", IF(ISNUMBER(FIND("@", Raw_Data!I544)), Raw_Data!I544, "Review"))</f>
        <v>alice.williams@example.com</v>
      </c>
      <c r="K544" s="5" t="str">
        <f>IFERROR(TEXT(ABS(Raw_Data!J544), "0"), "Review")</f>
        <v>9994973202</v>
      </c>
      <c r="L544" s="2" t="str">
        <f>IFERROR(TRIM(Raw_Data!K544), "Review")</f>
        <v>Poor</v>
      </c>
      <c r="M544" s="2" t="b">
        <f>IF(Raw_Data!L544="", "",
    IF(ISLOGICAL(Raw_Data!L544), Raw_Data!L544,
        IF(OR(UPPER(Raw_Data!L544)="TRUE", UPPER(Raw_Data!L544)="YES", UPPER(Raw_Data!L544)="1"), TRUE,
            IF(OR(UPPER(Raw_Data!L544)="FALSE", UPPER(Raw_Data!L544)="NO", UPPER(Raw_Data!L544)="0"), FALSE, "Review")
        )
    )
)</f>
        <v>0</v>
      </c>
    </row>
    <row r="545" spans="1:13" x14ac:dyDescent="0.4">
      <c r="A545" s="2" t="str">
        <f>IFERROR(TRIM(Raw_Data!A545), "Review")</f>
        <v>EMP1543</v>
      </c>
      <c r="B545" s="2" t="str">
        <f>IFERROR(TRIM(Raw_Data!B545), "Review")</f>
        <v>Charlie</v>
      </c>
      <c r="C545" s="2" t="str">
        <f>IFERROR(TRIM(Raw_Data!C545), "Review")</f>
        <v>Johnson</v>
      </c>
      <c r="D545" s="2">
        <f>IF(Raw_Data!D545="", "", IFERROR(VALUE(Raw_Data!D545), ""))</f>
        <v>25</v>
      </c>
      <c r="E545" s="2" t="str">
        <f>IFERROR(LEFT(Raw_Data!E545,SEARCH("-",Raw_Data!E545)-1),"Review")</f>
        <v>Finance</v>
      </c>
      <c r="F545" s="2" t="str">
        <f>IFERROR(_xlfn.TEXTAFTER(Raw_Data!E545,"-"),"Review")</f>
        <v>California</v>
      </c>
      <c r="G545" s="2" t="str">
        <f>IFERROR(TRIM(Raw_Data!F545), "Review")</f>
        <v>Active</v>
      </c>
      <c r="H545" s="3" t="str">
        <f>IFERROR(TEXT(Raw_Data!G545, "YYYY-MM-DD"),"Review")</f>
        <v>2021-11-08</v>
      </c>
      <c r="I545" s="4">
        <f>IF(Raw_Data!H545="", "", IFERROR(VALUE(Raw_Data!H545), ""))</f>
        <v>117910.15</v>
      </c>
      <c r="J545" s="2" t="str">
        <f>IF(Raw_Data!I545="", "", IF(ISNUMBER(FIND("@", Raw_Data!I545)), Raw_Data!I545, "Review"))</f>
        <v>charlie.johnson@example.com</v>
      </c>
      <c r="K545" s="5" t="str">
        <f>IFERROR(TEXT(ABS(Raw_Data!J545), "0"), "Review")</f>
        <v>3192227050</v>
      </c>
      <c r="L545" s="2" t="str">
        <f>IFERROR(TRIM(Raw_Data!K545), "Review")</f>
        <v>Good</v>
      </c>
      <c r="M545" s="2" t="b">
        <f>IF(Raw_Data!L545="", "",
    IF(ISLOGICAL(Raw_Data!L545), Raw_Data!L545,
        IF(OR(UPPER(Raw_Data!L545)="TRUE", UPPER(Raw_Data!L545)="YES", UPPER(Raw_Data!L545)="1"), TRUE,
            IF(OR(UPPER(Raw_Data!L545)="FALSE", UPPER(Raw_Data!L545)="NO", UPPER(Raw_Data!L545)="0"), FALSE, "Review")
        )
    )
)</f>
        <v>0</v>
      </c>
    </row>
    <row r="546" spans="1:13" x14ac:dyDescent="0.4">
      <c r="A546" s="2" t="str">
        <f>IFERROR(TRIM(Raw_Data!A546), "Review")</f>
        <v>EMP1544</v>
      </c>
      <c r="B546" s="2" t="str">
        <f>IFERROR(TRIM(Raw_Data!B546), "Review")</f>
        <v>David</v>
      </c>
      <c r="C546" s="2" t="str">
        <f>IFERROR(TRIM(Raw_Data!C546), "Review")</f>
        <v>Smith</v>
      </c>
      <c r="D546" s="2" t="str">
        <f>IF(Raw_Data!D546="", "", IFERROR(VALUE(Raw_Data!D546), ""))</f>
        <v/>
      </c>
      <c r="E546" s="2" t="str">
        <f>IFERROR(LEFT(Raw_Data!E546,SEARCH("-",Raw_Data!E546)-1),"Review")</f>
        <v>DevOps</v>
      </c>
      <c r="F546" s="2" t="str">
        <f>IFERROR(_xlfn.TEXTAFTER(Raw_Data!E546,"-"),"Review")</f>
        <v>Florida</v>
      </c>
      <c r="G546" s="2" t="str">
        <f>IFERROR(TRIM(Raw_Data!F546), "Review")</f>
        <v>Inactive</v>
      </c>
      <c r="H546" s="3" t="str">
        <f>IFERROR(TEXT(Raw_Data!G546, "YYYY-MM-DD"),"Review")</f>
        <v>2024-07-31</v>
      </c>
      <c r="I546" s="4">
        <f>IF(Raw_Data!H546="", "", IFERROR(VALUE(Raw_Data!H546), ""))</f>
        <v>66450</v>
      </c>
      <c r="J546" s="2" t="str">
        <f>IF(Raw_Data!I546="", "", IF(ISNUMBER(FIND("@", Raw_Data!I546)), Raw_Data!I546, "Review"))</f>
        <v>david.smith@example.com</v>
      </c>
      <c r="K546" s="5" t="str">
        <f>IFERROR(TEXT(ABS(Raw_Data!J546), "0"), "Review")</f>
        <v>287675480</v>
      </c>
      <c r="L546" s="2" t="str">
        <f>IFERROR(TRIM(Raw_Data!K546), "Review")</f>
        <v>Average</v>
      </c>
      <c r="M546" s="2" t="b">
        <f>IF(Raw_Data!L546="", "",
    IF(ISLOGICAL(Raw_Data!L546), Raw_Data!L546,
        IF(OR(UPPER(Raw_Data!L546)="TRUE", UPPER(Raw_Data!L546)="YES", UPPER(Raw_Data!L546)="1"), TRUE,
            IF(OR(UPPER(Raw_Data!L546)="FALSE", UPPER(Raw_Data!L546)="NO", UPPER(Raw_Data!L546)="0"), FALSE, "Review")
        )
    )
)</f>
        <v>1</v>
      </c>
    </row>
    <row r="547" spans="1:13" x14ac:dyDescent="0.4">
      <c r="A547" s="2" t="str">
        <f>IFERROR(TRIM(Raw_Data!A547), "Review")</f>
        <v>EMP1545</v>
      </c>
      <c r="B547" s="2" t="str">
        <f>IFERROR(TRIM(Raw_Data!B547), "Review")</f>
        <v>Heidi</v>
      </c>
      <c r="C547" s="2" t="str">
        <f>IFERROR(TRIM(Raw_Data!C547), "Review")</f>
        <v>Garcia</v>
      </c>
      <c r="D547" s="2">
        <f>IF(Raw_Data!D547="", "", IFERROR(VALUE(Raw_Data!D547), ""))</f>
        <v>25</v>
      </c>
      <c r="E547" s="2" t="str">
        <f>IFERROR(LEFT(Raw_Data!E547,SEARCH("-",Raw_Data!E547)-1),"Review")</f>
        <v>Finance</v>
      </c>
      <c r="F547" s="2" t="str">
        <f>IFERROR(_xlfn.TEXTAFTER(Raw_Data!E547,"-"),"Review")</f>
        <v>Florida</v>
      </c>
      <c r="G547" s="2" t="str">
        <f>IFERROR(TRIM(Raw_Data!F547), "Review")</f>
        <v>Inactive</v>
      </c>
      <c r="H547" s="3" t="str">
        <f>IFERROR(TEXT(Raw_Data!G547, "YYYY-MM-DD"),"Review")</f>
        <v>2020-08-31</v>
      </c>
      <c r="I547" s="4">
        <f>IF(Raw_Data!H547="", "", IFERROR(VALUE(Raw_Data!H547), ""))</f>
        <v>118646.95</v>
      </c>
      <c r="J547" s="2" t="str">
        <f>IF(Raw_Data!I547="", "", IF(ISNUMBER(FIND("@", Raw_Data!I547)), Raw_Data!I547, "Review"))</f>
        <v>heidi.garcia@example.com</v>
      </c>
      <c r="K547" s="5" t="str">
        <f>IFERROR(TEXT(ABS(Raw_Data!J547), "0"), "Review")</f>
        <v>3866675484</v>
      </c>
      <c r="L547" s="2" t="str">
        <f>IFERROR(TRIM(Raw_Data!K547), "Review")</f>
        <v>Average</v>
      </c>
      <c r="M547" s="2" t="b">
        <f>IF(Raw_Data!L547="", "",
    IF(ISLOGICAL(Raw_Data!L547), Raw_Data!L547,
        IF(OR(UPPER(Raw_Data!L547)="TRUE", UPPER(Raw_Data!L547)="YES", UPPER(Raw_Data!L547)="1"), TRUE,
            IF(OR(UPPER(Raw_Data!L547)="FALSE", UPPER(Raw_Data!L547)="NO", UPPER(Raw_Data!L547)="0"), FALSE, "Review")
        )
    )
)</f>
        <v>0</v>
      </c>
    </row>
    <row r="548" spans="1:13" x14ac:dyDescent="0.4">
      <c r="A548" s="2" t="str">
        <f>IFERROR(TRIM(Raw_Data!A548), "Review")</f>
        <v>EMP1546</v>
      </c>
      <c r="B548" s="2" t="str">
        <f>IFERROR(TRIM(Raw_Data!B548), "Review")</f>
        <v>Alice</v>
      </c>
      <c r="C548" s="2" t="str">
        <f>IFERROR(TRIM(Raw_Data!C548), "Review")</f>
        <v>Jones</v>
      </c>
      <c r="D548" s="2">
        <f>IF(Raw_Data!D548="", "", IFERROR(VALUE(Raw_Data!D548), ""))</f>
        <v>25</v>
      </c>
      <c r="E548" s="2" t="str">
        <f>IFERROR(LEFT(Raw_Data!E548,SEARCH("-",Raw_Data!E548)-1),"Review")</f>
        <v>Finance</v>
      </c>
      <c r="F548" s="2" t="str">
        <f>IFERROR(_xlfn.TEXTAFTER(Raw_Data!E548,"-"),"Review")</f>
        <v>Florida</v>
      </c>
      <c r="G548" s="2" t="str">
        <f>IFERROR(TRIM(Raw_Data!F548), "Review")</f>
        <v>Active</v>
      </c>
      <c r="H548" s="3" t="str">
        <f>IFERROR(TEXT(Raw_Data!G548, "YYYY-MM-DD"),"Review")</f>
        <v>2023-02-15</v>
      </c>
      <c r="I548" s="4">
        <f>IF(Raw_Data!H548="", "", IFERROR(VALUE(Raw_Data!H548), ""))</f>
        <v>88436.92</v>
      </c>
      <c r="J548" s="2" t="str">
        <f>IF(Raw_Data!I548="", "", IF(ISNUMBER(FIND("@", Raw_Data!I548)), Raw_Data!I548, "Review"))</f>
        <v>alice.jones@example.com</v>
      </c>
      <c r="K548" s="5" t="str">
        <f>IFERROR(TEXT(ABS(Raw_Data!J548), "0"), "Review")</f>
        <v>8193242686</v>
      </c>
      <c r="L548" s="2" t="str">
        <f>IFERROR(TRIM(Raw_Data!K548), "Review")</f>
        <v>Excellent</v>
      </c>
      <c r="M548" s="2" t="b">
        <f>IF(Raw_Data!L548="", "",
    IF(ISLOGICAL(Raw_Data!L548), Raw_Data!L548,
        IF(OR(UPPER(Raw_Data!L548)="TRUE", UPPER(Raw_Data!L548)="YES", UPPER(Raw_Data!L548)="1"), TRUE,
            IF(OR(UPPER(Raw_Data!L548)="FALSE", UPPER(Raw_Data!L548)="NO", UPPER(Raw_Data!L548)="0"), FALSE, "Review")
        )
    )
)</f>
        <v>0</v>
      </c>
    </row>
    <row r="549" spans="1:13" x14ac:dyDescent="0.4">
      <c r="A549" s="2" t="str">
        <f>IFERROR(TRIM(Raw_Data!A549), "Review")</f>
        <v>EMP1547</v>
      </c>
      <c r="B549" s="2" t="str">
        <f>IFERROR(TRIM(Raw_Data!B549), "Review")</f>
        <v>Eva</v>
      </c>
      <c r="C549" s="2" t="str">
        <f>IFERROR(TRIM(Raw_Data!C549), "Review")</f>
        <v>Brown</v>
      </c>
      <c r="D549" s="2" t="str">
        <f>IF(Raw_Data!D549="", "", IFERROR(VALUE(Raw_Data!D549), ""))</f>
        <v/>
      </c>
      <c r="E549" s="2" t="str">
        <f>IFERROR(LEFT(Raw_Data!E549,SEARCH("-",Raw_Data!E549)-1),"Review")</f>
        <v>Sales</v>
      </c>
      <c r="F549" s="2" t="str">
        <f>IFERROR(_xlfn.TEXTAFTER(Raw_Data!E549,"-"),"Review")</f>
        <v>New York</v>
      </c>
      <c r="G549" s="2" t="str">
        <f>IFERROR(TRIM(Raw_Data!F549), "Review")</f>
        <v>Pending</v>
      </c>
      <c r="H549" s="3" t="str">
        <f>IFERROR(TEXT(Raw_Data!G549, "YYYY-MM-DD"),"Review")</f>
        <v>2023-10-07</v>
      </c>
      <c r="I549" s="4">
        <f>IF(Raw_Data!H549="", "", IFERROR(VALUE(Raw_Data!H549), ""))</f>
        <v>81934.55</v>
      </c>
      <c r="J549" s="2" t="str">
        <f>IF(Raw_Data!I549="", "", IF(ISNUMBER(FIND("@", Raw_Data!I549)), Raw_Data!I549, "Review"))</f>
        <v>eva.brown@example.com</v>
      </c>
      <c r="K549" s="5" t="str">
        <f>IFERROR(TEXT(ABS(Raw_Data!J549), "0"), "Review")</f>
        <v>7418652056</v>
      </c>
      <c r="L549" s="2" t="str">
        <f>IFERROR(TRIM(Raw_Data!K549), "Review")</f>
        <v>Poor</v>
      </c>
      <c r="M549" s="2" t="b">
        <f>IF(Raw_Data!L549="", "",
    IF(ISLOGICAL(Raw_Data!L549), Raw_Data!L549,
        IF(OR(UPPER(Raw_Data!L549)="TRUE", UPPER(Raw_Data!L549)="YES", UPPER(Raw_Data!L549)="1"), TRUE,
            IF(OR(UPPER(Raw_Data!L549)="FALSE", UPPER(Raw_Data!L549)="NO", UPPER(Raw_Data!L549)="0"), FALSE, "Review")
        )
    )
)</f>
        <v>0</v>
      </c>
    </row>
    <row r="550" spans="1:13" x14ac:dyDescent="0.4">
      <c r="A550" s="2" t="str">
        <f>IFERROR(TRIM(Raw_Data!A550), "Review")</f>
        <v>EMP1548</v>
      </c>
      <c r="B550" s="2" t="str">
        <f>IFERROR(TRIM(Raw_Data!B550), "Review")</f>
        <v>Alice</v>
      </c>
      <c r="C550" s="2" t="str">
        <f>IFERROR(TRIM(Raw_Data!C550), "Review")</f>
        <v>Johnson</v>
      </c>
      <c r="D550" s="2">
        <f>IF(Raw_Data!D550="", "", IFERROR(VALUE(Raw_Data!D550), ""))</f>
        <v>30</v>
      </c>
      <c r="E550" s="2" t="str">
        <f>IFERROR(LEFT(Raw_Data!E550,SEARCH("-",Raw_Data!E550)-1),"Review")</f>
        <v>Finance</v>
      </c>
      <c r="F550" s="2" t="str">
        <f>IFERROR(_xlfn.TEXTAFTER(Raw_Data!E550,"-"),"Review")</f>
        <v>California</v>
      </c>
      <c r="G550" s="2" t="str">
        <f>IFERROR(TRIM(Raw_Data!F550), "Review")</f>
        <v>Pending</v>
      </c>
      <c r="H550" s="3" t="str">
        <f>IFERROR(TEXT(Raw_Data!G550, "YYYY-MM-DD"),"Review")</f>
        <v>2024-04-20</v>
      </c>
      <c r="I550" s="4">
        <f>IF(Raw_Data!H550="", "", IFERROR(VALUE(Raw_Data!H550), ""))</f>
        <v>93383.06</v>
      </c>
      <c r="J550" s="2" t="str">
        <f>IF(Raw_Data!I550="", "", IF(ISNUMBER(FIND("@", Raw_Data!I550)), Raw_Data!I550, "Review"))</f>
        <v>alice.johnson@example.com</v>
      </c>
      <c r="K550" s="5" t="str">
        <f>IFERROR(TEXT(ABS(Raw_Data!J550), "0"), "Review")</f>
        <v>5639836519</v>
      </c>
      <c r="L550" s="2" t="str">
        <f>IFERROR(TRIM(Raw_Data!K550), "Review")</f>
        <v>Average</v>
      </c>
      <c r="M550" s="2" t="b">
        <f>IF(Raw_Data!L550="", "",
    IF(ISLOGICAL(Raw_Data!L550), Raw_Data!L550,
        IF(OR(UPPER(Raw_Data!L550)="TRUE", UPPER(Raw_Data!L550)="YES", UPPER(Raw_Data!L550)="1"), TRUE,
            IF(OR(UPPER(Raw_Data!L550)="FALSE", UPPER(Raw_Data!L550)="NO", UPPER(Raw_Data!L550)="0"), FALSE, "Review")
        )
    )
)</f>
        <v>0</v>
      </c>
    </row>
    <row r="551" spans="1:13" x14ac:dyDescent="0.4">
      <c r="A551" s="2" t="str">
        <f>IFERROR(TRIM(Raw_Data!A551), "Review")</f>
        <v>EMP1549</v>
      </c>
      <c r="B551" s="2" t="str">
        <f>IFERROR(TRIM(Raw_Data!B551), "Review")</f>
        <v>Frank</v>
      </c>
      <c r="C551" s="2" t="str">
        <f>IFERROR(TRIM(Raw_Data!C551), "Review")</f>
        <v>Davis</v>
      </c>
      <c r="D551" s="2">
        <f>IF(Raw_Data!D551="", "", IFERROR(VALUE(Raw_Data!D551), ""))</f>
        <v>40</v>
      </c>
      <c r="E551" s="2" t="str">
        <f>IFERROR(LEFT(Raw_Data!E551,SEARCH("-",Raw_Data!E551)-1),"Review")</f>
        <v>Cloud Tech</v>
      </c>
      <c r="F551" s="2" t="str">
        <f>IFERROR(_xlfn.TEXTAFTER(Raw_Data!E551,"-"),"Review")</f>
        <v>Texas</v>
      </c>
      <c r="G551" s="2" t="str">
        <f>IFERROR(TRIM(Raw_Data!F551), "Review")</f>
        <v>Pending</v>
      </c>
      <c r="H551" s="3" t="str">
        <f>IFERROR(TEXT(Raw_Data!G551, "YYYY-MM-DD"),"Review")</f>
        <v>2021-03-30</v>
      </c>
      <c r="I551" s="4">
        <f>IF(Raw_Data!H551="", "", IFERROR(VALUE(Raw_Data!H551), ""))</f>
        <v>50153.79</v>
      </c>
      <c r="J551" s="2" t="str">
        <f>IF(Raw_Data!I551="", "", IF(ISNUMBER(FIND("@", Raw_Data!I551)), Raw_Data!I551, "Review"))</f>
        <v>frank.davis@example.com</v>
      </c>
      <c r="K551" s="5" t="str">
        <f>IFERROR(TEXT(ABS(Raw_Data!J551), "0"), "Review")</f>
        <v>3758309450</v>
      </c>
      <c r="L551" s="2" t="str">
        <f>IFERROR(TRIM(Raw_Data!K551), "Review")</f>
        <v>Good</v>
      </c>
      <c r="M551" s="2" t="b">
        <f>IF(Raw_Data!L551="", "",
    IF(ISLOGICAL(Raw_Data!L551), Raw_Data!L551,
        IF(OR(UPPER(Raw_Data!L551)="TRUE", UPPER(Raw_Data!L551)="YES", UPPER(Raw_Data!L551)="1"), TRUE,
            IF(OR(UPPER(Raw_Data!L551)="FALSE", UPPER(Raw_Data!L551)="NO", UPPER(Raw_Data!L551)="0"), FALSE, "Review")
        )
    )
)</f>
        <v>1</v>
      </c>
    </row>
    <row r="552" spans="1:13" x14ac:dyDescent="0.4">
      <c r="A552" s="2" t="str">
        <f>IFERROR(TRIM(Raw_Data!A552), "Review")</f>
        <v>EMP1550</v>
      </c>
      <c r="B552" s="2" t="str">
        <f>IFERROR(TRIM(Raw_Data!B552), "Review")</f>
        <v>Eva</v>
      </c>
      <c r="C552" s="2" t="str">
        <f>IFERROR(TRIM(Raw_Data!C552), "Review")</f>
        <v>Smith</v>
      </c>
      <c r="D552" s="2" t="str">
        <f>IF(Raw_Data!D552="", "", IFERROR(VALUE(Raw_Data!D552), ""))</f>
        <v/>
      </c>
      <c r="E552" s="2" t="str">
        <f>IFERROR(LEFT(Raw_Data!E552,SEARCH("-",Raw_Data!E552)-1),"Review")</f>
        <v>Sales</v>
      </c>
      <c r="F552" s="2" t="str">
        <f>IFERROR(_xlfn.TEXTAFTER(Raw_Data!E552,"-"),"Review")</f>
        <v>California</v>
      </c>
      <c r="G552" s="2" t="str">
        <f>IFERROR(TRIM(Raw_Data!F552), "Review")</f>
        <v>Pending</v>
      </c>
      <c r="H552" s="3" t="str">
        <f>IFERROR(TEXT(Raw_Data!G552, "YYYY-MM-DD"),"Review")</f>
        <v>2020-08-05</v>
      </c>
      <c r="I552" s="4">
        <f>IF(Raw_Data!H552="", "", IFERROR(VALUE(Raw_Data!H552), ""))</f>
        <v>53204.47</v>
      </c>
      <c r="J552" s="2" t="str">
        <f>IF(Raw_Data!I552="", "", IF(ISNUMBER(FIND("@", Raw_Data!I552)), Raw_Data!I552, "Review"))</f>
        <v>eva.smith@example.com</v>
      </c>
      <c r="K552" s="5" t="str">
        <f>IFERROR(TEXT(ABS(Raw_Data!J552), "0"), "Review")</f>
        <v>5480940475</v>
      </c>
      <c r="L552" s="2" t="str">
        <f>IFERROR(TRIM(Raw_Data!K552), "Review")</f>
        <v>Good</v>
      </c>
      <c r="M552" s="2" t="b">
        <f>IF(Raw_Data!L552="", "",
    IF(ISLOGICAL(Raw_Data!L552), Raw_Data!L552,
        IF(OR(UPPER(Raw_Data!L552)="TRUE", UPPER(Raw_Data!L552)="YES", UPPER(Raw_Data!L552)="1"), TRUE,
            IF(OR(UPPER(Raw_Data!L552)="FALSE", UPPER(Raw_Data!L552)="NO", UPPER(Raw_Data!L552)="0"), FALSE, "Review")
        )
    )
)</f>
        <v>0</v>
      </c>
    </row>
    <row r="553" spans="1:13" x14ac:dyDescent="0.4">
      <c r="A553" s="2" t="str">
        <f>IFERROR(TRIM(Raw_Data!A553), "Review")</f>
        <v>EMP1551</v>
      </c>
      <c r="B553" s="2" t="str">
        <f>IFERROR(TRIM(Raw_Data!B553), "Review")</f>
        <v>Charlie</v>
      </c>
      <c r="C553" s="2" t="str">
        <f>IFERROR(TRIM(Raw_Data!C553), "Review")</f>
        <v>Brown</v>
      </c>
      <c r="D553" s="2">
        <f>IF(Raw_Data!D553="", "", IFERROR(VALUE(Raw_Data!D553), ""))</f>
        <v>40</v>
      </c>
      <c r="E553" s="2" t="str">
        <f>IFERROR(LEFT(Raw_Data!E553,SEARCH("-",Raw_Data!E553)-1),"Review")</f>
        <v>Cloud Tech</v>
      </c>
      <c r="F553" s="2" t="str">
        <f>IFERROR(_xlfn.TEXTAFTER(Raw_Data!E553,"-"),"Review")</f>
        <v>California</v>
      </c>
      <c r="G553" s="2" t="str">
        <f>IFERROR(TRIM(Raw_Data!F553), "Review")</f>
        <v>Pending</v>
      </c>
      <c r="H553" s="3" t="str">
        <f>IFERROR(TEXT(Raw_Data!G553, "YYYY-MM-DD"),"Review")</f>
        <v>2021-02-05</v>
      </c>
      <c r="I553" s="4">
        <f>IF(Raw_Data!H553="", "", IFERROR(VALUE(Raw_Data!H553), ""))</f>
        <v>63128.04</v>
      </c>
      <c r="J553" s="2" t="str">
        <f>IF(Raw_Data!I553="", "", IF(ISNUMBER(FIND("@", Raw_Data!I553)), Raw_Data!I553, "Review"))</f>
        <v>charlie.brown@example.com</v>
      </c>
      <c r="K553" s="5" t="str">
        <f>IFERROR(TEXT(ABS(Raw_Data!J553), "0"), "Review")</f>
        <v>440907976</v>
      </c>
      <c r="L553" s="2" t="str">
        <f>IFERROR(TRIM(Raw_Data!K553), "Review")</f>
        <v>Poor</v>
      </c>
      <c r="M553" s="2" t="b">
        <f>IF(Raw_Data!L553="", "",
    IF(ISLOGICAL(Raw_Data!L553), Raw_Data!L553,
        IF(OR(UPPER(Raw_Data!L553)="TRUE", UPPER(Raw_Data!L553)="YES", UPPER(Raw_Data!L553)="1"), TRUE,
            IF(OR(UPPER(Raw_Data!L553)="FALSE", UPPER(Raw_Data!L553)="NO", UPPER(Raw_Data!L553)="0"), FALSE, "Review")
        )
    )
)</f>
        <v>0</v>
      </c>
    </row>
    <row r="554" spans="1:13" x14ac:dyDescent="0.4">
      <c r="A554" s="2" t="str">
        <f>IFERROR(TRIM(Raw_Data!A554), "Review")</f>
        <v>EMP1552</v>
      </c>
      <c r="B554" s="2" t="str">
        <f>IFERROR(TRIM(Raw_Data!B554), "Review")</f>
        <v>Grace</v>
      </c>
      <c r="C554" s="2" t="str">
        <f>IFERROR(TRIM(Raw_Data!C554), "Review")</f>
        <v>Jones</v>
      </c>
      <c r="D554" s="2">
        <f>IF(Raw_Data!D554="", "", IFERROR(VALUE(Raw_Data!D554), ""))</f>
        <v>30</v>
      </c>
      <c r="E554" s="2" t="str">
        <f>IFERROR(LEFT(Raw_Data!E554,SEARCH("-",Raw_Data!E554)-1),"Review")</f>
        <v>Finance</v>
      </c>
      <c r="F554" s="2" t="str">
        <f>IFERROR(_xlfn.TEXTAFTER(Raw_Data!E554,"-"),"Review")</f>
        <v>New York</v>
      </c>
      <c r="G554" s="2" t="str">
        <f>IFERROR(TRIM(Raw_Data!F554), "Review")</f>
        <v>Pending</v>
      </c>
      <c r="H554" s="3" t="str">
        <f>IFERROR(TEXT(Raw_Data!G554, "YYYY-MM-DD"),"Review")</f>
        <v>2021-11-23</v>
      </c>
      <c r="I554" s="4">
        <f>IF(Raw_Data!H554="", "", IFERROR(VALUE(Raw_Data!H554), ""))</f>
        <v>57543.6</v>
      </c>
      <c r="J554" s="2" t="str">
        <f>IF(Raw_Data!I554="", "", IF(ISNUMBER(FIND("@", Raw_Data!I554)), Raw_Data!I554, "Review"))</f>
        <v>grace.jones@example.com</v>
      </c>
      <c r="K554" s="5" t="str">
        <f>IFERROR(TEXT(ABS(Raw_Data!J554), "0"), "Review")</f>
        <v>2781050921</v>
      </c>
      <c r="L554" s="2" t="str">
        <f>IFERROR(TRIM(Raw_Data!K554), "Review")</f>
        <v>Good</v>
      </c>
      <c r="M554" s="2" t="b">
        <f>IF(Raw_Data!L554="", "",
    IF(ISLOGICAL(Raw_Data!L554), Raw_Data!L554,
        IF(OR(UPPER(Raw_Data!L554)="TRUE", UPPER(Raw_Data!L554)="YES", UPPER(Raw_Data!L554)="1"), TRUE,
            IF(OR(UPPER(Raw_Data!L554)="FALSE", UPPER(Raw_Data!L554)="NO", UPPER(Raw_Data!L554)="0"), FALSE, "Review")
        )
    )
)</f>
        <v>1</v>
      </c>
    </row>
    <row r="555" spans="1:13" x14ac:dyDescent="0.4">
      <c r="A555" s="2" t="str">
        <f>IFERROR(TRIM(Raw_Data!A555), "Review")</f>
        <v>EMP1553</v>
      </c>
      <c r="B555" s="2" t="str">
        <f>IFERROR(TRIM(Raw_Data!B555), "Review")</f>
        <v>Bob</v>
      </c>
      <c r="C555" s="2" t="str">
        <f>IFERROR(TRIM(Raw_Data!C555), "Review")</f>
        <v>Brown</v>
      </c>
      <c r="D555" s="2">
        <f>IF(Raw_Data!D555="", "", IFERROR(VALUE(Raw_Data!D555), ""))</f>
        <v>40</v>
      </c>
      <c r="E555" s="2" t="str">
        <f>IFERROR(LEFT(Raw_Data!E555,SEARCH("-",Raw_Data!E555)-1),"Review")</f>
        <v>Finance</v>
      </c>
      <c r="F555" s="2" t="str">
        <f>IFERROR(_xlfn.TEXTAFTER(Raw_Data!E555,"-"),"Review")</f>
        <v>Nevada</v>
      </c>
      <c r="G555" s="2" t="str">
        <f>IFERROR(TRIM(Raw_Data!F555), "Review")</f>
        <v>Pending</v>
      </c>
      <c r="H555" s="3" t="str">
        <f>IFERROR(TEXT(Raw_Data!G555, "YYYY-MM-DD"),"Review")</f>
        <v>2022-10-29</v>
      </c>
      <c r="I555" s="4">
        <f>IF(Raw_Data!H555="", "", IFERROR(VALUE(Raw_Data!H555), ""))</f>
        <v>59424.52</v>
      </c>
      <c r="J555" s="2" t="str">
        <f>IF(Raw_Data!I555="", "", IF(ISNUMBER(FIND("@", Raw_Data!I555)), Raw_Data!I555, "Review"))</f>
        <v>bob.brown@example.com</v>
      </c>
      <c r="K555" s="5" t="str">
        <f>IFERROR(TEXT(ABS(Raw_Data!J555), "0"), "Review")</f>
        <v>2161070517</v>
      </c>
      <c r="L555" s="2" t="str">
        <f>IFERROR(TRIM(Raw_Data!K555), "Review")</f>
        <v>Good</v>
      </c>
      <c r="M555" s="2" t="b">
        <f>IF(Raw_Data!L555="", "",
    IF(ISLOGICAL(Raw_Data!L555), Raw_Data!L555,
        IF(OR(UPPER(Raw_Data!L555)="TRUE", UPPER(Raw_Data!L555)="YES", UPPER(Raw_Data!L555)="1"), TRUE,
            IF(OR(UPPER(Raw_Data!L555)="FALSE", UPPER(Raw_Data!L555)="NO", UPPER(Raw_Data!L555)="0"), FALSE, "Review")
        )
    )
)</f>
        <v>0</v>
      </c>
    </row>
    <row r="556" spans="1:13" x14ac:dyDescent="0.4">
      <c r="A556" s="2" t="str">
        <f>IFERROR(TRIM(Raw_Data!A556), "Review")</f>
        <v>EMP1554</v>
      </c>
      <c r="B556" s="2" t="str">
        <f>IFERROR(TRIM(Raw_Data!B556), "Review")</f>
        <v>Alice</v>
      </c>
      <c r="C556" s="2" t="str">
        <f>IFERROR(TRIM(Raw_Data!C556), "Review")</f>
        <v>Smith</v>
      </c>
      <c r="D556" s="2" t="str">
        <f>IF(Raw_Data!D556="", "", IFERROR(VALUE(Raw_Data!D556), ""))</f>
        <v/>
      </c>
      <c r="E556" s="2" t="str">
        <f>IFERROR(LEFT(Raw_Data!E556,SEARCH("-",Raw_Data!E556)-1),"Review")</f>
        <v>Finance</v>
      </c>
      <c r="F556" s="2" t="str">
        <f>IFERROR(_xlfn.TEXTAFTER(Raw_Data!E556,"-"),"Review")</f>
        <v>Illinois</v>
      </c>
      <c r="G556" s="2" t="str">
        <f>IFERROR(TRIM(Raw_Data!F556), "Review")</f>
        <v>Inactive</v>
      </c>
      <c r="H556" s="3" t="str">
        <f>IFERROR(TEXT(Raw_Data!G556, "YYYY-MM-DD"),"Review")</f>
        <v>2022-11-07</v>
      </c>
      <c r="I556" s="4">
        <f>IF(Raw_Data!H556="", "", IFERROR(VALUE(Raw_Data!H556), ""))</f>
        <v>104675.7</v>
      </c>
      <c r="J556" s="2" t="str">
        <f>IF(Raw_Data!I556="", "", IF(ISNUMBER(FIND("@", Raw_Data!I556)), Raw_Data!I556, "Review"))</f>
        <v>alice.smith@example.com</v>
      </c>
      <c r="K556" s="5" t="str">
        <f>IFERROR(TEXT(ABS(Raw_Data!J556), "0"), "Review")</f>
        <v>4390552957</v>
      </c>
      <c r="L556" s="2" t="str">
        <f>IFERROR(TRIM(Raw_Data!K556), "Review")</f>
        <v>Poor</v>
      </c>
      <c r="M556" s="2" t="b">
        <f>IF(Raw_Data!L556="", "",
    IF(ISLOGICAL(Raw_Data!L556), Raw_Data!L556,
        IF(OR(UPPER(Raw_Data!L556)="TRUE", UPPER(Raw_Data!L556)="YES", UPPER(Raw_Data!L556)="1"), TRUE,
            IF(OR(UPPER(Raw_Data!L556)="FALSE", UPPER(Raw_Data!L556)="NO", UPPER(Raw_Data!L556)="0"), FALSE, "Review")
        )
    )
)</f>
        <v>1</v>
      </c>
    </row>
    <row r="557" spans="1:13" x14ac:dyDescent="0.4">
      <c r="A557" s="2" t="str">
        <f>IFERROR(TRIM(Raw_Data!A557), "Review")</f>
        <v>EMP1555</v>
      </c>
      <c r="B557" s="2" t="str">
        <f>IFERROR(TRIM(Raw_Data!B557), "Review")</f>
        <v>Charlie</v>
      </c>
      <c r="C557" s="2" t="str">
        <f>IFERROR(TRIM(Raw_Data!C557), "Review")</f>
        <v>Garcia</v>
      </c>
      <c r="D557" s="2">
        <f>IF(Raw_Data!D557="", "", IFERROR(VALUE(Raw_Data!D557), ""))</f>
        <v>30</v>
      </c>
      <c r="E557" s="2" t="str">
        <f>IFERROR(LEFT(Raw_Data!E557,SEARCH("-",Raw_Data!E557)-1),"Review")</f>
        <v>Cloud Tech</v>
      </c>
      <c r="F557" s="2" t="str">
        <f>IFERROR(_xlfn.TEXTAFTER(Raw_Data!E557,"-"),"Review")</f>
        <v>Florida</v>
      </c>
      <c r="G557" s="2" t="str">
        <f>IFERROR(TRIM(Raw_Data!F557), "Review")</f>
        <v>Pending</v>
      </c>
      <c r="H557" s="3" t="str">
        <f>IFERROR(TEXT(Raw_Data!G557, "YYYY-MM-DD"),"Review")</f>
        <v>2023-05-14</v>
      </c>
      <c r="I557" s="4">
        <f>IF(Raw_Data!H557="", "", IFERROR(VALUE(Raw_Data!H557), ""))</f>
        <v>92431.25</v>
      </c>
      <c r="J557" s="2" t="str">
        <f>IF(Raw_Data!I557="", "", IF(ISNUMBER(FIND("@", Raw_Data!I557)), Raw_Data!I557, "Review"))</f>
        <v>charlie.garcia@example.com</v>
      </c>
      <c r="K557" s="5" t="str">
        <f>IFERROR(TEXT(ABS(Raw_Data!J557), "0"), "Review")</f>
        <v>660138240</v>
      </c>
      <c r="L557" s="2" t="str">
        <f>IFERROR(TRIM(Raw_Data!K557), "Review")</f>
        <v>Average</v>
      </c>
      <c r="M557" s="2" t="b">
        <f>IF(Raw_Data!L557="", "",
    IF(ISLOGICAL(Raw_Data!L557), Raw_Data!L557,
        IF(OR(UPPER(Raw_Data!L557)="TRUE", UPPER(Raw_Data!L557)="YES", UPPER(Raw_Data!L557)="1"), TRUE,
            IF(OR(UPPER(Raw_Data!L557)="FALSE", UPPER(Raw_Data!L557)="NO", UPPER(Raw_Data!L557)="0"), FALSE, "Review")
        )
    )
)</f>
        <v>0</v>
      </c>
    </row>
    <row r="558" spans="1:13" x14ac:dyDescent="0.4">
      <c r="A558" s="2" t="str">
        <f>IFERROR(TRIM(Raw_Data!A558), "Review")</f>
        <v>EMP1556</v>
      </c>
      <c r="B558" s="2" t="str">
        <f>IFERROR(TRIM(Raw_Data!B558), "Review")</f>
        <v>Grace</v>
      </c>
      <c r="C558" s="2" t="str">
        <f>IFERROR(TRIM(Raw_Data!C558), "Review")</f>
        <v>Garcia</v>
      </c>
      <c r="D558" s="2">
        <f>IF(Raw_Data!D558="", "", IFERROR(VALUE(Raw_Data!D558), ""))</f>
        <v>40</v>
      </c>
      <c r="E558" s="2" t="str">
        <f>IFERROR(LEFT(Raw_Data!E558,SEARCH("-",Raw_Data!E558)-1),"Review")</f>
        <v>Sales</v>
      </c>
      <c r="F558" s="2" t="str">
        <f>IFERROR(_xlfn.TEXTAFTER(Raw_Data!E558,"-"),"Review")</f>
        <v>Nevada</v>
      </c>
      <c r="G558" s="2" t="str">
        <f>IFERROR(TRIM(Raw_Data!F558), "Review")</f>
        <v>Active</v>
      </c>
      <c r="H558" s="3" t="str">
        <f>IFERROR(TEXT(Raw_Data!G558, "YYYY-MM-DD"),"Review")</f>
        <v>2021-07-14</v>
      </c>
      <c r="I558" s="4">
        <f>IF(Raw_Data!H558="", "", IFERROR(VALUE(Raw_Data!H558), ""))</f>
        <v>77850.899999999994</v>
      </c>
      <c r="J558" s="2" t="str">
        <f>IF(Raw_Data!I558="", "", IF(ISNUMBER(FIND("@", Raw_Data!I558)), Raw_Data!I558, "Review"))</f>
        <v>grace.garcia@example.com</v>
      </c>
      <c r="K558" s="5" t="str">
        <f>IFERROR(TEXT(ABS(Raw_Data!J558), "0"), "Review")</f>
        <v>2704938619</v>
      </c>
      <c r="L558" s="2" t="str">
        <f>IFERROR(TRIM(Raw_Data!K558), "Review")</f>
        <v>Average</v>
      </c>
      <c r="M558" s="2" t="b">
        <f>IF(Raw_Data!L558="", "",
    IF(ISLOGICAL(Raw_Data!L558), Raw_Data!L558,
        IF(OR(UPPER(Raw_Data!L558)="TRUE", UPPER(Raw_Data!L558)="YES", UPPER(Raw_Data!L558)="1"), TRUE,
            IF(OR(UPPER(Raw_Data!L558)="FALSE", UPPER(Raw_Data!L558)="NO", UPPER(Raw_Data!L558)="0"), FALSE, "Review")
        )
    )
)</f>
        <v>1</v>
      </c>
    </row>
    <row r="559" spans="1:13" x14ac:dyDescent="0.4">
      <c r="A559" s="2" t="str">
        <f>IFERROR(TRIM(Raw_Data!A559), "Review")</f>
        <v>EMP1557</v>
      </c>
      <c r="B559" s="2" t="str">
        <f>IFERROR(TRIM(Raw_Data!B559), "Review")</f>
        <v>Eva</v>
      </c>
      <c r="C559" s="2" t="str">
        <f>IFERROR(TRIM(Raw_Data!C559), "Review")</f>
        <v>Miller</v>
      </c>
      <c r="D559" s="2">
        <f>IF(Raw_Data!D559="", "", IFERROR(VALUE(Raw_Data!D559), ""))</f>
        <v>40</v>
      </c>
      <c r="E559" s="2" t="str">
        <f>IFERROR(LEFT(Raw_Data!E559,SEARCH("-",Raw_Data!E559)-1),"Review")</f>
        <v>Admin</v>
      </c>
      <c r="F559" s="2" t="str">
        <f>IFERROR(_xlfn.TEXTAFTER(Raw_Data!E559,"-"),"Review")</f>
        <v>New York</v>
      </c>
      <c r="G559" s="2" t="str">
        <f>IFERROR(TRIM(Raw_Data!F559), "Review")</f>
        <v>Inactive</v>
      </c>
      <c r="H559" s="3" t="str">
        <f>IFERROR(TEXT(Raw_Data!G559, "YYYY-MM-DD"),"Review")</f>
        <v>2023-05-18</v>
      </c>
      <c r="I559" s="4">
        <f>IF(Raw_Data!H559="", "", IFERROR(VALUE(Raw_Data!H559), ""))</f>
        <v>99001</v>
      </c>
      <c r="J559" s="2" t="str">
        <f>IF(Raw_Data!I559="", "", IF(ISNUMBER(FIND("@", Raw_Data!I559)), Raw_Data!I559, "Review"))</f>
        <v>eva.miller@example.com</v>
      </c>
      <c r="K559" s="5" t="str">
        <f>IFERROR(TEXT(ABS(Raw_Data!J559), "0"), "Review")</f>
        <v>4485157918</v>
      </c>
      <c r="L559" s="2" t="str">
        <f>IFERROR(TRIM(Raw_Data!K559), "Review")</f>
        <v>Good</v>
      </c>
      <c r="M559" s="2" t="b">
        <f>IF(Raw_Data!L559="", "",
    IF(ISLOGICAL(Raw_Data!L559), Raw_Data!L559,
        IF(OR(UPPER(Raw_Data!L559)="TRUE", UPPER(Raw_Data!L559)="YES", UPPER(Raw_Data!L559)="1"), TRUE,
            IF(OR(UPPER(Raw_Data!L559)="FALSE", UPPER(Raw_Data!L559)="NO", UPPER(Raw_Data!L559)="0"), FALSE, "Review")
        )
    )
)</f>
        <v>1</v>
      </c>
    </row>
    <row r="560" spans="1:13" x14ac:dyDescent="0.4">
      <c r="A560" s="2" t="str">
        <f>IFERROR(TRIM(Raw_Data!A560), "Review")</f>
        <v>EMP1558</v>
      </c>
      <c r="B560" s="2" t="str">
        <f>IFERROR(TRIM(Raw_Data!B560), "Review")</f>
        <v>Eva</v>
      </c>
      <c r="C560" s="2" t="str">
        <f>IFERROR(TRIM(Raw_Data!C560), "Review")</f>
        <v>Garcia</v>
      </c>
      <c r="D560" s="2" t="str">
        <f>IF(Raw_Data!D560="", "", IFERROR(VALUE(Raw_Data!D560), ""))</f>
        <v/>
      </c>
      <c r="E560" s="2" t="str">
        <f>IFERROR(LEFT(Raw_Data!E560,SEARCH("-",Raw_Data!E560)-1),"Review")</f>
        <v>HR</v>
      </c>
      <c r="F560" s="2" t="str">
        <f>IFERROR(_xlfn.TEXTAFTER(Raw_Data!E560,"-"),"Review")</f>
        <v>Nevada</v>
      </c>
      <c r="G560" s="2" t="str">
        <f>IFERROR(TRIM(Raw_Data!F560), "Review")</f>
        <v>Pending</v>
      </c>
      <c r="H560" s="3" t="str">
        <f>IFERROR(TEXT(Raw_Data!G560, "YYYY-MM-DD"),"Review")</f>
        <v>2023-02-07</v>
      </c>
      <c r="I560" s="4">
        <f>IF(Raw_Data!H560="", "", IFERROR(VALUE(Raw_Data!H560), ""))</f>
        <v>94280.83</v>
      </c>
      <c r="J560" s="2" t="str">
        <f>IF(Raw_Data!I560="", "", IF(ISNUMBER(FIND("@", Raw_Data!I560)), Raw_Data!I560, "Review"))</f>
        <v>eva.garcia@example.com</v>
      </c>
      <c r="K560" s="5" t="str">
        <f>IFERROR(TEXT(ABS(Raw_Data!J560), "0"), "Review")</f>
        <v>7111212589</v>
      </c>
      <c r="L560" s="2" t="str">
        <f>IFERROR(TRIM(Raw_Data!K560), "Review")</f>
        <v>Good</v>
      </c>
      <c r="M560" s="2" t="b">
        <f>IF(Raw_Data!L560="", "",
    IF(ISLOGICAL(Raw_Data!L560), Raw_Data!L560,
        IF(OR(UPPER(Raw_Data!L560)="TRUE", UPPER(Raw_Data!L560)="YES", UPPER(Raw_Data!L560)="1"), TRUE,
            IF(OR(UPPER(Raw_Data!L560)="FALSE", UPPER(Raw_Data!L560)="NO", UPPER(Raw_Data!L560)="0"), FALSE, "Review")
        )
    )
)</f>
        <v>1</v>
      </c>
    </row>
    <row r="561" spans="1:13" x14ac:dyDescent="0.4">
      <c r="A561" s="2" t="str">
        <f>IFERROR(TRIM(Raw_Data!A561), "Review")</f>
        <v>EMP1559</v>
      </c>
      <c r="B561" s="2" t="str">
        <f>IFERROR(TRIM(Raw_Data!B561), "Review")</f>
        <v>Eva</v>
      </c>
      <c r="C561" s="2" t="str">
        <f>IFERROR(TRIM(Raw_Data!C561), "Review")</f>
        <v>Miller</v>
      </c>
      <c r="D561" s="2">
        <f>IF(Raw_Data!D561="", "", IFERROR(VALUE(Raw_Data!D561), ""))</f>
        <v>35</v>
      </c>
      <c r="E561" s="2" t="str">
        <f>IFERROR(LEFT(Raw_Data!E561,SEARCH("-",Raw_Data!E561)-1),"Review")</f>
        <v>DevOps</v>
      </c>
      <c r="F561" s="2" t="str">
        <f>IFERROR(_xlfn.TEXTAFTER(Raw_Data!E561,"-"),"Review")</f>
        <v>New York</v>
      </c>
      <c r="G561" s="2" t="str">
        <f>IFERROR(TRIM(Raw_Data!F561), "Review")</f>
        <v>Pending</v>
      </c>
      <c r="H561" s="3" t="str">
        <f>IFERROR(TEXT(Raw_Data!G561, "YYYY-MM-DD"),"Review")</f>
        <v>2023-08-24</v>
      </c>
      <c r="I561" s="4">
        <f>IF(Raw_Data!H561="", "", IFERROR(VALUE(Raw_Data!H561), ""))</f>
        <v>118262.56</v>
      </c>
      <c r="J561" s="2" t="str">
        <f>IF(Raw_Data!I561="", "", IF(ISNUMBER(FIND("@", Raw_Data!I561)), Raw_Data!I561, "Review"))</f>
        <v>eva.miller@example.com</v>
      </c>
      <c r="K561" s="5" t="str">
        <f>IFERROR(TEXT(ABS(Raw_Data!J561), "0"), "Review")</f>
        <v>2035713431</v>
      </c>
      <c r="L561" s="2" t="str">
        <f>IFERROR(TRIM(Raw_Data!K561), "Review")</f>
        <v>Average</v>
      </c>
      <c r="M561" s="2" t="b">
        <f>IF(Raw_Data!L561="", "",
    IF(ISLOGICAL(Raw_Data!L561), Raw_Data!L561,
        IF(OR(UPPER(Raw_Data!L561)="TRUE", UPPER(Raw_Data!L561)="YES", UPPER(Raw_Data!L561)="1"), TRUE,
            IF(OR(UPPER(Raw_Data!L561)="FALSE", UPPER(Raw_Data!L561)="NO", UPPER(Raw_Data!L561)="0"), FALSE, "Review")
        )
    )
)</f>
        <v>1</v>
      </c>
    </row>
    <row r="562" spans="1:13" x14ac:dyDescent="0.4">
      <c r="A562" s="2" t="str">
        <f>IFERROR(TRIM(Raw_Data!A562), "Review")</f>
        <v>EMP1560</v>
      </c>
      <c r="B562" s="2" t="str">
        <f>IFERROR(TRIM(Raw_Data!B562), "Review")</f>
        <v>Frank</v>
      </c>
      <c r="C562" s="2" t="str">
        <f>IFERROR(TRIM(Raw_Data!C562), "Review")</f>
        <v>Brown</v>
      </c>
      <c r="D562" s="2">
        <f>IF(Raw_Data!D562="", "", IFERROR(VALUE(Raw_Data!D562), ""))</f>
        <v>25</v>
      </c>
      <c r="E562" s="2" t="str">
        <f>IFERROR(LEFT(Raw_Data!E562,SEARCH("-",Raw_Data!E562)-1),"Review")</f>
        <v>HR</v>
      </c>
      <c r="F562" s="2" t="str">
        <f>IFERROR(_xlfn.TEXTAFTER(Raw_Data!E562,"-"),"Review")</f>
        <v>Illinois</v>
      </c>
      <c r="G562" s="2" t="str">
        <f>IFERROR(TRIM(Raw_Data!F562), "Review")</f>
        <v>Inactive</v>
      </c>
      <c r="H562" s="3" t="str">
        <f>IFERROR(TEXT(Raw_Data!G562, "YYYY-MM-DD"),"Review")</f>
        <v>2023-04-08</v>
      </c>
      <c r="I562" s="4">
        <f>IF(Raw_Data!H562="", "", IFERROR(VALUE(Raw_Data!H562), ""))</f>
        <v>89944.67</v>
      </c>
      <c r="J562" s="2" t="str">
        <f>IF(Raw_Data!I562="", "", IF(ISNUMBER(FIND("@", Raw_Data!I562)), Raw_Data!I562, "Review"))</f>
        <v>frank.brown@example.com</v>
      </c>
      <c r="K562" s="5" t="str">
        <f>IFERROR(TEXT(ABS(Raw_Data!J562), "0"), "Review")</f>
        <v>4064242955</v>
      </c>
      <c r="L562" s="2" t="str">
        <f>IFERROR(TRIM(Raw_Data!K562), "Review")</f>
        <v>Poor</v>
      </c>
      <c r="M562" s="2" t="b">
        <f>IF(Raw_Data!L562="", "",
    IF(ISLOGICAL(Raw_Data!L562), Raw_Data!L562,
        IF(OR(UPPER(Raw_Data!L562)="TRUE", UPPER(Raw_Data!L562)="YES", UPPER(Raw_Data!L562)="1"), TRUE,
            IF(OR(UPPER(Raw_Data!L562)="FALSE", UPPER(Raw_Data!L562)="NO", UPPER(Raw_Data!L562)="0"), FALSE, "Review")
        )
    )
)</f>
        <v>0</v>
      </c>
    </row>
    <row r="563" spans="1:13" x14ac:dyDescent="0.4">
      <c r="A563" s="2" t="str">
        <f>IFERROR(TRIM(Raw_Data!A563), "Review")</f>
        <v>EMP1561</v>
      </c>
      <c r="B563" s="2" t="str">
        <f>IFERROR(TRIM(Raw_Data!B563), "Review")</f>
        <v>Grace</v>
      </c>
      <c r="C563" s="2" t="str">
        <f>IFERROR(TRIM(Raw_Data!C563), "Review")</f>
        <v>Williams</v>
      </c>
      <c r="D563" s="2" t="str">
        <f>IF(Raw_Data!D563="", "", IFERROR(VALUE(Raw_Data!D563), ""))</f>
        <v/>
      </c>
      <c r="E563" s="2" t="str">
        <f>IFERROR(LEFT(Raw_Data!E563,SEARCH("-",Raw_Data!E563)-1),"Review")</f>
        <v>HR</v>
      </c>
      <c r="F563" s="2" t="str">
        <f>IFERROR(_xlfn.TEXTAFTER(Raw_Data!E563,"-"),"Review")</f>
        <v>Florida</v>
      </c>
      <c r="G563" s="2" t="str">
        <f>IFERROR(TRIM(Raw_Data!F563), "Review")</f>
        <v>Active</v>
      </c>
      <c r="H563" s="3" t="str">
        <f>IFERROR(TEXT(Raw_Data!G563, "YYYY-MM-DD"),"Review")</f>
        <v>2022-12-06</v>
      </c>
      <c r="I563" s="4">
        <f>IF(Raw_Data!H563="", "", IFERROR(VALUE(Raw_Data!H563), ""))</f>
        <v>57452.93</v>
      </c>
      <c r="J563" s="2" t="str">
        <f>IF(Raw_Data!I563="", "", IF(ISNUMBER(FIND("@", Raw_Data!I563)), Raw_Data!I563, "Review"))</f>
        <v>grace.williams@example.com</v>
      </c>
      <c r="K563" s="5" t="str">
        <f>IFERROR(TEXT(ABS(Raw_Data!J563), "0"), "Review")</f>
        <v>3343244740</v>
      </c>
      <c r="L563" s="2" t="str">
        <f>IFERROR(TRIM(Raw_Data!K563), "Review")</f>
        <v>Good</v>
      </c>
      <c r="M563" s="2" t="b">
        <f>IF(Raw_Data!L563="", "",
    IF(ISLOGICAL(Raw_Data!L563), Raw_Data!L563,
        IF(OR(UPPER(Raw_Data!L563)="TRUE", UPPER(Raw_Data!L563)="YES", UPPER(Raw_Data!L563)="1"), TRUE,
            IF(OR(UPPER(Raw_Data!L563)="FALSE", UPPER(Raw_Data!L563)="NO", UPPER(Raw_Data!L563)="0"), FALSE, "Review")
        )
    )
)</f>
        <v>1</v>
      </c>
    </row>
    <row r="564" spans="1:13" x14ac:dyDescent="0.4">
      <c r="A564" s="2" t="str">
        <f>IFERROR(TRIM(Raw_Data!A564), "Review")</f>
        <v>EMP1562</v>
      </c>
      <c r="B564" s="2" t="str">
        <f>IFERROR(TRIM(Raw_Data!B564), "Review")</f>
        <v>Alice</v>
      </c>
      <c r="C564" s="2" t="str">
        <f>IFERROR(TRIM(Raw_Data!C564), "Review")</f>
        <v>Davis</v>
      </c>
      <c r="D564" s="2">
        <f>IF(Raw_Data!D564="", "", IFERROR(VALUE(Raw_Data!D564), ""))</f>
        <v>25</v>
      </c>
      <c r="E564" s="2" t="str">
        <f>IFERROR(LEFT(Raw_Data!E564,SEARCH("-",Raw_Data!E564)-1),"Review")</f>
        <v>Admin</v>
      </c>
      <c r="F564" s="2" t="str">
        <f>IFERROR(_xlfn.TEXTAFTER(Raw_Data!E564,"-"),"Review")</f>
        <v>California</v>
      </c>
      <c r="G564" s="2" t="str">
        <f>IFERROR(TRIM(Raw_Data!F564), "Review")</f>
        <v>Active</v>
      </c>
      <c r="H564" s="3" t="str">
        <f>IFERROR(TEXT(Raw_Data!G564, "YYYY-MM-DD"),"Review")</f>
        <v>2021-08-09</v>
      </c>
      <c r="I564" s="4">
        <f>IF(Raw_Data!H564="", "", IFERROR(VALUE(Raw_Data!H564), ""))</f>
        <v>97837.32</v>
      </c>
      <c r="J564" s="2" t="str">
        <f>IF(Raw_Data!I564="", "", IF(ISNUMBER(FIND("@", Raw_Data!I564)), Raw_Data!I564, "Review"))</f>
        <v>alice.davis@example.com</v>
      </c>
      <c r="K564" s="5" t="str">
        <f>IFERROR(TEXT(ABS(Raw_Data!J564), "0"), "Review")</f>
        <v>7595587208</v>
      </c>
      <c r="L564" s="2" t="str">
        <f>IFERROR(TRIM(Raw_Data!K564), "Review")</f>
        <v>Excellent</v>
      </c>
      <c r="M564" s="2" t="b">
        <f>IF(Raw_Data!L564="", "",
    IF(ISLOGICAL(Raw_Data!L564), Raw_Data!L564,
        IF(OR(UPPER(Raw_Data!L564)="TRUE", UPPER(Raw_Data!L564)="YES", UPPER(Raw_Data!L564)="1"), TRUE,
            IF(OR(UPPER(Raw_Data!L564)="FALSE", UPPER(Raw_Data!L564)="NO", UPPER(Raw_Data!L564)="0"), FALSE, "Review")
        )
    )
)</f>
        <v>0</v>
      </c>
    </row>
    <row r="565" spans="1:13" x14ac:dyDescent="0.4">
      <c r="A565" s="2" t="str">
        <f>IFERROR(TRIM(Raw_Data!A565), "Review")</f>
        <v>EMP1563</v>
      </c>
      <c r="B565" s="2" t="str">
        <f>IFERROR(TRIM(Raw_Data!B565), "Review")</f>
        <v>Alice</v>
      </c>
      <c r="C565" s="2" t="str">
        <f>IFERROR(TRIM(Raw_Data!C565), "Review")</f>
        <v>Davis</v>
      </c>
      <c r="D565" s="2">
        <f>IF(Raw_Data!D565="", "", IFERROR(VALUE(Raw_Data!D565), ""))</f>
        <v>35</v>
      </c>
      <c r="E565" s="2" t="str">
        <f>IFERROR(LEFT(Raw_Data!E565,SEARCH("-",Raw_Data!E565)-1),"Review")</f>
        <v>Admin</v>
      </c>
      <c r="F565" s="2" t="str">
        <f>IFERROR(_xlfn.TEXTAFTER(Raw_Data!E565,"-"),"Review")</f>
        <v>Illinois</v>
      </c>
      <c r="G565" s="2" t="str">
        <f>IFERROR(TRIM(Raw_Data!F565), "Review")</f>
        <v>Active</v>
      </c>
      <c r="H565" s="3" t="str">
        <f>IFERROR(TEXT(Raw_Data!G565, "YYYY-MM-DD"),"Review")</f>
        <v>2022-01-04</v>
      </c>
      <c r="I565" s="4">
        <f>IF(Raw_Data!H565="", "", IFERROR(VALUE(Raw_Data!H565), ""))</f>
        <v>106981.84</v>
      </c>
      <c r="J565" s="2" t="str">
        <f>IF(Raw_Data!I565="", "", IF(ISNUMBER(FIND("@", Raw_Data!I565)), Raw_Data!I565, "Review"))</f>
        <v>alice.davis@example.com</v>
      </c>
      <c r="K565" s="5" t="str">
        <f>IFERROR(TEXT(ABS(Raw_Data!J565), "0"), "Review")</f>
        <v>6289365434</v>
      </c>
      <c r="L565" s="2" t="str">
        <f>IFERROR(TRIM(Raw_Data!K565), "Review")</f>
        <v>Poor</v>
      </c>
      <c r="M565" s="2" t="b">
        <f>IF(Raw_Data!L565="", "",
    IF(ISLOGICAL(Raw_Data!L565), Raw_Data!L565,
        IF(OR(UPPER(Raw_Data!L565)="TRUE", UPPER(Raw_Data!L565)="YES", UPPER(Raw_Data!L565)="1"), TRUE,
            IF(OR(UPPER(Raw_Data!L565)="FALSE", UPPER(Raw_Data!L565)="NO", UPPER(Raw_Data!L565)="0"), FALSE, "Review")
        )
    )
)</f>
        <v>1</v>
      </c>
    </row>
    <row r="566" spans="1:13" x14ac:dyDescent="0.4">
      <c r="A566" s="2" t="str">
        <f>IFERROR(TRIM(Raw_Data!A566), "Review")</f>
        <v>EMP1564</v>
      </c>
      <c r="B566" s="2" t="str">
        <f>IFERROR(TRIM(Raw_Data!B566), "Review")</f>
        <v>David</v>
      </c>
      <c r="C566" s="2" t="str">
        <f>IFERROR(TRIM(Raw_Data!C566), "Review")</f>
        <v>Brown</v>
      </c>
      <c r="D566" s="2" t="str">
        <f>IF(Raw_Data!D566="", "", IFERROR(VALUE(Raw_Data!D566), ""))</f>
        <v/>
      </c>
      <c r="E566" s="2" t="str">
        <f>IFERROR(LEFT(Raw_Data!E566,SEARCH("-",Raw_Data!E566)-1),"Review")</f>
        <v>Finance</v>
      </c>
      <c r="F566" s="2" t="str">
        <f>IFERROR(_xlfn.TEXTAFTER(Raw_Data!E566,"-"),"Review")</f>
        <v>New York</v>
      </c>
      <c r="G566" s="2" t="str">
        <f>IFERROR(TRIM(Raw_Data!F566), "Review")</f>
        <v>Pending</v>
      </c>
      <c r="H566" s="3" t="str">
        <f>IFERROR(TEXT(Raw_Data!G566, "YYYY-MM-DD"),"Review")</f>
        <v>2024-05-25</v>
      </c>
      <c r="I566" s="4">
        <f>IF(Raw_Data!H566="", "", IFERROR(VALUE(Raw_Data!H566), ""))</f>
        <v>105778.36</v>
      </c>
      <c r="J566" s="2" t="str">
        <f>IF(Raw_Data!I566="", "", IF(ISNUMBER(FIND("@", Raw_Data!I566)), Raw_Data!I566, "Review"))</f>
        <v>david.brown@example.com</v>
      </c>
      <c r="K566" s="5" t="str">
        <f>IFERROR(TEXT(ABS(Raw_Data!J566), "0"), "Review")</f>
        <v>8841834373</v>
      </c>
      <c r="L566" s="2" t="str">
        <f>IFERROR(TRIM(Raw_Data!K566), "Review")</f>
        <v>Good</v>
      </c>
      <c r="M566" s="2" t="b">
        <f>IF(Raw_Data!L566="", "",
    IF(ISLOGICAL(Raw_Data!L566), Raw_Data!L566,
        IF(OR(UPPER(Raw_Data!L566)="TRUE", UPPER(Raw_Data!L566)="YES", UPPER(Raw_Data!L566)="1"), TRUE,
            IF(OR(UPPER(Raw_Data!L566)="FALSE", UPPER(Raw_Data!L566)="NO", UPPER(Raw_Data!L566)="0"), FALSE, "Review")
        )
    )
)</f>
        <v>1</v>
      </c>
    </row>
    <row r="567" spans="1:13" x14ac:dyDescent="0.4">
      <c r="A567" s="2" t="str">
        <f>IFERROR(TRIM(Raw_Data!A567), "Review")</f>
        <v>EMP1565</v>
      </c>
      <c r="B567" s="2" t="str">
        <f>IFERROR(TRIM(Raw_Data!B567), "Review")</f>
        <v>Alice</v>
      </c>
      <c r="C567" s="2" t="str">
        <f>IFERROR(TRIM(Raw_Data!C567), "Review")</f>
        <v>Johnson</v>
      </c>
      <c r="D567" s="2">
        <f>IF(Raw_Data!D567="", "", IFERROR(VALUE(Raw_Data!D567), ""))</f>
        <v>40</v>
      </c>
      <c r="E567" s="2" t="str">
        <f>IFERROR(LEFT(Raw_Data!E567,SEARCH("-",Raw_Data!E567)-1),"Review")</f>
        <v>Finance</v>
      </c>
      <c r="F567" s="2" t="str">
        <f>IFERROR(_xlfn.TEXTAFTER(Raw_Data!E567,"-"),"Review")</f>
        <v>Florida</v>
      </c>
      <c r="G567" s="2" t="str">
        <f>IFERROR(TRIM(Raw_Data!F567), "Review")</f>
        <v>Pending</v>
      </c>
      <c r="H567" s="3" t="str">
        <f>IFERROR(TEXT(Raw_Data!G567, "YYYY-MM-DD"),"Review")</f>
        <v>2021-10-02</v>
      </c>
      <c r="I567" s="4">
        <f>IF(Raw_Data!H567="", "", IFERROR(VALUE(Raw_Data!H567), ""))</f>
        <v>117608.32000000001</v>
      </c>
      <c r="J567" s="2" t="str">
        <f>IF(Raw_Data!I567="", "", IF(ISNUMBER(FIND("@", Raw_Data!I567)), Raw_Data!I567, "Review"))</f>
        <v>alice.johnson@example.com</v>
      </c>
      <c r="K567" s="5" t="str">
        <f>IFERROR(TEXT(ABS(Raw_Data!J567), "0"), "Review")</f>
        <v>182727954</v>
      </c>
      <c r="L567" s="2" t="str">
        <f>IFERROR(TRIM(Raw_Data!K567), "Review")</f>
        <v>Good</v>
      </c>
      <c r="M567" s="2" t="b">
        <f>IF(Raw_Data!L567="", "",
    IF(ISLOGICAL(Raw_Data!L567), Raw_Data!L567,
        IF(OR(UPPER(Raw_Data!L567)="TRUE", UPPER(Raw_Data!L567)="YES", UPPER(Raw_Data!L567)="1"), TRUE,
            IF(OR(UPPER(Raw_Data!L567)="FALSE", UPPER(Raw_Data!L567)="NO", UPPER(Raw_Data!L567)="0"), FALSE, "Review")
        )
    )
)</f>
        <v>1</v>
      </c>
    </row>
    <row r="568" spans="1:13" x14ac:dyDescent="0.4">
      <c r="A568" s="2" t="str">
        <f>IFERROR(TRIM(Raw_Data!A568), "Review")</f>
        <v>EMP1566</v>
      </c>
      <c r="B568" s="2" t="str">
        <f>IFERROR(TRIM(Raw_Data!B568), "Review")</f>
        <v>Eva</v>
      </c>
      <c r="C568" s="2" t="str">
        <f>IFERROR(TRIM(Raw_Data!C568), "Review")</f>
        <v>Johnson</v>
      </c>
      <c r="D568" s="2">
        <f>IF(Raw_Data!D568="", "", IFERROR(VALUE(Raw_Data!D568), ""))</f>
        <v>30</v>
      </c>
      <c r="E568" s="2" t="str">
        <f>IFERROR(LEFT(Raw_Data!E568,SEARCH("-",Raw_Data!E568)-1),"Review")</f>
        <v>Sales</v>
      </c>
      <c r="F568" s="2" t="str">
        <f>IFERROR(_xlfn.TEXTAFTER(Raw_Data!E568,"-"),"Review")</f>
        <v>Florida</v>
      </c>
      <c r="G568" s="2" t="str">
        <f>IFERROR(TRIM(Raw_Data!F568), "Review")</f>
        <v>Active</v>
      </c>
      <c r="H568" s="3" t="str">
        <f>IFERROR(TEXT(Raw_Data!G568, "YYYY-MM-DD"),"Review")</f>
        <v>2023-07-21</v>
      </c>
      <c r="I568" s="4">
        <f>IF(Raw_Data!H568="", "", IFERROR(VALUE(Raw_Data!H568), ""))</f>
        <v>99324.03</v>
      </c>
      <c r="J568" s="2" t="str">
        <f>IF(Raw_Data!I568="", "", IF(ISNUMBER(FIND("@", Raw_Data!I568)), Raw_Data!I568, "Review"))</f>
        <v>eva.johnson@example.com</v>
      </c>
      <c r="K568" s="5" t="str">
        <f>IFERROR(TEXT(ABS(Raw_Data!J568), "0"), "Review")</f>
        <v>9690515025</v>
      </c>
      <c r="L568" s="2" t="str">
        <f>IFERROR(TRIM(Raw_Data!K568), "Review")</f>
        <v>Excellent</v>
      </c>
      <c r="M568" s="2" t="b">
        <f>IF(Raw_Data!L568="", "",
    IF(ISLOGICAL(Raw_Data!L568), Raw_Data!L568,
        IF(OR(UPPER(Raw_Data!L568)="TRUE", UPPER(Raw_Data!L568)="YES", UPPER(Raw_Data!L568)="1"), TRUE,
            IF(OR(UPPER(Raw_Data!L568)="FALSE", UPPER(Raw_Data!L568)="NO", UPPER(Raw_Data!L568)="0"), FALSE, "Review")
        )
    )
)</f>
        <v>0</v>
      </c>
    </row>
    <row r="569" spans="1:13" x14ac:dyDescent="0.4">
      <c r="A569" s="2" t="str">
        <f>IFERROR(TRIM(Raw_Data!A569), "Review")</f>
        <v>EMP1567</v>
      </c>
      <c r="B569" s="2" t="str">
        <f>IFERROR(TRIM(Raw_Data!B569), "Review")</f>
        <v>David</v>
      </c>
      <c r="C569" s="2" t="str">
        <f>IFERROR(TRIM(Raw_Data!C569), "Review")</f>
        <v>Garcia</v>
      </c>
      <c r="D569" s="2">
        <f>IF(Raw_Data!D569="", "", IFERROR(VALUE(Raw_Data!D569), ""))</f>
        <v>30</v>
      </c>
      <c r="E569" s="2" t="str">
        <f>IFERROR(LEFT(Raw_Data!E569,SEARCH("-",Raw_Data!E569)-1),"Review")</f>
        <v>HR</v>
      </c>
      <c r="F569" s="2" t="str">
        <f>IFERROR(_xlfn.TEXTAFTER(Raw_Data!E569,"-"),"Review")</f>
        <v>Florida</v>
      </c>
      <c r="G569" s="2" t="str">
        <f>IFERROR(TRIM(Raw_Data!F569), "Review")</f>
        <v>Active</v>
      </c>
      <c r="H569" s="3" t="str">
        <f>IFERROR(TEXT(Raw_Data!G569, "YYYY-MM-DD"),"Review")</f>
        <v>2023-10-30</v>
      </c>
      <c r="I569" s="4">
        <f>IF(Raw_Data!H569="", "", IFERROR(VALUE(Raw_Data!H569), ""))</f>
        <v>55212.83</v>
      </c>
      <c r="J569" s="2" t="str">
        <f>IF(Raw_Data!I569="", "", IF(ISNUMBER(FIND("@", Raw_Data!I569)), Raw_Data!I569, "Review"))</f>
        <v>david.garcia@example.com</v>
      </c>
      <c r="K569" s="5" t="str">
        <f>IFERROR(TEXT(ABS(Raw_Data!J569), "0"), "Review")</f>
        <v>7551254277</v>
      </c>
      <c r="L569" s="2" t="str">
        <f>IFERROR(TRIM(Raw_Data!K569), "Review")</f>
        <v>Excellent</v>
      </c>
      <c r="M569" s="2" t="b">
        <f>IF(Raw_Data!L569="", "",
    IF(ISLOGICAL(Raw_Data!L569), Raw_Data!L569,
        IF(OR(UPPER(Raw_Data!L569)="TRUE", UPPER(Raw_Data!L569)="YES", UPPER(Raw_Data!L569)="1"), TRUE,
            IF(OR(UPPER(Raw_Data!L569)="FALSE", UPPER(Raw_Data!L569)="NO", UPPER(Raw_Data!L569)="0"), FALSE, "Review")
        )
    )
)</f>
        <v>1</v>
      </c>
    </row>
    <row r="570" spans="1:13" x14ac:dyDescent="0.4">
      <c r="A570" s="2" t="str">
        <f>IFERROR(TRIM(Raw_Data!A570), "Review")</f>
        <v>EMP1568</v>
      </c>
      <c r="B570" s="2" t="str">
        <f>IFERROR(TRIM(Raw_Data!B570), "Review")</f>
        <v>Bob</v>
      </c>
      <c r="C570" s="2" t="str">
        <f>IFERROR(TRIM(Raw_Data!C570), "Review")</f>
        <v>Davis</v>
      </c>
      <c r="D570" s="2">
        <f>IF(Raw_Data!D570="", "", IFERROR(VALUE(Raw_Data!D570), ""))</f>
        <v>40</v>
      </c>
      <c r="E570" s="2" t="str">
        <f>IFERROR(LEFT(Raw_Data!E570,SEARCH("-",Raw_Data!E570)-1),"Review")</f>
        <v>Cloud Tech</v>
      </c>
      <c r="F570" s="2" t="str">
        <f>IFERROR(_xlfn.TEXTAFTER(Raw_Data!E570,"-"),"Review")</f>
        <v>Florida</v>
      </c>
      <c r="G570" s="2" t="str">
        <f>IFERROR(TRIM(Raw_Data!F570), "Review")</f>
        <v>Inactive</v>
      </c>
      <c r="H570" s="3" t="str">
        <f>IFERROR(TEXT(Raw_Data!G570, "YYYY-MM-DD"),"Review")</f>
        <v>2023-02-13</v>
      </c>
      <c r="I570" s="4">
        <f>IF(Raw_Data!H570="", "", IFERROR(VALUE(Raw_Data!H570), ""))</f>
        <v>68496.77</v>
      </c>
      <c r="J570" s="2" t="str">
        <f>IF(Raw_Data!I570="", "", IF(ISNUMBER(FIND("@", Raw_Data!I570)), Raw_Data!I570, "Review"))</f>
        <v>bob.davis@example.com</v>
      </c>
      <c r="K570" s="5" t="str">
        <f>IFERROR(TEXT(ABS(Raw_Data!J570), "0"), "Review")</f>
        <v>2079799666</v>
      </c>
      <c r="L570" s="2" t="str">
        <f>IFERROR(TRIM(Raw_Data!K570), "Review")</f>
        <v>Average</v>
      </c>
      <c r="M570" s="2" t="b">
        <f>IF(Raw_Data!L570="", "",
    IF(ISLOGICAL(Raw_Data!L570), Raw_Data!L570,
        IF(OR(UPPER(Raw_Data!L570)="TRUE", UPPER(Raw_Data!L570)="YES", UPPER(Raw_Data!L570)="1"), TRUE,
            IF(OR(UPPER(Raw_Data!L570)="FALSE", UPPER(Raw_Data!L570)="NO", UPPER(Raw_Data!L570)="0"), FALSE, "Review")
        )
    )
)</f>
        <v>0</v>
      </c>
    </row>
    <row r="571" spans="1:13" x14ac:dyDescent="0.4">
      <c r="A571" s="2" t="str">
        <f>IFERROR(TRIM(Raw_Data!A571), "Review")</f>
        <v>EMP1569</v>
      </c>
      <c r="B571" s="2" t="str">
        <f>IFERROR(TRIM(Raw_Data!B571), "Review")</f>
        <v>Eva</v>
      </c>
      <c r="C571" s="2" t="str">
        <f>IFERROR(TRIM(Raw_Data!C571), "Review")</f>
        <v>Davis</v>
      </c>
      <c r="D571" s="2">
        <f>IF(Raw_Data!D571="", "", IFERROR(VALUE(Raw_Data!D571), ""))</f>
        <v>25</v>
      </c>
      <c r="E571" s="2" t="str">
        <f>IFERROR(LEFT(Raw_Data!E571,SEARCH("-",Raw_Data!E571)-1),"Review")</f>
        <v>HR</v>
      </c>
      <c r="F571" s="2" t="str">
        <f>IFERROR(_xlfn.TEXTAFTER(Raw_Data!E571,"-"),"Review")</f>
        <v>Florida</v>
      </c>
      <c r="G571" s="2" t="str">
        <f>IFERROR(TRIM(Raw_Data!F571), "Review")</f>
        <v>Pending</v>
      </c>
      <c r="H571" s="3" t="str">
        <f>IFERROR(TEXT(Raw_Data!G571, "YYYY-MM-DD"),"Review")</f>
        <v>2020-11-13</v>
      </c>
      <c r="I571" s="4">
        <f>IF(Raw_Data!H571="", "", IFERROR(VALUE(Raw_Data!H571), ""))</f>
        <v>52795.839999999997</v>
      </c>
      <c r="J571" s="2" t="str">
        <f>IF(Raw_Data!I571="", "", IF(ISNUMBER(FIND("@", Raw_Data!I571)), Raw_Data!I571, "Review"))</f>
        <v>eva.davis@example.com</v>
      </c>
      <c r="K571" s="5" t="str">
        <f>IFERROR(TEXT(ABS(Raw_Data!J571), "0"), "Review")</f>
        <v>3459576402</v>
      </c>
      <c r="L571" s="2" t="str">
        <f>IFERROR(TRIM(Raw_Data!K571), "Review")</f>
        <v>Poor</v>
      </c>
      <c r="M571" s="2" t="b">
        <f>IF(Raw_Data!L571="", "",
    IF(ISLOGICAL(Raw_Data!L571), Raw_Data!L571,
        IF(OR(UPPER(Raw_Data!L571)="TRUE", UPPER(Raw_Data!L571)="YES", UPPER(Raw_Data!L571)="1"), TRUE,
            IF(OR(UPPER(Raw_Data!L571)="FALSE", UPPER(Raw_Data!L571)="NO", UPPER(Raw_Data!L571)="0"), FALSE, "Review")
        )
    )
)</f>
        <v>0</v>
      </c>
    </row>
    <row r="572" spans="1:13" x14ac:dyDescent="0.4">
      <c r="A572" s="2" t="str">
        <f>IFERROR(TRIM(Raw_Data!A572), "Review")</f>
        <v>EMP1570</v>
      </c>
      <c r="B572" s="2" t="str">
        <f>IFERROR(TRIM(Raw_Data!B572), "Review")</f>
        <v>Alice</v>
      </c>
      <c r="C572" s="2" t="str">
        <f>IFERROR(TRIM(Raw_Data!C572), "Review")</f>
        <v>Miller</v>
      </c>
      <c r="D572" s="2" t="str">
        <f>IF(Raw_Data!D572="", "", IFERROR(VALUE(Raw_Data!D572), ""))</f>
        <v/>
      </c>
      <c r="E572" s="2" t="str">
        <f>IFERROR(LEFT(Raw_Data!E572,SEARCH("-",Raw_Data!E572)-1),"Review")</f>
        <v>DevOps</v>
      </c>
      <c r="F572" s="2" t="str">
        <f>IFERROR(_xlfn.TEXTAFTER(Raw_Data!E572,"-"),"Review")</f>
        <v>California</v>
      </c>
      <c r="G572" s="2" t="str">
        <f>IFERROR(TRIM(Raw_Data!F572), "Review")</f>
        <v>Inactive</v>
      </c>
      <c r="H572" s="3" t="str">
        <f>IFERROR(TEXT(Raw_Data!G572, "YYYY-MM-DD"),"Review")</f>
        <v>2024-06-05</v>
      </c>
      <c r="I572" s="4">
        <f>IF(Raw_Data!H572="", "", IFERROR(VALUE(Raw_Data!H572), ""))</f>
        <v>90087.39</v>
      </c>
      <c r="J572" s="2" t="str">
        <f>IF(Raw_Data!I572="", "", IF(ISNUMBER(FIND("@", Raw_Data!I572)), Raw_Data!I572, "Review"))</f>
        <v>alice.miller@example.com</v>
      </c>
      <c r="K572" s="5" t="str">
        <f>IFERROR(TEXT(ABS(Raw_Data!J572), "0"), "Review")</f>
        <v>8166496901</v>
      </c>
      <c r="L572" s="2" t="str">
        <f>IFERROR(TRIM(Raw_Data!K572), "Review")</f>
        <v>Poor</v>
      </c>
      <c r="M572" s="2" t="b">
        <f>IF(Raw_Data!L572="", "",
    IF(ISLOGICAL(Raw_Data!L572), Raw_Data!L572,
        IF(OR(UPPER(Raw_Data!L572)="TRUE", UPPER(Raw_Data!L572)="YES", UPPER(Raw_Data!L572)="1"), TRUE,
            IF(OR(UPPER(Raw_Data!L572)="FALSE", UPPER(Raw_Data!L572)="NO", UPPER(Raw_Data!L572)="0"), FALSE, "Review")
        )
    )
)</f>
        <v>0</v>
      </c>
    </row>
    <row r="573" spans="1:13" x14ac:dyDescent="0.4">
      <c r="A573" s="2" t="str">
        <f>IFERROR(TRIM(Raw_Data!A573), "Review")</f>
        <v>EMP1571</v>
      </c>
      <c r="B573" s="2" t="str">
        <f>IFERROR(TRIM(Raw_Data!B573), "Review")</f>
        <v>Frank</v>
      </c>
      <c r="C573" s="2" t="str">
        <f>IFERROR(TRIM(Raw_Data!C573), "Review")</f>
        <v>Williams</v>
      </c>
      <c r="D573" s="2" t="str">
        <f>IF(Raw_Data!D573="", "", IFERROR(VALUE(Raw_Data!D573), ""))</f>
        <v/>
      </c>
      <c r="E573" s="2" t="str">
        <f>IFERROR(LEFT(Raw_Data!E573,SEARCH("-",Raw_Data!E573)-1),"Review")</f>
        <v>Admin</v>
      </c>
      <c r="F573" s="2" t="str">
        <f>IFERROR(_xlfn.TEXTAFTER(Raw_Data!E573,"-"),"Review")</f>
        <v>New York</v>
      </c>
      <c r="G573" s="2" t="str">
        <f>IFERROR(TRIM(Raw_Data!F573), "Review")</f>
        <v>Pending</v>
      </c>
      <c r="H573" s="3" t="str">
        <f>IFERROR(TEXT(Raw_Data!G573, "YYYY-MM-DD"),"Review")</f>
        <v>2020-05-19</v>
      </c>
      <c r="I573" s="4">
        <f>IF(Raw_Data!H573="", "", IFERROR(VALUE(Raw_Data!H573), ""))</f>
        <v>105038.08</v>
      </c>
      <c r="J573" s="2" t="str">
        <f>IF(Raw_Data!I573="", "", IF(ISNUMBER(FIND("@", Raw_Data!I573)), Raw_Data!I573, "Review"))</f>
        <v>frank.williams@example.com</v>
      </c>
      <c r="K573" s="5" t="str">
        <f>IFERROR(TEXT(ABS(Raw_Data!J573), "0"), "Review")</f>
        <v>8249839224</v>
      </c>
      <c r="L573" s="2" t="str">
        <f>IFERROR(TRIM(Raw_Data!K573), "Review")</f>
        <v>Average</v>
      </c>
      <c r="M573" s="2" t="b">
        <f>IF(Raw_Data!L573="", "",
    IF(ISLOGICAL(Raw_Data!L573), Raw_Data!L573,
        IF(OR(UPPER(Raw_Data!L573)="TRUE", UPPER(Raw_Data!L573)="YES", UPPER(Raw_Data!L573)="1"), TRUE,
            IF(OR(UPPER(Raw_Data!L573)="FALSE", UPPER(Raw_Data!L573)="NO", UPPER(Raw_Data!L573)="0"), FALSE, "Review")
        )
    )
)</f>
        <v>0</v>
      </c>
    </row>
    <row r="574" spans="1:13" x14ac:dyDescent="0.4">
      <c r="A574" s="2" t="str">
        <f>IFERROR(TRIM(Raw_Data!A574), "Review")</f>
        <v>EMP1572</v>
      </c>
      <c r="B574" s="2" t="str">
        <f>IFERROR(TRIM(Raw_Data!B574), "Review")</f>
        <v>Grace</v>
      </c>
      <c r="C574" s="2" t="str">
        <f>IFERROR(TRIM(Raw_Data!C574), "Review")</f>
        <v>Smith</v>
      </c>
      <c r="D574" s="2">
        <f>IF(Raw_Data!D574="", "", IFERROR(VALUE(Raw_Data!D574), ""))</f>
        <v>25</v>
      </c>
      <c r="E574" s="2" t="str">
        <f>IFERROR(LEFT(Raw_Data!E574,SEARCH("-",Raw_Data!E574)-1),"Review")</f>
        <v>HR</v>
      </c>
      <c r="F574" s="2" t="str">
        <f>IFERROR(_xlfn.TEXTAFTER(Raw_Data!E574,"-"),"Review")</f>
        <v>New York</v>
      </c>
      <c r="G574" s="2" t="str">
        <f>IFERROR(TRIM(Raw_Data!F574), "Review")</f>
        <v>Active</v>
      </c>
      <c r="H574" s="3" t="str">
        <f>IFERROR(TEXT(Raw_Data!G574, "YYYY-MM-DD"),"Review")</f>
        <v>2023-09-20</v>
      </c>
      <c r="I574" s="4">
        <f>IF(Raw_Data!H574="", "", IFERROR(VALUE(Raw_Data!H574), ""))</f>
        <v>73231.850000000006</v>
      </c>
      <c r="J574" s="2" t="str">
        <f>IF(Raw_Data!I574="", "", IF(ISNUMBER(FIND("@", Raw_Data!I574)), Raw_Data!I574, "Review"))</f>
        <v>grace.smith@example.com</v>
      </c>
      <c r="K574" s="5" t="str">
        <f>IFERROR(TEXT(ABS(Raw_Data!J574), "0"), "Review")</f>
        <v>142576269</v>
      </c>
      <c r="L574" s="2" t="str">
        <f>IFERROR(TRIM(Raw_Data!K574), "Review")</f>
        <v>Poor</v>
      </c>
      <c r="M574" s="2" t="b">
        <f>IF(Raw_Data!L574="", "",
    IF(ISLOGICAL(Raw_Data!L574), Raw_Data!L574,
        IF(OR(UPPER(Raw_Data!L574)="TRUE", UPPER(Raw_Data!L574)="YES", UPPER(Raw_Data!L574)="1"), TRUE,
            IF(OR(UPPER(Raw_Data!L574)="FALSE", UPPER(Raw_Data!L574)="NO", UPPER(Raw_Data!L574)="0"), FALSE, "Review")
        )
    )
)</f>
        <v>0</v>
      </c>
    </row>
    <row r="575" spans="1:13" x14ac:dyDescent="0.4">
      <c r="A575" s="2" t="str">
        <f>IFERROR(TRIM(Raw_Data!A575), "Review")</f>
        <v>EMP1573</v>
      </c>
      <c r="B575" s="2" t="str">
        <f>IFERROR(TRIM(Raw_Data!B575), "Review")</f>
        <v>David</v>
      </c>
      <c r="C575" s="2" t="str">
        <f>IFERROR(TRIM(Raw_Data!C575), "Review")</f>
        <v>Johnson</v>
      </c>
      <c r="D575" s="2" t="str">
        <f>IF(Raw_Data!D575="", "", IFERROR(VALUE(Raw_Data!D575), ""))</f>
        <v/>
      </c>
      <c r="E575" s="2" t="str">
        <f>IFERROR(LEFT(Raw_Data!E575,SEARCH("-",Raw_Data!E575)-1),"Review")</f>
        <v>Sales</v>
      </c>
      <c r="F575" s="2" t="str">
        <f>IFERROR(_xlfn.TEXTAFTER(Raw_Data!E575,"-"),"Review")</f>
        <v>Florida</v>
      </c>
      <c r="G575" s="2" t="str">
        <f>IFERROR(TRIM(Raw_Data!F575), "Review")</f>
        <v>Pending</v>
      </c>
      <c r="H575" s="3" t="str">
        <f>IFERROR(TEXT(Raw_Data!G575, "YYYY-MM-DD"),"Review")</f>
        <v>2024-08-13</v>
      </c>
      <c r="I575" s="4">
        <f>IF(Raw_Data!H575="", "", IFERROR(VALUE(Raw_Data!H575), ""))</f>
        <v>102649.36</v>
      </c>
      <c r="J575" s="2" t="str">
        <f>IF(Raw_Data!I575="", "", IF(ISNUMBER(FIND("@", Raw_Data!I575)), Raw_Data!I575, "Review"))</f>
        <v>david.johnson@example.com</v>
      </c>
      <c r="K575" s="5" t="str">
        <f>IFERROR(TEXT(ABS(Raw_Data!J575), "0"), "Review")</f>
        <v>2324412335</v>
      </c>
      <c r="L575" s="2" t="str">
        <f>IFERROR(TRIM(Raw_Data!K575), "Review")</f>
        <v>Poor</v>
      </c>
      <c r="M575" s="2" t="b">
        <f>IF(Raw_Data!L575="", "",
    IF(ISLOGICAL(Raw_Data!L575), Raw_Data!L575,
        IF(OR(UPPER(Raw_Data!L575)="TRUE", UPPER(Raw_Data!L575)="YES", UPPER(Raw_Data!L575)="1"), TRUE,
            IF(OR(UPPER(Raw_Data!L575)="FALSE", UPPER(Raw_Data!L575)="NO", UPPER(Raw_Data!L575)="0"), FALSE, "Review")
        )
    )
)</f>
        <v>0</v>
      </c>
    </row>
    <row r="576" spans="1:13" x14ac:dyDescent="0.4">
      <c r="A576" s="2" t="str">
        <f>IFERROR(TRIM(Raw_Data!A576), "Review")</f>
        <v>EMP1574</v>
      </c>
      <c r="B576" s="2" t="str">
        <f>IFERROR(TRIM(Raw_Data!B576), "Review")</f>
        <v>Bob</v>
      </c>
      <c r="C576" s="2" t="str">
        <f>IFERROR(TRIM(Raw_Data!C576), "Review")</f>
        <v>Davis</v>
      </c>
      <c r="D576" s="2">
        <f>IF(Raw_Data!D576="", "", IFERROR(VALUE(Raw_Data!D576), ""))</f>
        <v>35</v>
      </c>
      <c r="E576" s="2" t="str">
        <f>IFERROR(LEFT(Raw_Data!E576,SEARCH("-",Raw_Data!E576)-1),"Review")</f>
        <v>Finance</v>
      </c>
      <c r="F576" s="2" t="str">
        <f>IFERROR(_xlfn.TEXTAFTER(Raw_Data!E576,"-"),"Review")</f>
        <v>New York</v>
      </c>
      <c r="G576" s="2" t="str">
        <f>IFERROR(TRIM(Raw_Data!F576), "Review")</f>
        <v>Pending</v>
      </c>
      <c r="H576" s="3" t="str">
        <f>IFERROR(TEXT(Raw_Data!G576, "YYYY-MM-DD"),"Review")</f>
        <v>2023-06-10</v>
      </c>
      <c r="I576" s="4">
        <f>IF(Raw_Data!H576="", "", IFERROR(VALUE(Raw_Data!H576), ""))</f>
        <v>114302.51</v>
      </c>
      <c r="J576" s="2" t="str">
        <f>IF(Raw_Data!I576="", "", IF(ISNUMBER(FIND("@", Raw_Data!I576)), Raw_Data!I576, "Review"))</f>
        <v>bob.davis@example.com</v>
      </c>
      <c r="K576" s="5" t="str">
        <f>IFERROR(TEXT(ABS(Raw_Data!J576), "0"), "Review")</f>
        <v>1328507250</v>
      </c>
      <c r="L576" s="2" t="str">
        <f>IFERROR(TRIM(Raw_Data!K576), "Review")</f>
        <v>Poor</v>
      </c>
      <c r="M576" s="2" t="b">
        <f>IF(Raw_Data!L576="", "",
    IF(ISLOGICAL(Raw_Data!L576), Raw_Data!L576,
        IF(OR(UPPER(Raw_Data!L576)="TRUE", UPPER(Raw_Data!L576)="YES", UPPER(Raw_Data!L576)="1"), TRUE,
            IF(OR(UPPER(Raw_Data!L576)="FALSE", UPPER(Raw_Data!L576)="NO", UPPER(Raw_Data!L576)="0"), FALSE, "Review")
        )
    )
)</f>
        <v>0</v>
      </c>
    </row>
    <row r="577" spans="1:13" x14ac:dyDescent="0.4">
      <c r="A577" s="2" t="str">
        <f>IFERROR(TRIM(Raw_Data!A577), "Review")</f>
        <v>EMP1575</v>
      </c>
      <c r="B577" s="2" t="str">
        <f>IFERROR(TRIM(Raw_Data!B577), "Review")</f>
        <v>Alice</v>
      </c>
      <c r="C577" s="2" t="str">
        <f>IFERROR(TRIM(Raw_Data!C577), "Review")</f>
        <v>Miller</v>
      </c>
      <c r="D577" s="2">
        <f>IF(Raw_Data!D577="", "", IFERROR(VALUE(Raw_Data!D577), ""))</f>
        <v>35</v>
      </c>
      <c r="E577" s="2" t="str">
        <f>IFERROR(LEFT(Raw_Data!E577,SEARCH("-",Raw_Data!E577)-1),"Review")</f>
        <v>Finance</v>
      </c>
      <c r="F577" s="2" t="str">
        <f>IFERROR(_xlfn.TEXTAFTER(Raw_Data!E577,"-"),"Review")</f>
        <v>Texas</v>
      </c>
      <c r="G577" s="2" t="str">
        <f>IFERROR(TRIM(Raw_Data!F577), "Review")</f>
        <v>Inactive</v>
      </c>
      <c r="H577" s="3" t="str">
        <f>IFERROR(TEXT(Raw_Data!G577, "YYYY-MM-DD"),"Review")</f>
        <v>2021-06-09</v>
      </c>
      <c r="I577" s="4">
        <f>IF(Raw_Data!H577="", "", IFERROR(VALUE(Raw_Data!H577), ""))</f>
        <v>87816.61</v>
      </c>
      <c r="J577" s="2" t="str">
        <f>IF(Raw_Data!I577="", "", IF(ISNUMBER(FIND("@", Raw_Data!I577)), Raw_Data!I577, "Review"))</f>
        <v>alice.miller@example.com</v>
      </c>
      <c r="K577" s="5" t="str">
        <f>IFERROR(TEXT(ABS(Raw_Data!J577), "0"), "Review")</f>
        <v>7863767315</v>
      </c>
      <c r="L577" s="2" t="str">
        <f>IFERROR(TRIM(Raw_Data!K577), "Review")</f>
        <v>Poor</v>
      </c>
      <c r="M577" s="2" t="b">
        <f>IF(Raw_Data!L577="", "",
    IF(ISLOGICAL(Raw_Data!L577), Raw_Data!L577,
        IF(OR(UPPER(Raw_Data!L577)="TRUE", UPPER(Raw_Data!L577)="YES", UPPER(Raw_Data!L577)="1"), TRUE,
            IF(OR(UPPER(Raw_Data!L577)="FALSE", UPPER(Raw_Data!L577)="NO", UPPER(Raw_Data!L577)="0"), FALSE, "Review")
        )
    )
)</f>
        <v>0</v>
      </c>
    </row>
    <row r="578" spans="1:13" x14ac:dyDescent="0.4">
      <c r="A578" s="2" t="str">
        <f>IFERROR(TRIM(Raw_Data!A578), "Review")</f>
        <v>EMP1576</v>
      </c>
      <c r="B578" s="2" t="str">
        <f>IFERROR(TRIM(Raw_Data!B578), "Review")</f>
        <v>Frank</v>
      </c>
      <c r="C578" s="2" t="str">
        <f>IFERROR(TRIM(Raw_Data!C578), "Review")</f>
        <v>Jones</v>
      </c>
      <c r="D578" s="2" t="str">
        <f>IF(Raw_Data!D578="", "", IFERROR(VALUE(Raw_Data!D578), ""))</f>
        <v/>
      </c>
      <c r="E578" s="2" t="str">
        <f>IFERROR(LEFT(Raw_Data!E578,SEARCH("-",Raw_Data!E578)-1),"Review")</f>
        <v>Sales</v>
      </c>
      <c r="F578" s="2" t="str">
        <f>IFERROR(_xlfn.TEXTAFTER(Raw_Data!E578,"-"),"Review")</f>
        <v>Florida</v>
      </c>
      <c r="G578" s="2" t="str">
        <f>IFERROR(TRIM(Raw_Data!F578), "Review")</f>
        <v>Inactive</v>
      </c>
      <c r="H578" s="3" t="str">
        <f>IFERROR(TEXT(Raw_Data!G578, "YYYY-MM-DD"),"Review")</f>
        <v>2020-03-30</v>
      </c>
      <c r="I578" s="4">
        <f>IF(Raw_Data!H578="", "", IFERROR(VALUE(Raw_Data!H578), ""))</f>
        <v>70750.38</v>
      </c>
      <c r="J578" s="2" t="str">
        <f>IF(Raw_Data!I578="", "", IF(ISNUMBER(FIND("@", Raw_Data!I578)), Raw_Data!I578, "Review"))</f>
        <v>frank.jones@example.com</v>
      </c>
      <c r="K578" s="5" t="str">
        <f>IFERROR(TEXT(ABS(Raw_Data!J578), "0"), "Review")</f>
        <v>2526546967</v>
      </c>
      <c r="L578" s="2" t="str">
        <f>IFERROR(TRIM(Raw_Data!K578), "Review")</f>
        <v>Poor</v>
      </c>
      <c r="M578" s="2" t="b">
        <f>IF(Raw_Data!L578="", "",
    IF(ISLOGICAL(Raw_Data!L578), Raw_Data!L578,
        IF(OR(UPPER(Raw_Data!L578)="TRUE", UPPER(Raw_Data!L578)="YES", UPPER(Raw_Data!L578)="1"), TRUE,
            IF(OR(UPPER(Raw_Data!L578)="FALSE", UPPER(Raw_Data!L578)="NO", UPPER(Raw_Data!L578)="0"), FALSE, "Review")
        )
    )
)</f>
        <v>0</v>
      </c>
    </row>
    <row r="579" spans="1:13" x14ac:dyDescent="0.4">
      <c r="A579" s="2" t="str">
        <f>IFERROR(TRIM(Raw_Data!A579), "Review")</f>
        <v>EMP1577</v>
      </c>
      <c r="B579" s="2" t="str">
        <f>IFERROR(TRIM(Raw_Data!B579), "Review")</f>
        <v>Frank</v>
      </c>
      <c r="C579" s="2" t="str">
        <f>IFERROR(TRIM(Raw_Data!C579), "Review")</f>
        <v>Miller</v>
      </c>
      <c r="D579" s="2" t="str">
        <f>IF(Raw_Data!D579="", "", IFERROR(VALUE(Raw_Data!D579), ""))</f>
        <v/>
      </c>
      <c r="E579" s="2" t="str">
        <f>IFERROR(LEFT(Raw_Data!E579,SEARCH("-",Raw_Data!E579)-1),"Review")</f>
        <v>Cloud Tech</v>
      </c>
      <c r="F579" s="2" t="str">
        <f>IFERROR(_xlfn.TEXTAFTER(Raw_Data!E579,"-"),"Review")</f>
        <v>Texas</v>
      </c>
      <c r="G579" s="2" t="str">
        <f>IFERROR(TRIM(Raw_Data!F579), "Review")</f>
        <v>Active</v>
      </c>
      <c r="H579" s="3" t="str">
        <f>IFERROR(TEXT(Raw_Data!G579, "YYYY-MM-DD"),"Review")</f>
        <v>2024-05-02</v>
      </c>
      <c r="I579" s="4" t="str">
        <f>IF(Raw_Data!H579="", "", IFERROR(VALUE(Raw_Data!H579), ""))</f>
        <v/>
      </c>
      <c r="J579" s="2" t="str">
        <f>IF(Raw_Data!I579="", "", IF(ISNUMBER(FIND("@", Raw_Data!I579)), Raw_Data!I579, "Review"))</f>
        <v>frank.miller@example.com</v>
      </c>
      <c r="K579" s="5" t="str">
        <f>IFERROR(TEXT(ABS(Raw_Data!J579), "0"), "Review")</f>
        <v>1579039234</v>
      </c>
      <c r="L579" s="2" t="str">
        <f>IFERROR(TRIM(Raw_Data!K579), "Review")</f>
        <v>Excellent</v>
      </c>
      <c r="M579" s="2" t="b">
        <f>IF(Raw_Data!L579="", "",
    IF(ISLOGICAL(Raw_Data!L579), Raw_Data!L579,
        IF(OR(UPPER(Raw_Data!L579)="TRUE", UPPER(Raw_Data!L579)="YES", UPPER(Raw_Data!L579)="1"), TRUE,
            IF(OR(UPPER(Raw_Data!L579)="FALSE", UPPER(Raw_Data!L579)="NO", UPPER(Raw_Data!L579)="0"), FALSE, "Review")
        )
    )
)</f>
        <v>1</v>
      </c>
    </row>
    <row r="580" spans="1:13" x14ac:dyDescent="0.4">
      <c r="A580" s="2" t="str">
        <f>IFERROR(TRIM(Raw_Data!A580), "Review")</f>
        <v>EMP1578</v>
      </c>
      <c r="B580" s="2" t="str">
        <f>IFERROR(TRIM(Raw_Data!B580), "Review")</f>
        <v>Bob</v>
      </c>
      <c r="C580" s="2" t="str">
        <f>IFERROR(TRIM(Raw_Data!C580), "Review")</f>
        <v>Johnson</v>
      </c>
      <c r="D580" s="2">
        <f>IF(Raw_Data!D580="", "", IFERROR(VALUE(Raw_Data!D580), ""))</f>
        <v>30</v>
      </c>
      <c r="E580" s="2" t="str">
        <f>IFERROR(LEFT(Raw_Data!E580,SEARCH("-",Raw_Data!E580)-1),"Review")</f>
        <v>DevOps</v>
      </c>
      <c r="F580" s="2" t="str">
        <f>IFERROR(_xlfn.TEXTAFTER(Raw_Data!E580,"-"),"Review")</f>
        <v>Nevada</v>
      </c>
      <c r="G580" s="2" t="str">
        <f>IFERROR(TRIM(Raw_Data!F580), "Review")</f>
        <v>Active</v>
      </c>
      <c r="H580" s="3" t="str">
        <f>IFERROR(TEXT(Raw_Data!G580, "YYYY-MM-DD"),"Review")</f>
        <v>2024-11-06</v>
      </c>
      <c r="I580" s="4">
        <f>IF(Raw_Data!H580="", "", IFERROR(VALUE(Raw_Data!H580), ""))</f>
        <v>97978.36</v>
      </c>
      <c r="J580" s="2" t="str">
        <f>IF(Raw_Data!I580="", "", IF(ISNUMBER(FIND("@", Raw_Data!I580)), Raw_Data!I580, "Review"))</f>
        <v>bob.johnson@example.com</v>
      </c>
      <c r="K580" s="5" t="str">
        <f>IFERROR(TEXT(ABS(Raw_Data!J580), "0"), "Review")</f>
        <v>5580996131</v>
      </c>
      <c r="L580" s="2" t="str">
        <f>IFERROR(TRIM(Raw_Data!K580), "Review")</f>
        <v>Poor</v>
      </c>
      <c r="M580" s="2" t="b">
        <f>IF(Raw_Data!L580="", "",
    IF(ISLOGICAL(Raw_Data!L580), Raw_Data!L580,
        IF(OR(UPPER(Raw_Data!L580)="TRUE", UPPER(Raw_Data!L580)="YES", UPPER(Raw_Data!L580)="1"), TRUE,
            IF(OR(UPPER(Raw_Data!L580)="FALSE", UPPER(Raw_Data!L580)="NO", UPPER(Raw_Data!L580)="0"), FALSE, "Review")
        )
    )
)</f>
        <v>1</v>
      </c>
    </row>
    <row r="581" spans="1:13" x14ac:dyDescent="0.4">
      <c r="A581" s="2" t="str">
        <f>IFERROR(TRIM(Raw_Data!A581), "Review")</f>
        <v>EMP1579</v>
      </c>
      <c r="B581" s="2" t="str">
        <f>IFERROR(TRIM(Raw_Data!B581), "Review")</f>
        <v>David</v>
      </c>
      <c r="C581" s="2" t="str">
        <f>IFERROR(TRIM(Raw_Data!C581), "Review")</f>
        <v>Johnson</v>
      </c>
      <c r="D581" s="2" t="str">
        <f>IF(Raw_Data!D581="", "", IFERROR(VALUE(Raw_Data!D581), ""))</f>
        <v/>
      </c>
      <c r="E581" s="2" t="str">
        <f>IFERROR(LEFT(Raw_Data!E581,SEARCH("-",Raw_Data!E581)-1),"Review")</f>
        <v>DevOps</v>
      </c>
      <c r="F581" s="2" t="str">
        <f>IFERROR(_xlfn.TEXTAFTER(Raw_Data!E581,"-"),"Review")</f>
        <v>Nevada</v>
      </c>
      <c r="G581" s="2" t="str">
        <f>IFERROR(TRIM(Raw_Data!F581), "Review")</f>
        <v>Inactive</v>
      </c>
      <c r="H581" s="3" t="str">
        <f>IFERROR(TEXT(Raw_Data!G581, "YYYY-MM-DD"),"Review")</f>
        <v>2023-08-17</v>
      </c>
      <c r="I581" s="4">
        <f>IF(Raw_Data!H581="", "", IFERROR(VALUE(Raw_Data!H581), ""))</f>
        <v>107172.8</v>
      </c>
      <c r="J581" s="2" t="str">
        <f>IF(Raw_Data!I581="", "", IF(ISNUMBER(FIND("@", Raw_Data!I581)), Raw_Data!I581, "Review"))</f>
        <v>david.johnson@example.com</v>
      </c>
      <c r="K581" s="5" t="str">
        <f>IFERROR(TEXT(ABS(Raw_Data!J581), "0"), "Review")</f>
        <v>7303461561</v>
      </c>
      <c r="L581" s="2" t="str">
        <f>IFERROR(TRIM(Raw_Data!K581), "Review")</f>
        <v>Excellent</v>
      </c>
      <c r="M581" s="2" t="b">
        <f>IF(Raw_Data!L581="", "",
    IF(ISLOGICAL(Raw_Data!L581), Raw_Data!L581,
        IF(OR(UPPER(Raw_Data!L581)="TRUE", UPPER(Raw_Data!L581)="YES", UPPER(Raw_Data!L581)="1"), TRUE,
            IF(OR(UPPER(Raw_Data!L581)="FALSE", UPPER(Raw_Data!L581)="NO", UPPER(Raw_Data!L581)="0"), FALSE, "Review")
        )
    )
)</f>
        <v>1</v>
      </c>
    </row>
    <row r="582" spans="1:13" x14ac:dyDescent="0.4">
      <c r="A582" s="2" t="str">
        <f>IFERROR(TRIM(Raw_Data!A582), "Review")</f>
        <v>EMP1580</v>
      </c>
      <c r="B582" s="2" t="str">
        <f>IFERROR(TRIM(Raw_Data!B582), "Review")</f>
        <v>Charlie</v>
      </c>
      <c r="C582" s="2" t="str">
        <f>IFERROR(TRIM(Raw_Data!C582), "Review")</f>
        <v>Miller</v>
      </c>
      <c r="D582" s="2">
        <f>IF(Raw_Data!D582="", "", IFERROR(VALUE(Raw_Data!D582), ""))</f>
        <v>25</v>
      </c>
      <c r="E582" s="2" t="str">
        <f>IFERROR(LEFT(Raw_Data!E582,SEARCH("-",Raw_Data!E582)-1),"Review")</f>
        <v>Finance</v>
      </c>
      <c r="F582" s="2" t="str">
        <f>IFERROR(_xlfn.TEXTAFTER(Raw_Data!E582,"-"),"Review")</f>
        <v>Nevada</v>
      </c>
      <c r="G582" s="2" t="str">
        <f>IFERROR(TRIM(Raw_Data!F582), "Review")</f>
        <v>Inactive</v>
      </c>
      <c r="H582" s="3" t="str">
        <f>IFERROR(TEXT(Raw_Data!G582, "YYYY-MM-DD"),"Review")</f>
        <v>2020-03-18</v>
      </c>
      <c r="I582" s="4">
        <f>IF(Raw_Data!H582="", "", IFERROR(VALUE(Raw_Data!H582), ""))</f>
        <v>56126.46</v>
      </c>
      <c r="J582" s="2" t="str">
        <f>IF(Raw_Data!I582="", "", IF(ISNUMBER(FIND("@", Raw_Data!I582)), Raw_Data!I582, "Review"))</f>
        <v>charlie.miller@example.com</v>
      </c>
      <c r="K582" s="5" t="str">
        <f>IFERROR(TEXT(ABS(Raw_Data!J582), "0"), "Review")</f>
        <v>6244670461</v>
      </c>
      <c r="L582" s="2" t="str">
        <f>IFERROR(TRIM(Raw_Data!K582), "Review")</f>
        <v>Poor</v>
      </c>
      <c r="M582" s="2" t="b">
        <f>IF(Raw_Data!L582="", "",
    IF(ISLOGICAL(Raw_Data!L582), Raw_Data!L582,
        IF(OR(UPPER(Raw_Data!L582)="TRUE", UPPER(Raw_Data!L582)="YES", UPPER(Raw_Data!L582)="1"), TRUE,
            IF(OR(UPPER(Raw_Data!L582)="FALSE", UPPER(Raw_Data!L582)="NO", UPPER(Raw_Data!L582)="0"), FALSE, "Review")
        )
    )
)</f>
        <v>1</v>
      </c>
    </row>
    <row r="583" spans="1:13" x14ac:dyDescent="0.4">
      <c r="A583" s="2" t="str">
        <f>IFERROR(TRIM(Raw_Data!A583), "Review")</f>
        <v>EMP1581</v>
      </c>
      <c r="B583" s="2" t="str">
        <f>IFERROR(TRIM(Raw_Data!B583), "Review")</f>
        <v>Eva</v>
      </c>
      <c r="C583" s="2" t="str">
        <f>IFERROR(TRIM(Raw_Data!C583), "Review")</f>
        <v>Smith</v>
      </c>
      <c r="D583" s="2" t="str">
        <f>IF(Raw_Data!D583="", "", IFERROR(VALUE(Raw_Data!D583), ""))</f>
        <v/>
      </c>
      <c r="E583" s="2" t="str">
        <f>IFERROR(LEFT(Raw_Data!E583,SEARCH("-",Raw_Data!E583)-1),"Review")</f>
        <v>Cloud Tech</v>
      </c>
      <c r="F583" s="2" t="str">
        <f>IFERROR(_xlfn.TEXTAFTER(Raw_Data!E583,"-"),"Review")</f>
        <v>Illinois</v>
      </c>
      <c r="G583" s="2" t="str">
        <f>IFERROR(TRIM(Raw_Data!F583), "Review")</f>
        <v>Active</v>
      </c>
      <c r="H583" s="3" t="str">
        <f>IFERROR(TEXT(Raw_Data!G583, "YYYY-MM-DD"),"Review")</f>
        <v>2021-06-13</v>
      </c>
      <c r="I583" s="4">
        <f>IF(Raw_Data!H583="", "", IFERROR(VALUE(Raw_Data!H583), ""))</f>
        <v>78534.289999999994</v>
      </c>
      <c r="J583" s="2" t="str">
        <f>IF(Raw_Data!I583="", "", IF(ISNUMBER(FIND("@", Raw_Data!I583)), Raw_Data!I583, "Review"))</f>
        <v>eva.smith@example.com</v>
      </c>
      <c r="K583" s="5" t="str">
        <f>IFERROR(TEXT(ABS(Raw_Data!J583), "0"), "Review")</f>
        <v>2681715159</v>
      </c>
      <c r="L583" s="2" t="str">
        <f>IFERROR(TRIM(Raw_Data!K583), "Review")</f>
        <v>Average</v>
      </c>
      <c r="M583" s="2" t="b">
        <f>IF(Raw_Data!L583="", "",
    IF(ISLOGICAL(Raw_Data!L583), Raw_Data!L583,
        IF(OR(UPPER(Raw_Data!L583)="TRUE", UPPER(Raw_Data!L583)="YES", UPPER(Raw_Data!L583)="1"), TRUE,
            IF(OR(UPPER(Raw_Data!L583)="FALSE", UPPER(Raw_Data!L583)="NO", UPPER(Raw_Data!L583)="0"), FALSE, "Review")
        )
    )
)</f>
        <v>1</v>
      </c>
    </row>
    <row r="584" spans="1:13" x14ac:dyDescent="0.4">
      <c r="A584" s="2" t="str">
        <f>IFERROR(TRIM(Raw_Data!A584), "Review")</f>
        <v>EMP1582</v>
      </c>
      <c r="B584" s="2" t="str">
        <f>IFERROR(TRIM(Raw_Data!B584), "Review")</f>
        <v>Grace</v>
      </c>
      <c r="C584" s="2" t="str">
        <f>IFERROR(TRIM(Raw_Data!C584), "Review")</f>
        <v>Brown</v>
      </c>
      <c r="D584" s="2">
        <f>IF(Raw_Data!D584="", "", IFERROR(VALUE(Raw_Data!D584), ""))</f>
        <v>40</v>
      </c>
      <c r="E584" s="2" t="str">
        <f>IFERROR(LEFT(Raw_Data!E584,SEARCH("-",Raw_Data!E584)-1),"Review")</f>
        <v>HR</v>
      </c>
      <c r="F584" s="2" t="str">
        <f>IFERROR(_xlfn.TEXTAFTER(Raw_Data!E584,"-"),"Review")</f>
        <v>Texas</v>
      </c>
      <c r="G584" s="2" t="str">
        <f>IFERROR(TRIM(Raw_Data!F584), "Review")</f>
        <v>Inactive</v>
      </c>
      <c r="H584" s="3" t="str">
        <f>IFERROR(TEXT(Raw_Data!G584, "YYYY-MM-DD"),"Review")</f>
        <v>2023-10-10</v>
      </c>
      <c r="I584" s="4" t="str">
        <f>IF(Raw_Data!H584="", "", IFERROR(VALUE(Raw_Data!H584), ""))</f>
        <v/>
      </c>
      <c r="J584" s="2" t="str">
        <f>IF(Raw_Data!I584="", "", IF(ISNUMBER(FIND("@", Raw_Data!I584)), Raw_Data!I584, "Review"))</f>
        <v>grace.brown@example.com</v>
      </c>
      <c r="K584" s="5" t="str">
        <f>IFERROR(TEXT(ABS(Raw_Data!J584), "0"), "Review")</f>
        <v>2529867075</v>
      </c>
      <c r="L584" s="2" t="str">
        <f>IFERROR(TRIM(Raw_Data!K584), "Review")</f>
        <v>Good</v>
      </c>
      <c r="M584" s="2" t="b">
        <f>IF(Raw_Data!L584="", "",
    IF(ISLOGICAL(Raw_Data!L584), Raw_Data!L584,
        IF(OR(UPPER(Raw_Data!L584)="TRUE", UPPER(Raw_Data!L584)="YES", UPPER(Raw_Data!L584)="1"), TRUE,
            IF(OR(UPPER(Raw_Data!L584)="FALSE", UPPER(Raw_Data!L584)="NO", UPPER(Raw_Data!L584)="0"), FALSE, "Review")
        )
    )
)</f>
        <v>0</v>
      </c>
    </row>
    <row r="585" spans="1:13" x14ac:dyDescent="0.4">
      <c r="A585" s="2" t="str">
        <f>IFERROR(TRIM(Raw_Data!A585), "Review")</f>
        <v>EMP1583</v>
      </c>
      <c r="B585" s="2" t="str">
        <f>IFERROR(TRIM(Raw_Data!B585), "Review")</f>
        <v>Bob</v>
      </c>
      <c r="C585" s="2" t="str">
        <f>IFERROR(TRIM(Raw_Data!C585), "Review")</f>
        <v>Johnson</v>
      </c>
      <c r="D585" s="2" t="str">
        <f>IF(Raw_Data!D585="", "", IFERROR(VALUE(Raw_Data!D585), ""))</f>
        <v/>
      </c>
      <c r="E585" s="2" t="str">
        <f>IFERROR(LEFT(Raw_Data!E585,SEARCH("-",Raw_Data!E585)-1),"Review")</f>
        <v>Cloud Tech</v>
      </c>
      <c r="F585" s="2" t="str">
        <f>IFERROR(_xlfn.TEXTAFTER(Raw_Data!E585,"-"),"Review")</f>
        <v>Nevada</v>
      </c>
      <c r="G585" s="2" t="str">
        <f>IFERROR(TRIM(Raw_Data!F585), "Review")</f>
        <v>Active</v>
      </c>
      <c r="H585" s="3" t="str">
        <f>IFERROR(TEXT(Raw_Data!G585, "YYYY-MM-DD"),"Review")</f>
        <v>2022-01-02</v>
      </c>
      <c r="I585" s="4">
        <f>IF(Raw_Data!H585="", "", IFERROR(VALUE(Raw_Data!H585), ""))</f>
        <v>114963.34</v>
      </c>
      <c r="J585" s="2" t="str">
        <f>IF(Raw_Data!I585="", "", IF(ISNUMBER(FIND("@", Raw_Data!I585)), Raw_Data!I585, "Review"))</f>
        <v>bob.johnson@example.com</v>
      </c>
      <c r="K585" s="5" t="str">
        <f>IFERROR(TEXT(ABS(Raw_Data!J585), "0"), "Review")</f>
        <v>6046419784</v>
      </c>
      <c r="L585" s="2" t="str">
        <f>IFERROR(TRIM(Raw_Data!K585), "Review")</f>
        <v>Excellent</v>
      </c>
      <c r="M585" s="2" t="b">
        <f>IF(Raw_Data!L585="", "",
    IF(ISLOGICAL(Raw_Data!L585), Raw_Data!L585,
        IF(OR(UPPER(Raw_Data!L585)="TRUE", UPPER(Raw_Data!L585)="YES", UPPER(Raw_Data!L585)="1"), TRUE,
            IF(OR(UPPER(Raw_Data!L585)="FALSE", UPPER(Raw_Data!L585)="NO", UPPER(Raw_Data!L585)="0"), FALSE, "Review")
        )
    )
)</f>
        <v>0</v>
      </c>
    </row>
    <row r="586" spans="1:13" x14ac:dyDescent="0.4">
      <c r="A586" s="2" t="str">
        <f>IFERROR(TRIM(Raw_Data!A586), "Review")</f>
        <v>EMP1584</v>
      </c>
      <c r="B586" s="2" t="str">
        <f>IFERROR(TRIM(Raw_Data!B586), "Review")</f>
        <v>Eva</v>
      </c>
      <c r="C586" s="2" t="str">
        <f>IFERROR(TRIM(Raw_Data!C586), "Review")</f>
        <v>Miller</v>
      </c>
      <c r="D586" s="2" t="str">
        <f>IF(Raw_Data!D586="", "", IFERROR(VALUE(Raw_Data!D586), ""))</f>
        <v/>
      </c>
      <c r="E586" s="2" t="str">
        <f>IFERROR(LEFT(Raw_Data!E586,SEARCH("-",Raw_Data!E586)-1),"Review")</f>
        <v>Cloud Tech</v>
      </c>
      <c r="F586" s="2" t="str">
        <f>IFERROR(_xlfn.TEXTAFTER(Raw_Data!E586,"-"),"Review")</f>
        <v>California</v>
      </c>
      <c r="G586" s="2" t="str">
        <f>IFERROR(TRIM(Raw_Data!F586), "Review")</f>
        <v>Inactive</v>
      </c>
      <c r="H586" s="3" t="str">
        <f>IFERROR(TEXT(Raw_Data!G586, "YYYY-MM-DD"),"Review")</f>
        <v>2022-02-20</v>
      </c>
      <c r="I586" s="4">
        <f>IF(Raw_Data!H586="", "", IFERROR(VALUE(Raw_Data!H586), ""))</f>
        <v>77657.929999999993</v>
      </c>
      <c r="J586" s="2" t="str">
        <f>IF(Raw_Data!I586="", "", IF(ISNUMBER(FIND("@", Raw_Data!I586)), Raw_Data!I586, "Review"))</f>
        <v>eva.miller@example.com</v>
      </c>
      <c r="K586" s="5" t="str">
        <f>IFERROR(TEXT(ABS(Raw_Data!J586), "0"), "Review")</f>
        <v>7585126860</v>
      </c>
      <c r="L586" s="2" t="str">
        <f>IFERROR(TRIM(Raw_Data!K586), "Review")</f>
        <v>Poor</v>
      </c>
      <c r="M586" s="2" t="b">
        <f>IF(Raw_Data!L586="", "",
    IF(ISLOGICAL(Raw_Data!L586), Raw_Data!L586,
        IF(OR(UPPER(Raw_Data!L586)="TRUE", UPPER(Raw_Data!L586)="YES", UPPER(Raw_Data!L586)="1"), TRUE,
            IF(OR(UPPER(Raw_Data!L586)="FALSE", UPPER(Raw_Data!L586)="NO", UPPER(Raw_Data!L586)="0"), FALSE, "Review")
        )
    )
)</f>
        <v>0</v>
      </c>
    </row>
    <row r="587" spans="1:13" x14ac:dyDescent="0.4">
      <c r="A587" s="2" t="str">
        <f>IFERROR(TRIM(Raw_Data!A587), "Review")</f>
        <v>EMP1585</v>
      </c>
      <c r="B587" s="2" t="str">
        <f>IFERROR(TRIM(Raw_Data!B587), "Review")</f>
        <v>Heidi</v>
      </c>
      <c r="C587" s="2" t="str">
        <f>IFERROR(TRIM(Raw_Data!C587), "Review")</f>
        <v>Davis</v>
      </c>
      <c r="D587" s="2">
        <f>IF(Raw_Data!D587="", "", IFERROR(VALUE(Raw_Data!D587), ""))</f>
        <v>30</v>
      </c>
      <c r="E587" s="2" t="str">
        <f>IFERROR(LEFT(Raw_Data!E587,SEARCH("-",Raw_Data!E587)-1),"Review")</f>
        <v>Sales</v>
      </c>
      <c r="F587" s="2" t="str">
        <f>IFERROR(_xlfn.TEXTAFTER(Raw_Data!E587,"-"),"Review")</f>
        <v>New York</v>
      </c>
      <c r="G587" s="2" t="str">
        <f>IFERROR(TRIM(Raw_Data!F587), "Review")</f>
        <v>Active</v>
      </c>
      <c r="H587" s="3" t="str">
        <f>IFERROR(TEXT(Raw_Data!G587, "YYYY-MM-DD"),"Review")</f>
        <v>2024-03-09</v>
      </c>
      <c r="I587" s="4">
        <f>IF(Raw_Data!H587="", "", IFERROR(VALUE(Raw_Data!H587), ""))</f>
        <v>77369.48</v>
      </c>
      <c r="J587" s="2" t="str">
        <f>IF(Raw_Data!I587="", "", IF(ISNUMBER(FIND("@", Raw_Data!I587)), Raw_Data!I587, "Review"))</f>
        <v>heidi.davis@example.com</v>
      </c>
      <c r="K587" s="5" t="str">
        <f>IFERROR(TEXT(ABS(Raw_Data!J587), "0"), "Review")</f>
        <v>2059438975</v>
      </c>
      <c r="L587" s="2" t="str">
        <f>IFERROR(TRIM(Raw_Data!K587), "Review")</f>
        <v>Average</v>
      </c>
      <c r="M587" s="2" t="b">
        <f>IF(Raw_Data!L587="", "",
    IF(ISLOGICAL(Raw_Data!L587), Raw_Data!L587,
        IF(OR(UPPER(Raw_Data!L587)="TRUE", UPPER(Raw_Data!L587)="YES", UPPER(Raw_Data!L587)="1"), TRUE,
            IF(OR(UPPER(Raw_Data!L587)="FALSE", UPPER(Raw_Data!L587)="NO", UPPER(Raw_Data!L587)="0"), FALSE, "Review")
        )
    )
)</f>
        <v>0</v>
      </c>
    </row>
    <row r="588" spans="1:13" x14ac:dyDescent="0.4">
      <c r="A588" s="2" t="str">
        <f>IFERROR(TRIM(Raw_Data!A588), "Review")</f>
        <v>EMP1586</v>
      </c>
      <c r="B588" s="2" t="str">
        <f>IFERROR(TRIM(Raw_Data!B588), "Review")</f>
        <v>Eva</v>
      </c>
      <c r="C588" s="2" t="str">
        <f>IFERROR(TRIM(Raw_Data!C588), "Review")</f>
        <v>Miller</v>
      </c>
      <c r="D588" s="2">
        <f>IF(Raw_Data!D588="", "", IFERROR(VALUE(Raw_Data!D588), ""))</f>
        <v>30</v>
      </c>
      <c r="E588" s="2" t="str">
        <f>IFERROR(LEFT(Raw_Data!E588,SEARCH("-",Raw_Data!E588)-1),"Review")</f>
        <v>HR</v>
      </c>
      <c r="F588" s="2" t="str">
        <f>IFERROR(_xlfn.TEXTAFTER(Raw_Data!E588,"-"),"Review")</f>
        <v>Nevada</v>
      </c>
      <c r="G588" s="2" t="str">
        <f>IFERROR(TRIM(Raw_Data!F588), "Review")</f>
        <v>Pending</v>
      </c>
      <c r="H588" s="3" t="str">
        <f>IFERROR(TEXT(Raw_Data!G588, "YYYY-MM-DD"),"Review")</f>
        <v>2023-08-19</v>
      </c>
      <c r="I588" s="4">
        <f>IF(Raw_Data!H588="", "", IFERROR(VALUE(Raw_Data!H588), ""))</f>
        <v>76119.14</v>
      </c>
      <c r="J588" s="2" t="str">
        <f>IF(Raw_Data!I588="", "", IF(ISNUMBER(FIND("@", Raw_Data!I588)), Raw_Data!I588, "Review"))</f>
        <v>eva.miller@example.com</v>
      </c>
      <c r="K588" s="5" t="str">
        <f>IFERROR(TEXT(ABS(Raw_Data!J588), "0"), "Review")</f>
        <v>740177508</v>
      </c>
      <c r="L588" s="2" t="str">
        <f>IFERROR(TRIM(Raw_Data!K588), "Review")</f>
        <v>Good</v>
      </c>
      <c r="M588" s="2" t="b">
        <f>IF(Raw_Data!L588="", "",
    IF(ISLOGICAL(Raw_Data!L588), Raw_Data!L588,
        IF(OR(UPPER(Raw_Data!L588)="TRUE", UPPER(Raw_Data!L588)="YES", UPPER(Raw_Data!L588)="1"), TRUE,
            IF(OR(UPPER(Raw_Data!L588)="FALSE", UPPER(Raw_Data!L588)="NO", UPPER(Raw_Data!L588)="0"), FALSE, "Review")
        )
    )
)</f>
        <v>0</v>
      </c>
    </row>
    <row r="589" spans="1:13" x14ac:dyDescent="0.4">
      <c r="A589" s="2" t="str">
        <f>IFERROR(TRIM(Raw_Data!A589), "Review")</f>
        <v>EMP1587</v>
      </c>
      <c r="B589" s="2" t="str">
        <f>IFERROR(TRIM(Raw_Data!B589), "Review")</f>
        <v>Charlie</v>
      </c>
      <c r="C589" s="2" t="str">
        <f>IFERROR(TRIM(Raw_Data!C589), "Review")</f>
        <v>Williams</v>
      </c>
      <c r="D589" s="2">
        <f>IF(Raw_Data!D589="", "", IFERROR(VALUE(Raw_Data!D589), ""))</f>
        <v>25</v>
      </c>
      <c r="E589" s="2" t="str">
        <f>IFERROR(LEFT(Raw_Data!E589,SEARCH("-",Raw_Data!E589)-1),"Review")</f>
        <v>Cloud Tech</v>
      </c>
      <c r="F589" s="2" t="str">
        <f>IFERROR(_xlfn.TEXTAFTER(Raw_Data!E589,"-"),"Review")</f>
        <v>Texas</v>
      </c>
      <c r="G589" s="2" t="str">
        <f>IFERROR(TRIM(Raw_Data!F589), "Review")</f>
        <v>Pending</v>
      </c>
      <c r="H589" s="3" t="str">
        <f>IFERROR(TEXT(Raw_Data!G589, "YYYY-MM-DD"),"Review")</f>
        <v>2023-05-06</v>
      </c>
      <c r="I589" s="4">
        <f>IF(Raw_Data!H589="", "", IFERROR(VALUE(Raw_Data!H589), ""))</f>
        <v>77585.72</v>
      </c>
      <c r="J589" s="2" t="str">
        <f>IF(Raw_Data!I589="", "", IF(ISNUMBER(FIND("@", Raw_Data!I589)), Raw_Data!I589, "Review"))</f>
        <v>charlie.williams@example.com</v>
      </c>
      <c r="K589" s="5" t="str">
        <f>IFERROR(TEXT(ABS(Raw_Data!J589), "0"), "Review")</f>
        <v>5465408423</v>
      </c>
      <c r="L589" s="2" t="str">
        <f>IFERROR(TRIM(Raw_Data!K589), "Review")</f>
        <v>Excellent</v>
      </c>
      <c r="M589" s="2" t="b">
        <f>IF(Raw_Data!L589="", "",
    IF(ISLOGICAL(Raw_Data!L589), Raw_Data!L589,
        IF(OR(UPPER(Raw_Data!L589)="TRUE", UPPER(Raw_Data!L589)="YES", UPPER(Raw_Data!L589)="1"), TRUE,
            IF(OR(UPPER(Raw_Data!L589)="FALSE", UPPER(Raw_Data!L589)="NO", UPPER(Raw_Data!L589)="0"), FALSE, "Review")
        )
    )
)</f>
        <v>0</v>
      </c>
    </row>
    <row r="590" spans="1:13" x14ac:dyDescent="0.4">
      <c r="A590" s="2" t="str">
        <f>IFERROR(TRIM(Raw_Data!A590), "Review")</f>
        <v>EMP1588</v>
      </c>
      <c r="B590" s="2" t="str">
        <f>IFERROR(TRIM(Raw_Data!B590), "Review")</f>
        <v>Bob</v>
      </c>
      <c r="C590" s="2" t="str">
        <f>IFERROR(TRIM(Raw_Data!C590), "Review")</f>
        <v>Brown</v>
      </c>
      <c r="D590" s="2">
        <f>IF(Raw_Data!D590="", "", IFERROR(VALUE(Raw_Data!D590), ""))</f>
        <v>35</v>
      </c>
      <c r="E590" s="2" t="str">
        <f>IFERROR(LEFT(Raw_Data!E590,SEARCH("-",Raw_Data!E590)-1),"Review")</f>
        <v>Admin</v>
      </c>
      <c r="F590" s="2" t="str">
        <f>IFERROR(_xlfn.TEXTAFTER(Raw_Data!E590,"-"),"Review")</f>
        <v>Nevada</v>
      </c>
      <c r="G590" s="2" t="str">
        <f>IFERROR(TRIM(Raw_Data!F590), "Review")</f>
        <v>Pending</v>
      </c>
      <c r="H590" s="3" t="str">
        <f>IFERROR(TEXT(Raw_Data!G590, "YYYY-MM-DD"),"Review")</f>
        <v>2024-01-26</v>
      </c>
      <c r="I590" s="4">
        <f>IF(Raw_Data!H590="", "", IFERROR(VALUE(Raw_Data!H590), ""))</f>
        <v>74069.62</v>
      </c>
      <c r="J590" s="2" t="str">
        <f>IF(Raw_Data!I590="", "", IF(ISNUMBER(FIND("@", Raw_Data!I590)), Raw_Data!I590, "Review"))</f>
        <v>bob.brown@example.com</v>
      </c>
      <c r="K590" s="5" t="str">
        <f>IFERROR(TEXT(ABS(Raw_Data!J590), "0"), "Review")</f>
        <v>5607540914</v>
      </c>
      <c r="L590" s="2" t="str">
        <f>IFERROR(TRIM(Raw_Data!K590), "Review")</f>
        <v>Good</v>
      </c>
      <c r="M590" s="2" t="b">
        <f>IF(Raw_Data!L590="", "",
    IF(ISLOGICAL(Raw_Data!L590), Raw_Data!L590,
        IF(OR(UPPER(Raw_Data!L590)="TRUE", UPPER(Raw_Data!L590)="YES", UPPER(Raw_Data!L590)="1"), TRUE,
            IF(OR(UPPER(Raw_Data!L590)="FALSE", UPPER(Raw_Data!L590)="NO", UPPER(Raw_Data!L590)="0"), FALSE, "Review")
        )
    )
)</f>
        <v>0</v>
      </c>
    </row>
    <row r="591" spans="1:13" x14ac:dyDescent="0.4">
      <c r="A591" s="2" t="str">
        <f>IFERROR(TRIM(Raw_Data!A591), "Review")</f>
        <v>EMP1589</v>
      </c>
      <c r="B591" s="2" t="str">
        <f>IFERROR(TRIM(Raw_Data!B591), "Review")</f>
        <v>Charlie</v>
      </c>
      <c r="C591" s="2" t="str">
        <f>IFERROR(TRIM(Raw_Data!C591), "Review")</f>
        <v>Jones</v>
      </c>
      <c r="D591" s="2">
        <f>IF(Raw_Data!D591="", "", IFERROR(VALUE(Raw_Data!D591), ""))</f>
        <v>30</v>
      </c>
      <c r="E591" s="2" t="str">
        <f>IFERROR(LEFT(Raw_Data!E591,SEARCH("-",Raw_Data!E591)-1),"Review")</f>
        <v>Admin</v>
      </c>
      <c r="F591" s="2" t="str">
        <f>IFERROR(_xlfn.TEXTAFTER(Raw_Data!E591,"-"),"Review")</f>
        <v>New York</v>
      </c>
      <c r="G591" s="2" t="str">
        <f>IFERROR(TRIM(Raw_Data!F591), "Review")</f>
        <v>Pending</v>
      </c>
      <c r="H591" s="3" t="str">
        <f>IFERROR(TEXT(Raw_Data!G591, "YYYY-MM-DD"),"Review")</f>
        <v>2024-09-05</v>
      </c>
      <c r="I591" s="4">
        <f>IF(Raw_Data!H591="", "", IFERROR(VALUE(Raw_Data!H591), ""))</f>
        <v>67691.92</v>
      </c>
      <c r="J591" s="2" t="str">
        <f>IF(Raw_Data!I591="", "", IF(ISNUMBER(FIND("@", Raw_Data!I591)), Raw_Data!I591, "Review"))</f>
        <v>charlie.jones@example.com</v>
      </c>
      <c r="K591" s="5" t="str">
        <f>IFERROR(TEXT(ABS(Raw_Data!J591), "0"), "Review")</f>
        <v>863218121</v>
      </c>
      <c r="L591" s="2" t="str">
        <f>IFERROR(TRIM(Raw_Data!K591), "Review")</f>
        <v>Average</v>
      </c>
      <c r="M591" s="2" t="b">
        <f>IF(Raw_Data!L591="", "",
    IF(ISLOGICAL(Raw_Data!L591), Raw_Data!L591,
        IF(OR(UPPER(Raw_Data!L591)="TRUE", UPPER(Raw_Data!L591)="YES", UPPER(Raw_Data!L591)="1"), TRUE,
            IF(OR(UPPER(Raw_Data!L591)="FALSE", UPPER(Raw_Data!L591)="NO", UPPER(Raw_Data!L591)="0"), FALSE, "Review")
        )
    )
)</f>
        <v>1</v>
      </c>
    </row>
    <row r="592" spans="1:13" x14ac:dyDescent="0.4">
      <c r="A592" s="2" t="str">
        <f>IFERROR(TRIM(Raw_Data!A592), "Review")</f>
        <v>EMP1590</v>
      </c>
      <c r="B592" s="2" t="str">
        <f>IFERROR(TRIM(Raw_Data!B592), "Review")</f>
        <v>Alice</v>
      </c>
      <c r="C592" s="2" t="str">
        <f>IFERROR(TRIM(Raw_Data!C592), "Review")</f>
        <v>Smith</v>
      </c>
      <c r="D592" s="2" t="str">
        <f>IF(Raw_Data!D592="", "", IFERROR(VALUE(Raw_Data!D592), ""))</f>
        <v/>
      </c>
      <c r="E592" s="2" t="str">
        <f>IFERROR(LEFT(Raw_Data!E592,SEARCH("-",Raw_Data!E592)-1),"Review")</f>
        <v>Finance</v>
      </c>
      <c r="F592" s="2" t="str">
        <f>IFERROR(_xlfn.TEXTAFTER(Raw_Data!E592,"-"),"Review")</f>
        <v>Nevada</v>
      </c>
      <c r="G592" s="2" t="str">
        <f>IFERROR(TRIM(Raw_Data!F592), "Review")</f>
        <v>Pending</v>
      </c>
      <c r="H592" s="3" t="str">
        <f>IFERROR(TEXT(Raw_Data!G592, "YYYY-MM-DD"),"Review")</f>
        <v>2020-05-29</v>
      </c>
      <c r="I592" s="4">
        <f>IF(Raw_Data!H592="", "", IFERROR(VALUE(Raw_Data!H592), ""))</f>
        <v>70345.69</v>
      </c>
      <c r="J592" s="2" t="str">
        <f>IF(Raw_Data!I592="", "", IF(ISNUMBER(FIND("@", Raw_Data!I592)), Raw_Data!I592, "Review"))</f>
        <v>alice.smith@example.com</v>
      </c>
      <c r="K592" s="5" t="str">
        <f>IFERROR(TEXT(ABS(Raw_Data!J592), "0"), "Review")</f>
        <v>7645793896</v>
      </c>
      <c r="L592" s="2" t="str">
        <f>IFERROR(TRIM(Raw_Data!K592), "Review")</f>
        <v>Excellent</v>
      </c>
      <c r="M592" s="2" t="b">
        <f>IF(Raw_Data!L592="", "",
    IF(ISLOGICAL(Raw_Data!L592), Raw_Data!L592,
        IF(OR(UPPER(Raw_Data!L592)="TRUE", UPPER(Raw_Data!L592)="YES", UPPER(Raw_Data!L592)="1"), TRUE,
            IF(OR(UPPER(Raw_Data!L592)="FALSE", UPPER(Raw_Data!L592)="NO", UPPER(Raw_Data!L592)="0"), FALSE, "Review")
        )
    )
)</f>
        <v>1</v>
      </c>
    </row>
    <row r="593" spans="1:13" x14ac:dyDescent="0.4">
      <c r="A593" s="2" t="str">
        <f>IFERROR(TRIM(Raw_Data!A593), "Review")</f>
        <v>EMP1591</v>
      </c>
      <c r="B593" s="2" t="str">
        <f>IFERROR(TRIM(Raw_Data!B593), "Review")</f>
        <v>Bob</v>
      </c>
      <c r="C593" s="2" t="str">
        <f>IFERROR(TRIM(Raw_Data!C593), "Review")</f>
        <v>Garcia</v>
      </c>
      <c r="D593" s="2">
        <f>IF(Raw_Data!D593="", "", IFERROR(VALUE(Raw_Data!D593), ""))</f>
        <v>30</v>
      </c>
      <c r="E593" s="2" t="str">
        <f>IFERROR(LEFT(Raw_Data!E593,SEARCH("-",Raw_Data!E593)-1),"Review")</f>
        <v>DevOps</v>
      </c>
      <c r="F593" s="2" t="str">
        <f>IFERROR(_xlfn.TEXTAFTER(Raw_Data!E593,"-"),"Review")</f>
        <v>Illinois</v>
      </c>
      <c r="G593" s="2" t="str">
        <f>IFERROR(TRIM(Raw_Data!F593), "Review")</f>
        <v>Inactive</v>
      </c>
      <c r="H593" s="3" t="str">
        <f>IFERROR(TEXT(Raw_Data!G593, "YYYY-MM-DD"),"Review")</f>
        <v>2021-11-08</v>
      </c>
      <c r="I593" s="4">
        <f>IF(Raw_Data!H593="", "", IFERROR(VALUE(Raw_Data!H593), ""))</f>
        <v>74999.69</v>
      </c>
      <c r="J593" s="2" t="str">
        <f>IF(Raw_Data!I593="", "", IF(ISNUMBER(FIND("@", Raw_Data!I593)), Raw_Data!I593, "Review"))</f>
        <v>bob.garcia@example.com</v>
      </c>
      <c r="K593" s="5" t="str">
        <f>IFERROR(TEXT(ABS(Raw_Data!J593), "0"), "Review")</f>
        <v>155029167</v>
      </c>
      <c r="L593" s="2" t="str">
        <f>IFERROR(TRIM(Raw_Data!K593), "Review")</f>
        <v>Good</v>
      </c>
      <c r="M593" s="2" t="b">
        <f>IF(Raw_Data!L593="", "",
    IF(ISLOGICAL(Raw_Data!L593), Raw_Data!L593,
        IF(OR(UPPER(Raw_Data!L593)="TRUE", UPPER(Raw_Data!L593)="YES", UPPER(Raw_Data!L593)="1"), TRUE,
            IF(OR(UPPER(Raw_Data!L593)="FALSE", UPPER(Raw_Data!L593)="NO", UPPER(Raw_Data!L593)="0"), FALSE, "Review")
        )
    )
)</f>
        <v>1</v>
      </c>
    </row>
    <row r="594" spans="1:13" x14ac:dyDescent="0.4">
      <c r="A594" s="2" t="str">
        <f>IFERROR(TRIM(Raw_Data!A594), "Review")</f>
        <v>EMP1592</v>
      </c>
      <c r="B594" s="2" t="str">
        <f>IFERROR(TRIM(Raw_Data!B594), "Review")</f>
        <v>David</v>
      </c>
      <c r="C594" s="2" t="str">
        <f>IFERROR(TRIM(Raw_Data!C594), "Review")</f>
        <v>Jones</v>
      </c>
      <c r="D594" s="2">
        <f>IF(Raw_Data!D594="", "", IFERROR(VALUE(Raw_Data!D594), ""))</f>
        <v>25</v>
      </c>
      <c r="E594" s="2" t="str">
        <f>IFERROR(LEFT(Raw_Data!E594,SEARCH("-",Raw_Data!E594)-1),"Review")</f>
        <v>HR</v>
      </c>
      <c r="F594" s="2" t="str">
        <f>IFERROR(_xlfn.TEXTAFTER(Raw_Data!E594,"-"),"Review")</f>
        <v>Illinois</v>
      </c>
      <c r="G594" s="2" t="str">
        <f>IFERROR(TRIM(Raw_Data!F594), "Review")</f>
        <v>Active</v>
      </c>
      <c r="H594" s="3" t="str">
        <f>IFERROR(TEXT(Raw_Data!G594, "YYYY-MM-DD"),"Review")</f>
        <v>2021-01-31</v>
      </c>
      <c r="I594" s="4">
        <f>IF(Raw_Data!H594="", "", IFERROR(VALUE(Raw_Data!H594), ""))</f>
        <v>72245.02</v>
      </c>
      <c r="J594" s="2" t="str">
        <f>IF(Raw_Data!I594="", "", IF(ISNUMBER(FIND("@", Raw_Data!I594)), Raw_Data!I594, "Review"))</f>
        <v>david.jones@example.com</v>
      </c>
      <c r="K594" s="5" t="str">
        <f>IFERROR(TEXT(ABS(Raw_Data!J594), "0"), "Review")</f>
        <v>1546602415</v>
      </c>
      <c r="L594" s="2" t="str">
        <f>IFERROR(TRIM(Raw_Data!K594), "Review")</f>
        <v>Poor</v>
      </c>
      <c r="M594" s="2" t="b">
        <f>IF(Raw_Data!L594="", "",
    IF(ISLOGICAL(Raw_Data!L594), Raw_Data!L594,
        IF(OR(UPPER(Raw_Data!L594)="TRUE", UPPER(Raw_Data!L594)="YES", UPPER(Raw_Data!L594)="1"), TRUE,
            IF(OR(UPPER(Raw_Data!L594)="FALSE", UPPER(Raw_Data!L594)="NO", UPPER(Raw_Data!L594)="0"), FALSE, "Review")
        )
    )
)</f>
        <v>1</v>
      </c>
    </row>
    <row r="595" spans="1:13" x14ac:dyDescent="0.4">
      <c r="A595" s="2" t="str">
        <f>IFERROR(TRIM(Raw_Data!A595), "Review")</f>
        <v>EMP1593</v>
      </c>
      <c r="B595" s="2" t="str">
        <f>IFERROR(TRIM(Raw_Data!B595), "Review")</f>
        <v>Eva</v>
      </c>
      <c r="C595" s="2" t="str">
        <f>IFERROR(TRIM(Raw_Data!C595), "Review")</f>
        <v>Brown</v>
      </c>
      <c r="D595" s="2" t="str">
        <f>IF(Raw_Data!D595="", "", IFERROR(VALUE(Raw_Data!D595), ""))</f>
        <v/>
      </c>
      <c r="E595" s="2" t="str">
        <f>IFERROR(LEFT(Raw_Data!E595,SEARCH("-",Raw_Data!E595)-1),"Review")</f>
        <v>Admin</v>
      </c>
      <c r="F595" s="2" t="str">
        <f>IFERROR(_xlfn.TEXTAFTER(Raw_Data!E595,"-"),"Review")</f>
        <v>Illinois</v>
      </c>
      <c r="G595" s="2" t="str">
        <f>IFERROR(TRIM(Raw_Data!F595), "Review")</f>
        <v>Pending</v>
      </c>
      <c r="H595" s="3" t="str">
        <f>IFERROR(TEXT(Raw_Data!G595, "YYYY-MM-DD"),"Review")</f>
        <v>2022-01-16</v>
      </c>
      <c r="I595" s="4">
        <f>IF(Raw_Data!H595="", "", IFERROR(VALUE(Raw_Data!H595), ""))</f>
        <v>106538.98</v>
      </c>
      <c r="J595" s="2" t="str">
        <f>IF(Raw_Data!I595="", "", IF(ISNUMBER(FIND("@", Raw_Data!I595)), Raw_Data!I595, "Review"))</f>
        <v>eva.brown@example.com</v>
      </c>
      <c r="K595" s="5" t="str">
        <f>IFERROR(TEXT(ABS(Raw_Data!J595), "0"), "Review")</f>
        <v>1394498829</v>
      </c>
      <c r="L595" s="2" t="str">
        <f>IFERROR(TRIM(Raw_Data!K595), "Review")</f>
        <v>Excellent</v>
      </c>
      <c r="M595" s="2" t="b">
        <f>IF(Raw_Data!L595="", "",
    IF(ISLOGICAL(Raw_Data!L595), Raw_Data!L595,
        IF(OR(UPPER(Raw_Data!L595)="TRUE", UPPER(Raw_Data!L595)="YES", UPPER(Raw_Data!L595)="1"), TRUE,
            IF(OR(UPPER(Raw_Data!L595)="FALSE", UPPER(Raw_Data!L595)="NO", UPPER(Raw_Data!L595)="0"), FALSE, "Review")
        )
    )
)</f>
        <v>0</v>
      </c>
    </row>
    <row r="596" spans="1:13" x14ac:dyDescent="0.4">
      <c r="A596" s="2" t="str">
        <f>IFERROR(TRIM(Raw_Data!A596), "Review")</f>
        <v>EMP1594</v>
      </c>
      <c r="B596" s="2" t="str">
        <f>IFERROR(TRIM(Raw_Data!B596), "Review")</f>
        <v>Charlie</v>
      </c>
      <c r="C596" s="2" t="str">
        <f>IFERROR(TRIM(Raw_Data!C596), "Review")</f>
        <v>Brown</v>
      </c>
      <c r="D596" s="2">
        <f>IF(Raw_Data!D596="", "", IFERROR(VALUE(Raw_Data!D596), ""))</f>
        <v>25</v>
      </c>
      <c r="E596" s="2" t="str">
        <f>IFERROR(LEFT(Raw_Data!E596,SEARCH("-",Raw_Data!E596)-1),"Review")</f>
        <v>HR</v>
      </c>
      <c r="F596" s="2" t="str">
        <f>IFERROR(_xlfn.TEXTAFTER(Raw_Data!E596,"-"),"Review")</f>
        <v>New York</v>
      </c>
      <c r="G596" s="2" t="str">
        <f>IFERROR(TRIM(Raw_Data!F596), "Review")</f>
        <v>Active</v>
      </c>
      <c r="H596" s="3" t="str">
        <f>IFERROR(TEXT(Raw_Data!G596, "YYYY-MM-DD"),"Review")</f>
        <v>2023-12-29</v>
      </c>
      <c r="I596" s="4">
        <f>IF(Raw_Data!H596="", "", IFERROR(VALUE(Raw_Data!H596), ""))</f>
        <v>101787.14</v>
      </c>
      <c r="J596" s="2" t="str">
        <f>IF(Raw_Data!I596="", "", IF(ISNUMBER(FIND("@", Raw_Data!I596)), Raw_Data!I596, "Review"))</f>
        <v>charlie.brown@example.com</v>
      </c>
      <c r="K596" s="5" t="str">
        <f>IFERROR(TEXT(ABS(Raw_Data!J596), "0"), "Review")</f>
        <v>5973642479</v>
      </c>
      <c r="L596" s="2" t="str">
        <f>IFERROR(TRIM(Raw_Data!K596), "Review")</f>
        <v>Good</v>
      </c>
      <c r="M596" s="2" t="b">
        <f>IF(Raw_Data!L596="", "",
    IF(ISLOGICAL(Raw_Data!L596), Raw_Data!L596,
        IF(OR(UPPER(Raw_Data!L596)="TRUE", UPPER(Raw_Data!L596)="YES", UPPER(Raw_Data!L596)="1"), TRUE,
            IF(OR(UPPER(Raw_Data!L596)="FALSE", UPPER(Raw_Data!L596)="NO", UPPER(Raw_Data!L596)="0"), FALSE, "Review")
        )
    )
)</f>
        <v>0</v>
      </c>
    </row>
    <row r="597" spans="1:13" x14ac:dyDescent="0.4">
      <c r="A597" s="2" t="str">
        <f>IFERROR(TRIM(Raw_Data!A597), "Review")</f>
        <v>EMP1595</v>
      </c>
      <c r="B597" s="2" t="str">
        <f>IFERROR(TRIM(Raw_Data!B597), "Review")</f>
        <v>Frank</v>
      </c>
      <c r="C597" s="2" t="str">
        <f>IFERROR(TRIM(Raw_Data!C597), "Review")</f>
        <v>Brown</v>
      </c>
      <c r="D597" s="2">
        <f>IF(Raw_Data!D597="", "", IFERROR(VALUE(Raw_Data!D597), ""))</f>
        <v>30</v>
      </c>
      <c r="E597" s="2" t="str">
        <f>IFERROR(LEFT(Raw_Data!E597,SEARCH("-",Raw_Data!E597)-1),"Review")</f>
        <v>DevOps</v>
      </c>
      <c r="F597" s="2" t="str">
        <f>IFERROR(_xlfn.TEXTAFTER(Raw_Data!E597,"-"),"Review")</f>
        <v>Nevada</v>
      </c>
      <c r="G597" s="2" t="str">
        <f>IFERROR(TRIM(Raw_Data!F597), "Review")</f>
        <v>Inactive</v>
      </c>
      <c r="H597" s="3" t="str">
        <f>IFERROR(TEXT(Raw_Data!G597, "YYYY-MM-DD"),"Review")</f>
        <v>2024-12-02</v>
      </c>
      <c r="I597" s="4">
        <f>IF(Raw_Data!H597="", "", IFERROR(VALUE(Raw_Data!H597), ""))</f>
        <v>83596.78</v>
      </c>
      <c r="J597" s="2" t="str">
        <f>IF(Raw_Data!I597="", "", IF(ISNUMBER(FIND("@", Raw_Data!I597)), Raw_Data!I597, "Review"))</f>
        <v>frank.brown@example.com</v>
      </c>
      <c r="K597" s="5" t="str">
        <f>IFERROR(TEXT(ABS(Raw_Data!J597), "0"), "Review")</f>
        <v>9624406305</v>
      </c>
      <c r="L597" s="2" t="str">
        <f>IFERROR(TRIM(Raw_Data!K597), "Review")</f>
        <v>Average</v>
      </c>
      <c r="M597" s="2" t="b">
        <f>IF(Raw_Data!L597="", "",
    IF(ISLOGICAL(Raw_Data!L597), Raw_Data!L597,
        IF(OR(UPPER(Raw_Data!L597)="TRUE", UPPER(Raw_Data!L597)="YES", UPPER(Raw_Data!L597)="1"), TRUE,
            IF(OR(UPPER(Raw_Data!L597)="FALSE", UPPER(Raw_Data!L597)="NO", UPPER(Raw_Data!L597)="0"), FALSE, "Review")
        )
    )
)</f>
        <v>0</v>
      </c>
    </row>
    <row r="598" spans="1:13" x14ac:dyDescent="0.4">
      <c r="A598" s="2" t="str">
        <f>IFERROR(TRIM(Raw_Data!A598), "Review")</f>
        <v>EMP1596</v>
      </c>
      <c r="B598" s="2" t="str">
        <f>IFERROR(TRIM(Raw_Data!B598), "Review")</f>
        <v>Eva</v>
      </c>
      <c r="C598" s="2" t="str">
        <f>IFERROR(TRIM(Raw_Data!C598), "Review")</f>
        <v>Jones</v>
      </c>
      <c r="D598" s="2">
        <f>IF(Raw_Data!D598="", "", IFERROR(VALUE(Raw_Data!D598), ""))</f>
        <v>40</v>
      </c>
      <c r="E598" s="2" t="str">
        <f>IFERROR(LEFT(Raw_Data!E598,SEARCH("-",Raw_Data!E598)-1),"Review")</f>
        <v>Sales</v>
      </c>
      <c r="F598" s="2" t="str">
        <f>IFERROR(_xlfn.TEXTAFTER(Raw_Data!E598,"-"),"Review")</f>
        <v>Texas</v>
      </c>
      <c r="G598" s="2" t="str">
        <f>IFERROR(TRIM(Raw_Data!F598), "Review")</f>
        <v>Active</v>
      </c>
      <c r="H598" s="3" t="str">
        <f>IFERROR(TEXT(Raw_Data!G598, "YYYY-MM-DD"),"Review")</f>
        <v>2023-08-15</v>
      </c>
      <c r="I598" s="4">
        <f>IF(Raw_Data!H598="", "", IFERROR(VALUE(Raw_Data!H598), ""))</f>
        <v>92463.94</v>
      </c>
      <c r="J598" s="2" t="str">
        <f>IF(Raw_Data!I598="", "", IF(ISNUMBER(FIND("@", Raw_Data!I598)), Raw_Data!I598, "Review"))</f>
        <v>eva.jones@example.com</v>
      </c>
      <c r="K598" s="5" t="str">
        <f>IFERROR(TEXT(ABS(Raw_Data!J598), "0"), "Review")</f>
        <v>2447951329</v>
      </c>
      <c r="L598" s="2" t="str">
        <f>IFERROR(TRIM(Raw_Data!K598), "Review")</f>
        <v>Average</v>
      </c>
      <c r="M598" s="2" t="b">
        <f>IF(Raw_Data!L598="", "",
    IF(ISLOGICAL(Raw_Data!L598), Raw_Data!L598,
        IF(OR(UPPER(Raw_Data!L598)="TRUE", UPPER(Raw_Data!L598)="YES", UPPER(Raw_Data!L598)="1"), TRUE,
            IF(OR(UPPER(Raw_Data!L598)="FALSE", UPPER(Raw_Data!L598)="NO", UPPER(Raw_Data!L598)="0"), FALSE, "Review")
        )
    )
)</f>
        <v>1</v>
      </c>
    </row>
    <row r="599" spans="1:13" x14ac:dyDescent="0.4">
      <c r="A599" s="2" t="str">
        <f>IFERROR(TRIM(Raw_Data!A599), "Review")</f>
        <v>EMP1597</v>
      </c>
      <c r="B599" s="2" t="str">
        <f>IFERROR(TRIM(Raw_Data!B599), "Review")</f>
        <v>Charlie</v>
      </c>
      <c r="C599" s="2" t="str">
        <f>IFERROR(TRIM(Raw_Data!C599), "Review")</f>
        <v>Davis</v>
      </c>
      <c r="D599" s="2" t="str">
        <f>IF(Raw_Data!D599="", "", IFERROR(VALUE(Raw_Data!D599), ""))</f>
        <v/>
      </c>
      <c r="E599" s="2" t="str">
        <f>IFERROR(LEFT(Raw_Data!E599,SEARCH("-",Raw_Data!E599)-1),"Review")</f>
        <v>Admin</v>
      </c>
      <c r="F599" s="2" t="str">
        <f>IFERROR(_xlfn.TEXTAFTER(Raw_Data!E599,"-"),"Review")</f>
        <v>California</v>
      </c>
      <c r="G599" s="2" t="str">
        <f>IFERROR(TRIM(Raw_Data!F599), "Review")</f>
        <v>Pending</v>
      </c>
      <c r="H599" s="3" t="str">
        <f>IFERROR(TEXT(Raw_Data!G599, "YYYY-MM-DD"),"Review")</f>
        <v>2024-12-20</v>
      </c>
      <c r="I599" s="4">
        <f>IF(Raw_Data!H599="", "", IFERROR(VALUE(Raw_Data!H599), ""))</f>
        <v>93863.32</v>
      </c>
      <c r="J599" s="2" t="str">
        <f>IF(Raw_Data!I599="", "", IF(ISNUMBER(FIND("@", Raw_Data!I599)), Raw_Data!I599, "Review"))</f>
        <v>charlie.davis@example.com</v>
      </c>
      <c r="K599" s="5" t="str">
        <f>IFERROR(TEXT(ABS(Raw_Data!J599), "0"), "Review")</f>
        <v>5319497968</v>
      </c>
      <c r="L599" s="2" t="str">
        <f>IFERROR(TRIM(Raw_Data!K599), "Review")</f>
        <v>Excellent</v>
      </c>
      <c r="M599" s="2" t="b">
        <f>IF(Raw_Data!L599="", "",
    IF(ISLOGICAL(Raw_Data!L599), Raw_Data!L599,
        IF(OR(UPPER(Raw_Data!L599)="TRUE", UPPER(Raw_Data!L599)="YES", UPPER(Raw_Data!L599)="1"), TRUE,
            IF(OR(UPPER(Raw_Data!L599)="FALSE", UPPER(Raw_Data!L599)="NO", UPPER(Raw_Data!L599)="0"), FALSE, "Review")
        )
    )
)</f>
        <v>0</v>
      </c>
    </row>
    <row r="600" spans="1:13" x14ac:dyDescent="0.4">
      <c r="A600" s="2" t="str">
        <f>IFERROR(TRIM(Raw_Data!A600), "Review")</f>
        <v>EMP1598</v>
      </c>
      <c r="B600" s="2" t="str">
        <f>IFERROR(TRIM(Raw_Data!B600), "Review")</f>
        <v>Alice</v>
      </c>
      <c r="C600" s="2" t="str">
        <f>IFERROR(TRIM(Raw_Data!C600), "Review")</f>
        <v>Brown</v>
      </c>
      <c r="D600" s="2" t="str">
        <f>IF(Raw_Data!D600="", "", IFERROR(VALUE(Raw_Data!D600), ""))</f>
        <v/>
      </c>
      <c r="E600" s="2" t="str">
        <f>IFERROR(LEFT(Raw_Data!E600,SEARCH("-",Raw_Data!E600)-1),"Review")</f>
        <v>DevOps</v>
      </c>
      <c r="F600" s="2" t="str">
        <f>IFERROR(_xlfn.TEXTAFTER(Raw_Data!E600,"-"),"Review")</f>
        <v>Texas</v>
      </c>
      <c r="G600" s="2" t="str">
        <f>IFERROR(TRIM(Raw_Data!F600), "Review")</f>
        <v>Pending</v>
      </c>
      <c r="H600" s="3" t="str">
        <f>IFERROR(TEXT(Raw_Data!G600, "YYYY-MM-DD"),"Review")</f>
        <v>2023-03-31</v>
      </c>
      <c r="I600" s="4">
        <f>IF(Raw_Data!H600="", "", IFERROR(VALUE(Raw_Data!H600), ""))</f>
        <v>78359.41</v>
      </c>
      <c r="J600" s="2" t="str">
        <f>IF(Raw_Data!I600="", "", IF(ISNUMBER(FIND("@", Raw_Data!I600)), Raw_Data!I600, "Review"))</f>
        <v>alice.brown@example.com</v>
      </c>
      <c r="K600" s="5" t="str">
        <f>IFERROR(TEXT(ABS(Raw_Data!J600), "0"), "Review")</f>
        <v>5867805554</v>
      </c>
      <c r="L600" s="2" t="str">
        <f>IFERROR(TRIM(Raw_Data!K600), "Review")</f>
        <v>Good</v>
      </c>
      <c r="M600" s="2" t="b">
        <f>IF(Raw_Data!L600="", "",
    IF(ISLOGICAL(Raw_Data!L600), Raw_Data!L600,
        IF(OR(UPPER(Raw_Data!L600)="TRUE", UPPER(Raw_Data!L600)="YES", UPPER(Raw_Data!L600)="1"), TRUE,
            IF(OR(UPPER(Raw_Data!L600)="FALSE", UPPER(Raw_Data!L600)="NO", UPPER(Raw_Data!L600)="0"), FALSE, "Review")
        )
    )
)</f>
        <v>0</v>
      </c>
    </row>
    <row r="601" spans="1:13" x14ac:dyDescent="0.4">
      <c r="A601" s="2" t="str">
        <f>IFERROR(TRIM(Raw_Data!A601), "Review")</f>
        <v>EMP1599</v>
      </c>
      <c r="B601" s="2" t="str">
        <f>IFERROR(TRIM(Raw_Data!B601), "Review")</f>
        <v>Alice</v>
      </c>
      <c r="C601" s="2" t="str">
        <f>IFERROR(TRIM(Raw_Data!C601), "Review")</f>
        <v>Miller</v>
      </c>
      <c r="D601" s="2" t="str">
        <f>IF(Raw_Data!D601="", "", IFERROR(VALUE(Raw_Data!D601), ""))</f>
        <v/>
      </c>
      <c r="E601" s="2" t="str">
        <f>IFERROR(LEFT(Raw_Data!E601,SEARCH("-",Raw_Data!E601)-1),"Review")</f>
        <v>HR</v>
      </c>
      <c r="F601" s="2" t="str">
        <f>IFERROR(_xlfn.TEXTAFTER(Raw_Data!E601,"-"),"Review")</f>
        <v>Illinois</v>
      </c>
      <c r="G601" s="2" t="str">
        <f>IFERROR(TRIM(Raw_Data!F601), "Review")</f>
        <v>Pending</v>
      </c>
      <c r="H601" s="3" t="str">
        <f>IFERROR(TEXT(Raw_Data!G601, "YYYY-MM-DD"),"Review")</f>
        <v>2022-08-24</v>
      </c>
      <c r="I601" s="4">
        <f>IF(Raw_Data!H601="", "", IFERROR(VALUE(Raw_Data!H601), ""))</f>
        <v>95773.57</v>
      </c>
      <c r="J601" s="2" t="str">
        <f>IF(Raw_Data!I601="", "", IF(ISNUMBER(FIND("@", Raw_Data!I601)), Raw_Data!I601, "Review"))</f>
        <v>alice.miller@example.com</v>
      </c>
      <c r="K601" s="5" t="str">
        <f>IFERROR(TEXT(ABS(Raw_Data!J601), "0"), "Review")</f>
        <v>7277382645</v>
      </c>
      <c r="L601" s="2" t="str">
        <f>IFERROR(TRIM(Raw_Data!K601), "Review")</f>
        <v>Excellent</v>
      </c>
      <c r="M601" s="2" t="b">
        <f>IF(Raw_Data!L601="", "",
    IF(ISLOGICAL(Raw_Data!L601), Raw_Data!L601,
        IF(OR(UPPER(Raw_Data!L601)="TRUE", UPPER(Raw_Data!L601)="YES", UPPER(Raw_Data!L601)="1"), TRUE,
            IF(OR(UPPER(Raw_Data!L601)="FALSE", UPPER(Raw_Data!L601)="NO", UPPER(Raw_Data!L601)="0"), FALSE, "Review")
        )
    )
)</f>
        <v>0</v>
      </c>
    </row>
    <row r="602" spans="1:13" x14ac:dyDescent="0.4">
      <c r="A602" s="2" t="str">
        <f>IFERROR(TRIM(Raw_Data!A602), "Review")</f>
        <v>EMP1600</v>
      </c>
      <c r="B602" s="2" t="str">
        <f>IFERROR(TRIM(Raw_Data!B602), "Review")</f>
        <v>Grace</v>
      </c>
      <c r="C602" s="2" t="str">
        <f>IFERROR(TRIM(Raw_Data!C602), "Review")</f>
        <v>Jones</v>
      </c>
      <c r="D602" s="2">
        <f>IF(Raw_Data!D602="", "", IFERROR(VALUE(Raw_Data!D602), ""))</f>
        <v>30</v>
      </c>
      <c r="E602" s="2" t="str">
        <f>IFERROR(LEFT(Raw_Data!E602,SEARCH("-",Raw_Data!E602)-1),"Review")</f>
        <v>Sales</v>
      </c>
      <c r="F602" s="2" t="str">
        <f>IFERROR(_xlfn.TEXTAFTER(Raw_Data!E602,"-"),"Review")</f>
        <v>Nevada</v>
      </c>
      <c r="G602" s="2" t="str">
        <f>IFERROR(TRIM(Raw_Data!F602), "Review")</f>
        <v>Inactive</v>
      </c>
      <c r="H602" s="3" t="str">
        <f>IFERROR(TEXT(Raw_Data!G602, "YYYY-MM-DD"),"Review")</f>
        <v>2020-10-01</v>
      </c>
      <c r="I602" s="4">
        <f>IF(Raw_Data!H602="", "", IFERROR(VALUE(Raw_Data!H602), ""))</f>
        <v>82529.08</v>
      </c>
      <c r="J602" s="2" t="str">
        <f>IF(Raw_Data!I602="", "", IF(ISNUMBER(FIND("@", Raw_Data!I602)), Raw_Data!I602, "Review"))</f>
        <v>grace.jones@example.com</v>
      </c>
      <c r="K602" s="5" t="str">
        <f>IFERROR(TEXT(ABS(Raw_Data!J602), "0"), "Review")</f>
        <v>917851384</v>
      </c>
      <c r="L602" s="2" t="str">
        <f>IFERROR(TRIM(Raw_Data!K602), "Review")</f>
        <v>Excellent</v>
      </c>
      <c r="M602" s="2" t="b">
        <f>IF(Raw_Data!L602="", "",
    IF(ISLOGICAL(Raw_Data!L602), Raw_Data!L602,
        IF(OR(UPPER(Raw_Data!L602)="TRUE", UPPER(Raw_Data!L602)="YES", UPPER(Raw_Data!L602)="1"), TRUE,
            IF(OR(UPPER(Raw_Data!L602)="FALSE", UPPER(Raw_Data!L602)="NO", UPPER(Raw_Data!L602)="0"), FALSE, "Review")
        )
    )
)</f>
        <v>1</v>
      </c>
    </row>
    <row r="603" spans="1:13" x14ac:dyDescent="0.4">
      <c r="A603" s="2" t="str">
        <f>IFERROR(TRIM(Raw_Data!A603), "Review")</f>
        <v>EMP1601</v>
      </c>
      <c r="B603" s="2" t="str">
        <f>IFERROR(TRIM(Raw_Data!B603), "Review")</f>
        <v>Grace</v>
      </c>
      <c r="C603" s="2" t="str">
        <f>IFERROR(TRIM(Raw_Data!C603), "Review")</f>
        <v>Garcia</v>
      </c>
      <c r="D603" s="2">
        <f>IF(Raw_Data!D603="", "", IFERROR(VALUE(Raw_Data!D603), ""))</f>
        <v>35</v>
      </c>
      <c r="E603" s="2" t="str">
        <f>IFERROR(LEFT(Raw_Data!E603,SEARCH("-",Raw_Data!E603)-1),"Review")</f>
        <v>Sales</v>
      </c>
      <c r="F603" s="2" t="str">
        <f>IFERROR(_xlfn.TEXTAFTER(Raw_Data!E603,"-"),"Review")</f>
        <v>Texas</v>
      </c>
      <c r="G603" s="2" t="str">
        <f>IFERROR(TRIM(Raw_Data!F603), "Review")</f>
        <v>Pending</v>
      </c>
      <c r="H603" s="3" t="str">
        <f>IFERROR(TEXT(Raw_Data!G603, "YYYY-MM-DD"),"Review")</f>
        <v>2021-05-04</v>
      </c>
      <c r="I603" s="4">
        <f>IF(Raw_Data!H603="", "", IFERROR(VALUE(Raw_Data!H603), ""))</f>
        <v>109358.73</v>
      </c>
      <c r="J603" s="2" t="str">
        <f>IF(Raw_Data!I603="", "", IF(ISNUMBER(FIND("@", Raw_Data!I603)), Raw_Data!I603, "Review"))</f>
        <v>grace.garcia@example.com</v>
      </c>
      <c r="K603" s="5" t="str">
        <f>IFERROR(TEXT(ABS(Raw_Data!J603), "0"), "Review")</f>
        <v>4457702991</v>
      </c>
      <c r="L603" s="2" t="str">
        <f>IFERROR(TRIM(Raw_Data!K603), "Review")</f>
        <v>Good</v>
      </c>
      <c r="M603" s="2" t="b">
        <f>IF(Raw_Data!L603="", "",
    IF(ISLOGICAL(Raw_Data!L603), Raw_Data!L603,
        IF(OR(UPPER(Raw_Data!L603)="TRUE", UPPER(Raw_Data!L603)="YES", UPPER(Raw_Data!L603)="1"), TRUE,
            IF(OR(UPPER(Raw_Data!L603)="FALSE", UPPER(Raw_Data!L603)="NO", UPPER(Raw_Data!L603)="0"), FALSE, "Review")
        )
    )
)</f>
        <v>0</v>
      </c>
    </row>
    <row r="604" spans="1:13" x14ac:dyDescent="0.4">
      <c r="A604" s="2" t="str">
        <f>IFERROR(TRIM(Raw_Data!A604), "Review")</f>
        <v>EMP1602</v>
      </c>
      <c r="B604" s="2" t="str">
        <f>IFERROR(TRIM(Raw_Data!B604), "Review")</f>
        <v>Charlie</v>
      </c>
      <c r="C604" s="2" t="str">
        <f>IFERROR(TRIM(Raw_Data!C604), "Review")</f>
        <v>Brown</v>
      </c>
      <c r="D604" s="2" t="str">
        <f>IF(Raw_Data!D604="", "", IFERROR(VALUE(Raw_Data!D604), ""))</f>
        <v/>
      </c>
      <c r="E604" s="2" t="str">
        <f>IFERROR(LEFT(Raw_Data!E604,SEARCH("-",Raw_Data!E604)-1),"Review")</f>
        <v>Admin</v>
      </c>
      <c r="F604" s="2" t="str">
        <f>IFERROR(_xlfn.TEXTAFTER(Raw_Data!E604,"-"),"Review")</f>
        <v>Florida</v>
      </c>
      <c r="G604" s="2" t="str">
        <f>IFERROR(TRIM(Raw_Data!F604), "Review")</f>
        <v>Active</v>
      </c>
      <c r="H604" s="3" t="str">
        <f>IFERROR(TEXT(Raw_Data!G604, "YYYY-MM-DD"),"Review")</f>
        <v>2021-01-01</v>
      </c>
      <c r="I604" s="4">
        <f>IF(Raw_Data!H604="", "", IFERROR(VALUE(Raw_Data!H604), ""))</f>
        <v>89645.01</v>
      </c>
      <c r="J604" s="2" t="str">
        <f>IF(Raw_Data!I604="", "", IF(ISNUMBER(FIND("@", Raw_Data!I604)), Raw_Data!I604, "Review"))</f>
        <v>charlie.brown@example.com</v>
      </c>
      <c r="K604" s="5" t="str">
        <f>IFERROR(TEXT(ABS(Raw_Data!J604), "0"), "Review")</f>
        <v>9596604872</v>
      </c>
      <c r="L604" s="2" t="str">
        <f>IFERROR(TRIM(Raw_Data!K604), "Review")</f>
        <v>Good</v>
      </c>
      <c r="M604" s="2" t="b">
        <f>IF(Raw_Data!L604="", "",
    IF(ISLOGICAL(Raw_Data!L604), Raw_Data!L604,
        IF(OR(UPPER(Raw_Data!L604)="TRUE", UPPER(Raw_Data!L604)="YES", UPPER(Raw_Data!L604)="1"), TRUE,
            IF(OR(UPPER(Raw_Data!L604)="FALSE", UPPER(Raw_Data!L604)="NO", UPPER(Raw_Data!L604)="0"), FALSE, "Review")
        )
    )
)</f>
        <v>1</v>
      </c>
    </row>
    <row r="605" spans="1:13" x14ac:dyDescent="0.4">
      <c r="A605" s="2" t="str">
        <f>IFERROR(TRIM(Raw_Data!A605), "Review")</f>
        <v>EMP1603</v>
      </c>
      <c r="B605" s="2" t="str">
        <f>IFERROR(TRIM(Raw_Data!B605), "Review")</f>
        <v>Charlie</v>
      </c>
      <c r="C605" s="2" t="str">
        <f>IFERROR(TRIM(Raw_Data!C605), "Review")</f>
        <v>Miller</v>
      </c>
      <c r="D605" s="2">
        <f>IF(Raw_Data!D605="", "", IFERROR(VALUE(Raw_Data!D605), ""))</f>
        <v>40</v>
      </c>
      <c r="E605" s="2" t="str">
        <f>IFERROR(LEFT(Raw_Data!E605,SEARCH("-",Raw_Data!E605)-1),"Review")</f>
        <v>HR</v>
      </c>
      <c r="F605" s="2" t="str">
        <f>IFERROR(_xlfn.TEXTAFTER(Raw_Data!E605,"-"),"Review")</f>
        <v>Texas</v>
      </c>
      <c r="G605" s="2" t="str">
        <f>IFERROR(TRIM(Raw_Data!F605), "Review")</f>
        <v>Active</v>
      </c>
      <c r="H605" s="3" t="str">
        <f>IFERROR(TEXT(Raw_Data!G605, "YYYY-MM-DD"),"Review")</f>
        <v>2024-04-08</v>
      </c>
      <c r="I605" s="4">
        <f>IF(Raw_Data!H605="", "", IFERROR(VALUE(Raw_Data!H605), ""))</f>
        <v>84134.95</v>
      </c>
      <c r="J605" s="2" t="str">
        <f>IF(Raw_Data!I605="", "", IF(ISNUMBER(FIND("@", Raw_Data!I605)), Raw_Data!I605, "Review"))</f>
        <v>charlie.miller@example.com</v>
      </c>
      <c r="K605" s="5" t="str">
        <f>IFERROR(TEXT(ABS(Raw_Data!J605), "0"), "Review")</f>
        <v>6826911632</v>
      </c>
      <c r="L605" s="2" t="str">
        <f>IFERROR(TRIM(Raw_Data!K605), "Review")</f>
        <v>Poor</v>
      </c>
      <c r="M605" s="2" t="b">
        <f>IF(Raw_Data!L605="", "",
    IF(ISLOGICAL(Raw_Data!L605), Raw_Data!L605,
        IF(OR(UPPER(Raw_Data!L605)="TRUE", UPPER(Raw_Data!L605)="YES", UPPER(Raw_Data!L605)="1"), TRUE,
            IF(OR(UPPER(Raw_Data!L605)="FALSE", UPPER(Raw_Data!L605)="NO", UPPER(Raw_Data!L605)="0"), FALSE, "Review")
        )
    )
)</f>
        <v>1</v>
      </c>
    </row>
    <row r="606" spans="1:13" x14ac:dyDescent="0.4">
      <c r="A606" s="2" t="str">
        <f>IFERROR(TRIM(Raw_Data!A606), "Review")</f>
        <v>EMP1604</v>
      </c>
      <c r="B606" s="2" t="str">
        <f>IFERROR(TRIM(Raw_Data!B606), "Review")</f>
        <v>Frank</v>
      </c>
      <c r="C606" s="2" t="str">
        <f>IFERROR(TRIM(Raw_Data!C606), "Review")</f>
        <v>Davis</v>
      </c>
      <c r="D606" s="2">
        <f>IF(Raw_Data!D606="", "", IFERROR(VALUE(Raw_Data!D606), ""))</f>
        <v>30</v>
      </c>
      <c r="E606" s="2" t="str">
        <f>IFERROR(LEFT(Raw_Data!E606,SEARCH("-",Raw_Data!E606)-1),"Review")</f>
        <v>Cloud Tech</v>
      </c>
      <c r="F606" s="2" t="str">
        <f>IFERROR(_xlfn.TEXTAFTER(Raw_Data!E606,"-"),"Review")</f>
        <v>Nevada</v>
      </c>
      <c r="G606" s="2" t="str">
        <f>IFERROR(TRIM(Raw_Data!F606), "Review")</f>
        <v>Active</v>
      </c>
      <c r="H606" s="3" t="str">
        <f>IFERROR(TEXT(Raw_Data!G606, "YYYY-MM-DD"),"Review")</f>
        <v>2022-11-26</v>
      </c>
      <c r="I606" s="4">
        <f>IF(Raw_Data!H606="", "", IFERROR(VALUE(Raw_Data!H606), ""))</f>
        <v>113540.83</v>
      </c>
      <c r="J606" s="2" t="str">
        <f>IF(Raw_Data!I606="", "", IF(ISNUMBER(FIND("@", Raw_Data!I606)), Raw_Data!I606, "Review"))</f>
        <v>frank.davis@example.com</v>
      </c>
      <c r="K606" s="5" t="str">
        <f>IFERROR(TEXT(ABS(Raw_Data!J606), "0"), "Review")</f>
        <v>1942268652</v>
      </c>
      <c r="L606" s="2" t="str">
        <f>IFERROR(TRIM(Raw_Data!K606), "Review")</f>
        <v>Good</v>
      </c>
      <c r="M606" s="2" t="b">
        <f>IF(Raw_Data!L606="", "",
    IF(ISLOGICAL(Raw_Data!L606), Raw_Data!L606,
        IF(OR(UPPER(Raw_Data!L606)="TRUE", UPPER(Raw_Data!L606)="YES", UPPER(Raw_Data!L606)="1"), TRUE,
            IF(OR(UPPER(Raw_Data!L606)="FALSE", UPPER(Raw_Data!L606)="NO", UPPER(Raw_Data!L606)="0"), FALSE, "Review")
        )
    )
)</f>
        <v>1</v>
      </c>
    </row>
    <row r="607" spans="1:13" x14ac:dyDescent="0.4">
      <c r="A607" s="2" t="str">
        <f>IFERROR(TRIM(Raw_Data!A607), "Review")</f>
        <v>EMP1605</v>
      </c>
      <c r="B607" s="2" t="str">
        <f>IFERROR(TRIM(Raw_Data!B607), "Review")</f>
        <v>Heidi</v>
      </c>
      <c r="C607" s="2" t="str">
        <f>IFERROR(TRIM(Raw_Data!C607), "Review")</f>
        <v>Williams</v>
      </c>
      <c r="D607" s="2">
        <f>IF(Raw_Data!D607="", "", IFERROR(VALUE(Raw_Data!D607), ""))</f>
        <v>40</v>
      </c>
      <c r="E607" s="2" t="str">
        <f>IFERROR(LEFT(Raw_Data!E607,SEARCH("-",Raw_Data!E607)-1),"Review")</f>
        <v>Cloud Tech</v>
      </c>
      <c r="F607" s="2" t="str">
        <f>IFERROR(_xlfn.TEXTAFTER(Raw_Data!E607,"-"),"Review")</f>
        <v>Texas</v>
      </c>
      <c r="G607" s="2" t="str">
        <f>IFERROR(TRIM(Raw_Data!F607), "Review")</f>
        <v>Pending</v>
      </c>
      <c r="H607" s="3" t="str">
        <f>IFERROR(TEXT(Raw_Data!G607, "YYYY-MM-DD"),"Review")</f>
        <v>2021-10-25</v>
      </c>
      <c r="I607" s="4">
        <f>IF(Raw_Data!H607="", "", IFERROR(VALUE(Raw_Data!H607), ""))</f>
        <v>57225.75</v>
      </c>
      <c r="J607" s="2" t="str">
        <f>IF(Raw_Data!I607="", "", IF(ISNUMBER(FIND("@", Raw_Data!I607)), Raw_Data!I607, "Review"))</f>
        <v>heidi.williams@example.com</v>
      </c>
      <c r="K607" s="5" t="str">
        <f>IFERROR(TEXT(ABS(Raw_Data!J607), "0"), "Review")</f>
        <v>6945515887</v>
      </c>
      <c r="L607" s="2" t="str">
        <f>IFERROR(TRIM(Raw_Data!K607), "Review")</f>
        <v>Average</v>
      </c>
      <c r="M607" s="2" t="b">
        <f>IF(Raw_Data!L607="", "",
    IF(ISLOGICAL(Raw_Data!L607), Raw_Data!L607,
        IF(OR(UPPER(Raw_Data!L607)="TRUE", UPPER(Raw_Data!L607)="YES", UPPER(Raw_Data!L607)="1"), TRUE,
            IF(OR(UPPER(Raw_Data!L607)="FALSE", UPPER(Raw_Data!L607)="NO", UPPER(Raw_Data!L607)="0"), FALSE, "Review")
        )
    )
)</f>
        <v>1</v>
      </c>
    </row>
    <row r="608" spans="1:13" x14ac:dyDescent="0.4">
      <c r="A608" s="2" t="str">
        <f>IFERROR(TRIM(Raw_Data!A608), "Review")</f>
        <v>EMP1606</v>
      </c>
      <c r="B608" s="2" t="str">
        <f>IFERROR(TRIM(Raw_Data!B608), "Review")</f>
        <v>Eva</v>
      </c>
      <c r="C608" s="2" t="str">
        <f>IFERROR(TRIM(Raw_Data!C608), "Review")</f>
        <v>Davis</v>
      </c>
      <c r="D608" s="2">
        <f>IF(Raw_Data!D608="", "", IFERROR(VALUE(Raw_Data!D608), ""))</f>
        <v>35</v>
      </c>
      <c r="E608" s="2" t="str">
        <f>IFERROR(LEFT(Raw_Data!E608,SEARCH("-",Raw_Data!E608)-1),"Review")</f>
        <v>Sales</v>
      </c>
      <c r="F608" s="2" t="str">
        <f>IFERROR(_xlfn.TEXTAFTER(Raw_Data!E608,"-"),"Review")</f>
        <v>Illinois</v>
      </c>
      <c r="G608" s="2" t="str">
        <f>IFERROR(TRIM(Raw_Data!F608), "Review")</f>
        <v>Pending</v>
      </c>
      <c r="H608" s="3" t="str">
        <f>IFERROR(TEXT(Raw_Data!G608, "YYYY-MM-DD"),"Review")</f>
        <v>2020-12-22</v>
      </c>
      <c r="I608" s="4">
        <f>IF(Raw_Data!H608="", "", IFERROR(VALUE(Raw_Data!H608), ""))</f>
        <v>76366.17</v>
      </c>
      <c r="J608" s="2" t="str">
        <f>IF(Raw_Data!I608="", "", IF(ISNUMBER(FIND("@", Raw_Data!I608)), Raw_Data!I608, "Review"))</f>
        <v>eva.davis@example.com</v>
      </c>
      <c r="K608" s="5" t="str">
        <f>IFERROR(TEXT(ABS(Raw_Data!J608), "0"), "Review")</f>
        <v>6367747225</v>
      </c>
      <c r="L608" s="2" t="str">
        <f>IFERROR(TRIM(Raw_Data!K608), "Review")</f>
        <v>Excellent</v>
      </c>
      <c r="M608" s="2" t="b">
        <f>IF(Raw_Data!L608="", "",
    IF(ISLOGICAL(Raw_Data!L608), Raw_Data!L608,
        IF(OR(UPPER(Raw_Data!L608)="TRUE", UPPER(Raw_Data!L608)="YES", UPPER(Raw_Data!L608)="1"), TRUE,
            IF(OR(UPPER(Raw_Data!L608)="FALSE", UPPER(Raw_Data!L608)="NO", UPPER(Raw_Data!L608)="0"), FALSE, "Review")
        )
    )
)</f>
        <v>0</v>
      </c>
    </row>
    <row r="609" spans="1:13" x14ac:dyDescent="0.4">
      <c r="A609" s="2" t="str">
        <f>IFERROR(TRIM(Raw_Data!A609), "Review")</f>
        <v>EMP1607</v>
      </c>
      <c r="B609" s="2" t="str">
        <f>IFERROR(TRIM(Raw_Data!B609), "Review")</f>
        <v>Bob</v>
      </c>
      <c r="C609" s="2" t="str">
        <f>IFERROR(TRIM(Raw_Data!C609), "Review")</f>
        <v>Garcia</v>
      </c>
      <c r="D609" s="2" t="str">
        <f>IF(Raw_Data!D609="", "", IFERROR(VALUE(Raw_Data!D609), ""))</f>
        <v/>
      </c>
      <c r="E609" s="2" t="str">
        <f>IFERROR(LEFT(Raw_Data!E609,SEARCH("-",Raw_Data!E609)-1),"Review")</f>
        <v>HR</v>
      </c>
      <c r="F609" s="2" t="str">
        <f>IFERROR(_xlfn.TEXTAFTER(Raw_Data!E609,"-"),"Review")</f>
        <v>Florida</v>
      </c>
      <c r="G609" s="2" t="str">
        <f>IFERROR(TRIM(Raw_Data!F609), "Review")</f>
        <v>Active</v>
      </c>
      <c r="H609" s="3" t="str">
        <f>IFERROR(TEXT(Raw_Data!G609, "YYYY-MM-DD"),"Review")</f>
        <v>2022-11-23</v>
      </c>
      <c r="I609" s="4">
        <f>IF(Raw_Data!H609="", "", IFERROR(VALUE(Raw_Data!H609), ""))</f>
        <v>78408.95</v>
      </c>
      <c r="J609" s="2" t="str">
        <f>IF(Raw_Data!I609="", "", IF(ISNUMBER(FIND("@", Raw_Data!I609)), Raw_Data!I609, "Review"))</f>
        <v>bob.garcia@example.com</v>
      </c>
      <c r="K609" s="5" t="str">
        <f>IFERROR(TEXT(ABS(Raw_Data!J609), "0"), "Review")</f>
        <v>4085721695</v>
      </c>
      <c r="L609" s="2" t="str">
        <f>IFERROR(TRIM(Raw_Data!K609), "Review")</f>
        <v>Excellent</v>
      </c>
      <c r="M609" s="2" t="b">
        <f>IF(Raw_Data!L609="", "",
    IF(ISLOGICAL(Raw_Data!L609), Raw_Data!L609,
        IF(OR(UPPER(Raw_Data!L609)="TRUE", UPPER(Raw_Data!L609)="YES", UPPER(Raw_Data!L609)="1"), TRUE,
            IF(OR(UPPER(Raw_Data!L609)="FALSE", UPPER(Raw_Data!L609)="NO", UPPER(Raw_Data!L609)="0"), FALSE, "Review")
        )
    )
)</f>
        <v>1</v>
      </c>
    </row>
    <row r="610" spans="1:13" x14ac:dyDescent="0.4">
      <c r="A610" s="2" t="str">
        <f>IFERROR(TRIM(Raw_Data!A610), "Review")</f>
        <v>EMP1608</v>
      </c>
      <c r="B610" s="2" t="str">
        <f>IFERROR(TRIM(Raw_Data!B610), "Review")</f>
        <v>Frank</v>
      </c>
      <c r="C610" s="2" t="str">
        <f>IFERROR(TRIM(Raw_Data!C610), "Review")</f>
        <v>Brown</v>
      </c>
      <c r="D610" s="2">
        <f>IF(Raw_Data!D610="", "", IFERROR(VALUE(Raw_Data!D610), ""))</f>
        <v>40</v>
      </c>
      <c r="E610" s="2" t="str">
        <f>IFERROR(LEFT(Raw_Data!E610,SEARCH("-",Raw_Data!E610)-1),"Review")</f>
        <v>Finance</v>
      </c>
      <c r="F610" s="2" t="str">
        <f>IFERROR(_xlfn.TEXTAFTER(Raw_Data!E610,"-"),"Review")</f>
        <v>Illinois</v>
      </c>
      <c r="G610" s="2" t="str">
        <f>IFERROR(TRIM(Raw_Data!F610), "Review")</f>
        <v>Active</v>
      </c>
      <c r="H610" s="3" t="str">
        <f>IFERROR(TEXT(Raw_Data!G610, "YYYY-MM-DD"),"Review")</f>
        <v>2022-10-24</v>
      </c>
      <c r="I610" s="4">
        <f>IF(Raw_Data!H610="", "", IFERROR(VALUE(Raw_Data!H610), ""))</f>
        <v>111742.39999999999</v>
      </c>
      <c r="J610" s="2" t="str">
        <f>IF(Raw_Data!I610="", "", IF(ISNUMBER(FIND("@", Raw_Data!I610)), Raw_Data!I610, "Review"))</f>
        <v>frank.brown@example.com</v>
      </c>
      <c r="K610" s="5" t="str">
        <f>IFERROR(TEXT(ABS(Raw_Data!J610), "0"), "Review")</f>
        <v>6630932997</v>
      </c>
      <c r="L610" s="2" t="str">
        <f>IFERROR(TRIM(Raw_Data!K610), "Review")</f>
        <v>Average</v>
      </c>
      <c r="M610" s="2" t="b">
        <f>IF(Raw_Data!L610="", "",
    IF(ISLOGICAL(Raw_Data!L610), Raw_Data!L610,
        IF(OR(UPPER(Raw_Data!L610)="TRUE", UPPER(Raw_Data!L610)="YES", UPPER(Raw_Data!L610)="1"), TRUE,
            IF(OR(UPPER(Raw_Data!L610)="FALSE", UPPER(Raw_Data!L610)="NO", UPPER(Raw_Data!L610)="0"), FALSE, "Review")
        )
    )
)</f>
        <v>1</v>
      </c>
    </row>
    <row r="611" spans="1:13" x14ac:dyDescent="0.4">
      <c r="A611" s="2" t="str">
        <f>IFERROR(TRIM(Raw_Data!A611), "Review")</f>
        <v>EMP1609</v>
      </c>
      <c r="B611" s="2" t="str">
        <f>IFERROR(TRIM(Raw_Data!B611), "Review")</f>
        <v>David</v>
      </c>
      <c r="C611" s="2" t="str">
        <f>IFERROR(TRIM(Raw_Data!C611), "Review")</f>
        <v>Garcia</v>
      </c>
      <c r="D611" s="2">
        <f>IF(Raw_Data!D611="", "", IFERROR(VALUE(Raw_Data!D611), ""))</f>
        <v>25</v>
      </c>
      <c r="E611" s="2" t="str">
        <f>IFERROR(LEFT(Raw_Data!E611,SEARCH("-",Raw_Data!E611)-1),"Review")</f>
        <v>Sales</v>
      </c>
      <c r="F611" s="2" t="str">
        <f>IFERROR(_xlfn.TEXTAFTER(Raw_Data!E611,"-"),"Review")</f>
        <v>Nevada</v>
      </c>
      <c r="G611" s="2" t="str">
        <f>IFERROR(TRIM(Raw_Data!F611), "Review")</f>
        <v>Inactive</v>
      </c>
      <c r="H611" s="3" t="str">
        <f>IFERROR(TEXT(Raw_Data!G611, "YYYY-MM-DD"),"Review")</f>
        <v>2021-03-09</v>
      </c>
      <c r="I611" s="4">
        <f>IF(Raw_Data!H611="", "", IFERROR(VALUE(Raw_Data!H611), ""))</f>
        <v>60516.83</v>
      </c>
      <c r="J611" s="2" t="str">
        <f>IF(Raw_Data!I611="", "", IF(ISNUMBER(FIND("@", Raw_Data!I611)), Raw_Data!I611, "Review"))</f>
        <v>david.garcia@example.com</v>
      </c>
      <c r="K611" s="5" t="str">
        <f>IFERROR(TEXT(ABS(Raw_Data!J611), "0"), "Review")</f>
        <v>1996059328</v>
      </c>
      <c r="L611" s="2" t="str">
        <f>IFERROR(TRIM(Raw_Data!K611), "Review")</f>
        <v>Good</v>
      </c>
      <c r="M611" s="2" t="b">
        <f>IF(Raw_Data!L611="", "",
    IF(ISLOGICAL(Raw_Data!L611), Raw_Data!L611,
        IF(OR(UPPER(Raw_Data!L611)="TRUE", UPPER(Raw_Data!L611)="YES", UPPER(Raw_Data!L611)="1"), TRUE,
            IF(OR(UPPER(Raw_Data!L611)="FALSE", UPPER(Raw_Data!L611)="NO", UPPER(Raw_Data!L611)="0"), FALSE, "Review")
        )
    )
)</f>
        <v>0</v>
      </c>
    </row>
    <row r="612" spans="1:13" x14ac:dyDescent="0.4">
      <c r="A612" s="2" t="str">
        <f>IFERROR(TRIM(Raw_Data!A612), "Review")</f>
        <v>EMP1610</v>
      </c>
      <c r="B612" s="2" t="str">
        <f>IFERROR(TRIM(Raw_Data!B612), "Review")</f>
        <v>Bob</v>
      </c>
      <c r="C612" s="2" t="str">
        <f>IFERROR(TRIM(Raw_Data!C612), "Review")</f>
        <v>Jones</v>
      </c>
      <c r="D612" s="2">
        <f>IF(Raw_Data!D612="", "", IFERROR(VALUE(Raw_Data!D612), ""))</f>
        <v>30</v>
      </c>
      <c r="E612" s="2" t="str">
        <f>IFERROR(LEFT(Raw_Data!E612,SEARCH("-",Raw_Data!E612)-1),"Review")</f>
        <v>Finance</v>
      </c>
      <c r="F612" s="2" t="str">
        <f>IFERROR(_xlfn.TEXTAFTER(Raw_Data!E612,"-"),"Review")</f>
        <v>California</v>
      </c>
      <c r="G612" s="2" t="str">
        <f>IFERROR(TRIM(Raw_Data!F612), "Review")</f>
        <v>Pending</v>
      </c>
      <c r="H612" s="3" t="str">
        <f>IFERROR(TEXT(Raw_Data!G612, "YYYY-MM-DD"),"Review")</f>
        <v>2020-08-20</v>
      </c>
      <c r="I612" s="4">
        <f>IF(Raw_Data!H612="", "", IFERROR(VALUE(Raw_Data!H612), ""))</f>
        <v>83706.17</v>
      </c>
      <c r="J612" s="2" t="str">
        <f>IF(Raw_Data!I612="", "", IF(ISNUMBER(FIND("@", Raw_Data!I612)), Raw_Data!I612, "Review"))</f>
        <v>bob.jones@example.com</v>
      </c>
      <c r="K612" s="5" t="str">
        <f>IFERROR(TEXT(ABS(Raw_Data!J612), "0"), "Review")</f>
        <v>7150968831</v>
      </c>
      <c r="L612" s="2" t="str">
        <f>IFERROR(TRIM(Raw_Data!K612), "Review")</f>
        <v>Average</v>
      </c>
      <c r="M612" s="2" t="b">
        <f>IF(Raw_Data!L612="", "",
    IF(ISLOGICAL(Raw_Data!L612), Raw_Data!L612,
        IF(OR(UPPER(Raw_Data!L612)="TRUE", UPPER(Raw_Data!L612)="YES", UPPER(Raw_Data!L612)="1"), TRUE,
            IF(OR(UPPER(Raw_Data!L612)="FALSE", UPPER(Raw_Data!L612)="NO", UPPER(Raw_Data!L612)="0"), FALSE, "Review")
        )
    )
)</f>
        <v>0</v>
      </c>
    </row>
    <row r="613" spans="1:13" x14ac:dyDescent="0.4">
      <c r="A613" s="2" t="str">
        <f>IFERROR(TRIM(Raw_Data!A613), "Review")</f>
        <v>EMP1611</v>
      </c>
      <c r="B613" s="2" t="str">
        <f>IFERROR(TRIM(Raw_Data!B613), "Review")</f>
        <v>David</v>
      </c>
      <c r="C613" s="2" t="str">
        <f>IFERROR(TRIM(Raw_Data!C613), "Review")</f>
        <v>Johnson</v>
      </c>
      <c r="D613" s="2" t="str">
        <f>IF(Raw_Data!D613="", "", IFERROR(VALUE(Raw_Data!D613), ""))</f>
        <v/>
      </c>
      <c r="E613" s="2" t="str">
        <f>IFERROR(LEFT(Raw_Data!E613,SEARCH("-",Raw_Data!E613)-1),"Review")</f>
        <v>Admin</v>
      </c>
      <c r="F613" s="2" t="str">
        <f>IFERROR(_xlfn.TEXTAFTER(Raw_Data!E613,"-"),"Review")</f>
        <v>Nevada</v>
      </c>
      <c r="G613" s="2" t="str">
        <f>IFERROR(TRIM(Raw_Data!F613), "Review")</f>
        <v>Inactive</v>
      </c>
      <c r="H613" s="3" t="str">
        <f>IFERROR(TEXT(Raw_Data!G613, "YYYY-MM-DD"),"Review")</f>
        <v>2020-02-15</v>
      </c>
      <c r="I613" s="4">
        <f>IF(Raw_Data!H613="", "", IFERROR(VALUE(Raw_Data!H613), ""))</f>
        <v>67056.92</v>
      </c>
      <c r="J613" s="2" t="str">
        <f>IF(Raw_Data!I613="", "", IF(ISNUMBER(FIND("@", Raw_Data!I613)), Raw_Data!I613, "Review"))</f>
        <v>david.johnson@example.com</v>
      </c>
      <c r="K613" s="5" t="str">
        <f>IFERROR(TEXT(ABS(Raw_Data!J613), "0"), "Review")</f>
        <v>7532735240</v>
      </c>
      <c r="L613" s="2" t="str">
        <f>IFERROR(TRIM(Raw_Data!K613), "Review")</f>
        <v>Average</v>
      </c>
      <c r="M613" s="2" t="b">
        <f>IF(Raw_Data!L613="", "",
    IF(ISLOGICAL(Raw_Data!L613), Raw_Data!L613,
        IF(OR(UPPER(Raw_Data!L613)="TRUE", UPPER(Raw_Data!L613)="YES", UPPER(Raw_Data!L613)="1"), TRUE,
            IF(OR(UPPER(Raw_Data!L613)="FALSE", UPPER(Raw_Data!L613)="NO", UPPER(Raw_Data!L613)="0"), FALSE, "Review")
        )
    )
)</f>
        <v>1</v>
      </c>
    </row>
    <row r="614" spans="1:13" x14ac:dyDescent="0.4">
      <c r="A614" s="2" t="str">
        <f>IFERROR(TRIM(Raw_Data!A614), "Review")</f>
        <v>EMP1612</v>
      </c>
      <c r="B614" s="2" t="str">
        <f>IFERROR(TRIM(Raw_Data!B614), "Review")</f>
        <v>Charlie</v>
      </c>
      <c r="C614" s="2" t="str">
        <f>IFERROR(TRIM(Raw_Data!C614), "Review")</f>
        <v>Brown</v>
      </c>
      <c r="D614" s="2">
        <f>IF(Raw_Data!D614="", "", IFERROR(VALUE(Raw_Data!D614), ""))</f>
        <v>30</v>
      </c>
      <c r="E614" s="2" t="str">
        <f>IFERROR(LEFT(Raw_Data!E614,SEARCH("-",Raw_Data!E614)-1),"Review")</f>
        <v>DevOps</v>
      </c>
      <c r="F614" s="2" t="str">
        <f>IFERROR(_xlfn.TEXTAFTER(Raw_Data!E614,"-"),"Review")</f>
        <v>Illinois</v>
      </c>
      <c r="G614" s="2" t="str">
        <f>IFERROR(TRIM(Raw_Data!F614), "Review")</f>
        <v>Active</v>
      </c>
      <c r="H614" s="3" t="str">
        <f>IFERROR(TEXT(Raw_Data!G614, "YYYY-MM-DD"),"Review")</f>
        <v>2024-12-29</v>
      </c>
      <c r="I614" s="4">
        <f>IF(Raw_Data!H614="", "", IFERROR(VALUE(Raw_Data!H614), ""))</f>
        <v>90058.85</v>
      </c>
      <c r="J614" s="2" t="str">
        <f>IF(Raw_Data!I614="", "", IF(ISNUMBER(FIND("@", Raw_Data!I614)), Raw_Data!I614, "Review"))</f>
        <v>charlie.brown@example.com</v>
      </c>
      <c r="K614" s="5" t="str">
        <f>IFERROR(TEXT(ABS(Raw_Data!J614), "0"), "Review")</f>
        <v>397739731</v>
      </c>
      <c r="L614" s="2" t="str">
        <f>IFERROR(TRIM(Raw_Data!K614), "Review")</f>
        <v>Poor</v>
      </c>
      <c r="M614" s="2" t="b">
        <f>IF(Raw_Data!L614="", "",
    IF(ISLOGICAL(Raw_Data!L614), Raw_Data!L614,
        IF(OR(UPPER(Raw_Data!L614)="TRUE", UPPER(Raw_Data!L614)="YES", UPPER(Raw_Data!L614)="1"), TRUE,
            IF(OR(UPPER(Raw_Data!L614)="FALSE", UPPER(Raw_Data!L614)="NO", UPPER(Raw_Data!L614)="0"), FALSE, "Review")
        )
    )
)</f>
        <v>0</v>
      </c>
    </row>
    <row r="615" spans="1:13" x14ac:dyDescent="0.4">
      <c r="A615" s="2" t="str">
        <f>IFERROR(TRIM(Raw_Data!A615), "Review")</f>
        <v>EMP1613</v>
      </c>
      <c r="B615" s="2" t="str">
        <f>IFERROR(TRIM(Raw_Data!B615), "Review")</f>
        <v>Eva</v>
      </c>
      <c r="C615" s="2" t="str">
        <f>IFERROR(TRIM(Raw_Data!C615), "Review")</f>
        <v>Johnson</v>
      </c>
      <c r="D615" s="2">
        <f>IF(Raw_Data!D615="", "", IFERROR(VALUE(Raw_Data!D615), ""))</f>
        <v>30</v>
      </c>
      <c r="E615" s="2" t="str">
        <f>IFERROR(LEFT(Raw_Data!E615,SEARCH("-",Raw_Data!E615)-1),"Review")</f>
        <v>Sales</v>
      </c>
      <c r="F615" s="2" t="str">
        <f>IFERROR(_xlfn.TEXTAFTER(Raw_Data!E615,"-"),"Review")</f>
        <v>Florida</v>
      </c>
      <c r="G615" s="2" t="str">
        <f>IFERROR(TRIM(Raw_Data!F615), "Review")</f>
        <v>Pending</v>
      </c>
      <c r="H615" s="3" t="str">
        <f>IFERROR(TEXT(Raw_Data!G615, "YYYY-MM-DD"),"Review")</f>
        <v>2023-02-28</v>
      </c>
      <c r="I615" s="4">
        <f>IF(Raw_Data!H615="", "", IFERROR(VALUE(Raw_Data!H615), ""))</f>
        <v>94633.59</v>
      </c>
      <c r="J615" s="2" t="str">
        <f>IF(Raw_Data!I615="", "", IF(ISNUMBER(FIND("@", Raw_Data!I615)), Raw_Data!I615, "Review"))</f>
        <v>eva.johnson@example.com</v>
      </c>
      <c r="K615" s="5" t="str">
        <f>IFERROR(TEXT(ABS(Raw_Data!J615), "0"), "Review")</f>
        <v>7819523709</v>
      </c>
      <c r="L615" s="2" t="str">
        <f>IFERROR(TRIM(Raw_Data!K615), "Review")</f>
        <v>Average</v>
      </c>
      <c r="M615" s="2" t="b">
        <f>IF(Raw_Data!L615="", "",
    IF(ISLOGICAL(Raw_Data!L615), Raw_Data!L615,
        IF(OR(UPPER(Raw_Data!L615)="TRUE", UPPER(Raw_Data!L615)="YES", UPPER(Raw_Data!L615)="1"), TRUE,
            IF(OR(UPPER(Raw_Data!L615)="FALSE", UPPER(Raw_Data!L615)="NO", UPPER(Raw_Data!L615)="0"), FALSE, "Review")
        )
    )
)</f>
        <v>1</v>
      </c>
    </row>
    <row r="616" spans="1:13" x14ac:dyDescent="0.4">
      <c r="A616" s="2" t="str">
        <f>IFERROR(TRIM(Raw_Data!A616), "Review")</f>
        <v>EMP1614</v>
      </c>
      <c r="B616" s="2" t="str">
        <f>IFERROR(TRIM(Raw_Data!B616), "Review")</f>
        <v>Eva</v>
      </c>
      <c r="C616" s="2" t="str">
        <f>IFERROR(TRIM(Raw_Data!C616), "Review")</f>
        <v>Miller</v>
      </c>
      <c r="D616" s="2">
        <f>IF(Raw_Data!D616="", "", IFERROR(VALUE(Raw_Data!D616), ""))</f>
        <v>25</v>
      </c>
      <c r="E616" s="2" t="str">
        <f>IFERROR(LEFT(Raw_Data!E616,SEARCH("-",Raw_Data!E616)-1),"Review")</f>
        <v>Admin</v>
      </c>
      <c r="F616" s="2" t="str">
        <f>IFERROR(_xlfn.TEXTAFTER(Raw_Data!E616,"-"),"Review")</f>
        <v>Florida</v>
      </c>
      <c r="G616" s="2" t="str">
        <f>IFERROR(TRIM(Raw_Data!F616), "Review")</f>
        <v>Pending</v>
      </c>
      <c r="H616" s="3" t="str">
        <f>IFERROR(TEXT(Raw_Data!G616, "YYYY-MM-DD"),"Review")</f>
        <v>2022-08-23</v>
      </c>
      <c r="I616" s="4">
        <f>IF(Raw_Data!H616="", "", IFERROR(VALUE(Raw_Data!H616), ""))</f>
        <v>110711.17</v>
      </c>
      <c r="J616" s="2" t="str">
        <f>IF(Raw_Data!I616="", "", IF(ISNUMBER(FIND("@", Raw_Data!I616)), Raw_Data!I616, "Review"))</f>
        <v>eva.miller@example.com</v>
      </c>
      <c r="K616" s="5" t="str">
        <f>IFERROR(TEXT(ABS(Raw_Data!J616), "0"), "Review")</f>
        <v>687616480</v>
      </c>
      <c r="L616" s="2" t="str">
        <f>IFERROR(TRIM(Raw_Data!K616), "Review")</f>
        <v>Excellent</v>
      </c>
      <c r="M616" s="2" t="b">
        <f>IF(Raw_Data!L616="", "",
    IF(ISLOGICAL(Raw_Data!L616), Raw_Data!L616,
        IF(OR(UPPER(Raw_Data!L616)="TRUE", UPPER(Raw_Data!L616)="YES", UPPER(Raw_Data!L616)="1"), TRUE,
            IF(OR(UPPER(Raw_Data!L616)="FALSE", UPPER(Raw_Data!L616)="NO", UPPER(Raw_Data!L616)="0"), FALSE, "Review")
        )
    )
)</f>
        <v>1</v>
      </c>
    </row>
    <row r="617" spans="1:13" x14ac:dyDescent="0.4">
      <c r="A617" s="2" t="str">
        <f>IFERROR(TRIM(Raw_Data!A617), "Review")</f>
        <v>EMP1615</v>
      </c>
      <c r="B617" s="2" t="str">
        <f>IFERROR(TRIM(Raw_Data!B617), "Review")</f>
        <v>Grace</v>
      </c>
      <c r="C617" s="2" t="str">
        <f>IFERROR(TRIM(Raw_Data!C617), "Review")</f>
        <v>Williams</v>
      </c>
      <c r="D617" s="2" t="str">
        <f>IF(Raw_Data!D617="", "", IFERROR(VALUE(Raw_Data!D617), ""))</f>
        <v/>
      </c>
      <c r="E617" s="2" t="str">
        <f>IFERROR(LEFT(Raw_Data!E617,SEARCH("-",Raw_Data!E617)-1),"Review")</f>
        <v>Admin</v>
      </c>
      <c r="F617" s="2" t="str">
        <f>IFERROR(_xlfn.TEXTAFTER(Raw_Data!E617,"-"),"Review")</f>
        <v>Illinois</v>
      </c>
      <c r="G617" s="2" t="str">
        <f>IFERROR(TRIM(Raw_Data!F617), "Review")</f>
        <v>Active</v>
      </c>
      <c r="H617" s="3" t="str">
        <f>IFERROR(TEXT(Raw_Data!G617, "YYYY-MM-DD"),"Review")</f>
        <v>2023-06-30</v>
      </c>
      <c r="I617" s="4">
        <f>IF(Raw_Data!H617="", "", IFERROR(VALUE(Raw_Data!H617), ""))</f>
        <v>96175.41</v>
      </c>
      <c r="J617" s="2" t="str">
        <f>IF(Raw_Data!I617="", "", IF(ISNUMBER(FIND("@", Raw_Data!I617)), Raw_Data!I617, "Review"))</f>
        <v>grace.williams@example.com</v>
      </c>
      <c r="K617" s="5" t="str">
        <f>IFERROR(TEXT(ABS(Raw_Data!J617), "0"), "Review")</f>
        <v>9807704604</v>
      </c>
      <c r="L617" s="2" t="str">
        <f>IFERROR(TRIM(Raw_Data!K617), "Review")</f>
        <v>Average</v>
      </c>
      <c r="M617" s="2" t="b">
        <f>IF(Raw_Data!L617="", "",
    IF(ISLOGICAL(Raw_Data!L617), Raw_Data!L617,
        IF(OR(UPPER(Raw_Data!L617)="TRUE", UPPER(Raw_Data!L617)="YES", UPPER(Raw_Data!L617)="1"), TRUE,
            IF(OR(UPPER(Raw_Data!L617)="FALSE", UPPER(Raw_Data!L617)="NO", UPPER(Raw_Data!L617)="0"), FALSE, "Review")
        )
    )
)</f>
        <v>1</v>
      </c>
    </row>
    <row r="618" spans="1:13" x14ac:dyDescent="0.4">
      <c r="A618" s="2" t="str">
        <f>IFERROR(TRIM(Raw_Data!A618), "Review")</f>
        <v>EMP1616</v>
      </c>
      <c r="B618" s="2" t="str">
        <f>IFERROR(TRIM(Raw_Data!B618), "Review")</f>
        <v>Frank</v>
      </c>
      <c r="C618" s="2" t="str">
        <f>IFERROR(TRIM(Raw_Data!C618), "Review")</f>
        <v>Smith</v>
      </c>
      <c r="D618" s="2">
        <f>IF(Raw_Data!D618="", "", IFERROR(VALUE(Raw_Data!D618), ""))</f>
        <v>40</v>
      </c>
      <c r="E618" s="2" t="str">
        <f>IFERROR(LEFT(Raw_Data!E618,SEARCH("-",Raw_Data!E618)-1),"Review")</f>
        <v>Sales</v>
      </c>
      <c r="F618" s="2" t="str">
        <f>IFERROR(_xlfn.TEXTAFTER(Raw_Data!E618,"-"),"Review")</f>
        <v>Illinois</v>
      </c>
      <c r="G618" s="2" t="str">
        <f>IFERROR(TRIM(Raw_Data!F618), "Review")</f>
        <v>Active</v>
      </c>
      <c r="H618" s="3" t="str">
        <f>IFERROR(TEXT(Raw_Data!G618, "YYYY-MM-DD"),"Review")</f>
        <v>2021-04-15</v>
      </c>
      <c r="I618" s="4">
        <f>IF(Raw_Data!H618="", "", IFERROR(VALUE(Raw_Data!H618), ""))</f>
        <v>76474.789999999994</v>
      </c>
      <c r="J618" s="2" t="str">
        <f>IF(Raw_Data!I618="", "", IF(ISNUMBER(FIND("@", Raw_Data!I618)), Raw_Data!I618, "Review"))</f>
        <v>frank.smith@example.com</v>
      </c>
      <c r="K618" s="5" t="str">
        <f>IFERROR(TEXT(ABS(Raw_Data!J618), "0"), "Review")</f>
        <v>6876112490</v>
      </c>
      <c r="L618" s="2" t="str">
        <f>IFERROR(TRIM(Raw_Data!K618), "Review")</f>
        <v>Excellent</v>
      </c>
      <c r="M618" s="2" t="b">
        <f>IF(Raw_Data!L618="", "",
    IF(ISLOGICAL(Raw_Data!L618), Raw_Data!L618,
        IF(OR(UPPER(Raw_Data!L618)="TRUE", UPPER(Raw_Data!L618)="YES", UPPER(Raw_Data!L618)="1"), TRUE,
            IF(OR(UPPER(Raw_Data!L618)="FALSE", UPPER(Raw_Data!L618)="NO", UPPER(Raw_Data!L618)="0"), FALSE, "Review")
        )
    )
)</f>
        <v>1</v>
      </c>
    </row>
    <row r="619" spans="1:13" x14ac:dyDescent="0.4">
      <c r="A619" s="2" t="str">
        <f>IFERROR(TRIM(Raw_Data!A619), "Review")</f>
        <v>EMP1617</v>
      </c>
      <c r="B619" s="2" t="str">
        <f>IFERROR(TRIM(Raw_Data!B619), "Review")</f>
        <v>Alice</v>
      </c>
      <c r="C619" s="2" t="str">
        <f>IFERROR(TRIM(Raw_Data!C619), "Review")</f>
        <v>Garcia</v>
      </c>
      <c r="D619" s="2">
        <f>IF(Raw_Data!D619="", "", IFERROR(VALUE(Raw_Data!D619), ""))</f>
        <v>30</v>
      </c>
      <c r="E619" s="2" t="str">
        <f>IFERROR(LEFT(Raw_Data!E619,SEARCH("-",Raw_Data!E619)-1),"Review")</f>
        <v>Sales</v>
      </c>
      <c r="F619" s="2" t="str">
        <f>IFERROR(_xlfn.TEXTAFTER(Raw_Data!E619,"-"),"Review")</f>
        <v>Illinois</v>
      </c>
      <c r="G619" s="2" t="str">
        <f>IFERROR(TRIM(Raw_Data!F619), "Review")</f>
        <v>Pending</v>
      </c>
      <c r="H619" s="3" t="str">
        <f>IFERROR(TEXT(Raw_Data!G619, "YYYY-MM-DD"),"Review")</f>
        <v>2022-05-09</v>
      </c>
      <c r="I619" s="4">
        <f>IF(Raw_Data!H619="", "", IFERROR(VALUE(Raw_Data!H619), ""))</f>
        <v>107855.99</v>
      </c>
      <c r="J619" s="2" t="str">
        <f>IF(Raw_Data!I619="", "", IF(ISNUMBER(FIND("@", Raw_Data!I619)), Raw_Data!I619, "Review"))</f>
        <v>alice.garcia@example.com</v>
      </c>
      <c r="K619" s="5" t="str">
        <f>IFERROR(TEXT(ABS(Raw_Data!J619), "0"), "Review")</f>
        <v>2565237340</v>
      </c>
      <c r="L619" s="2" t="str">
        <f>IFERROR(TRIM(Raw_Data!K619), "Review")</f>
        <v>Excellent</v>
      </c>
      <c r="M619" s="2" t="b">
        <f>IF(Raw_Data!L619="", "",
    IF(ISLOGICAL(Raw_Data!L619), Raw_Data!L619,
        IF(OR(UPPER(Raw_Data!L619)="TRUE", UPPER(Raw_Data!L619)="YES", UPPER(Raw_Data!L619)="1"), TRUE,
            IF(OR(UPPER(Raw_Data!L619)="FALSE", UPPER(Raw_Data!L619)="NO", UPPER(Raw_Data!L619)="0"), FALSE, "Review")
        )
    )
)</f>
        <v>0</v>
      </c>
    </row>
    <row r="620" spans="1:13" x14ac:dyDescent="0.4">
      <c r="A620" s="2" t="str">
        <f>IFERROR(TRIM(Raw_Data!A620), "Review")</f>
        <v>EMP1618</v>
      </c>
      <c r="B620" s="2" t="str">
        <f>IFERROR(TRIM(Raw_Data!B620), "Review")</f>
        <v>Charlie</v>
      </c>
      <c r="C620" s="2" t="str">
        <f>IFERROR(TRIM(Raw_Data!C620), "Review")</f>
        <v>Davis</v>
      </c>
      <c r="D620" s="2">
        <f>IF(Raw_Data!D620="", "", IFERROR(VALUE(Raw_Data!D620), ""))</f>
        <v>40</v>
      </c>
      <c r="E620" s="2" t="str">
        <f>IFERROR(LEFT(Raw_Data!E620,SEARCH("-",Raw_Data!E620)-1),"Review")</f>
        <v>Sales</v>
      </c>
      <c r="F620" s="2" t="str">
        <f>IFERROR(_xlfn.TEXTAFTER(Raw_Data!E620,"-"),"Review")</f>
        <v>Illinois</v>
      </c>
      <c r="G620" s="2" t="str">
        <f>IFERROR(TRIM(Raw_Data!F620), "Review")</f>
        <v>Active</v>
      </c>
      <c r="H620" s="3" t="str">
        <f>IFERROR(TEXT(Raw_Data!G620, "YYYY-MM-DD"),"Review")</f>
        <v>2024-12-02</v>
      </c>
      <c r="I620" s="4">
        <f>IF(Raw_Data!H620="", "", IFERROR(VALUE(Raw_Data!H620), ""))</f>
        <v>104870.78</v>
      </c>
      <c r="J620" s="2" t="str">
        <f>IF(Raw_Data!I620="", "", IF(ISNUMBER(FIND("@", Raw_Data!I620)), Raw_Data!I620, "Review"))</f>
        <v>charlie.davis@example.com</v>
      </c>
      <c r="K620" s="5" t="str">
        <f>IFERROR(TEXT(ABS(Raw_Data!J620), "0"), "Review")</f>
        <v>5177345474</v>
      </c>
      <c r="L620" s="2" t="str">
        <f>IFERROR(TRIM(Raw_Data!K620), "Review")</f>
        <v>Excellent</v>
      </c>
      <c r="M620" s="2" t="b">
        <f>IF(Raw_Data!L620="", "",
    IF(ISLOGICAL(Raw_Data!L620), Raw_Data!L620,
        IF(OR(UPPER(Raw_Data!L620)="TRUE", UPPER(Raw_Data!L620)="YES", UPPER(Raw_Data!L620)="1"), TRUE,
            IF(OR(UPPER(Raw_Data!L620)="FALSE", UPPER(Raw_Data!L620)="NO", UPPER(Raw_Data!L620)="0"), FALSE, "Review")
        )
    )
)</f>
        <v>1</v>
      </c>
    </row>
    <row r="621" spans="1:13" x14ac:dyDescent="0.4">
      <c r="A621" s="2" t="str">
        <f>IFERROR(TRIM(Raw_Data!A621), "Review")</f>
        <v>EMP1619</v>
      </c>
      <c r="B621" s="2" t="str">
        <f>IFERROR(TRIM(Raw_Data!B621), "Review")</f>
        <v>Bob</v>
      </c>
      <c r="C621" s="2" t="str">
        <f>IFERROR(TRIM(Raw_Data!C621), "Review")</f>
        <v>Williams</v>
      </c>
      <c r="D621" s="2">
        <f>IF(Raw_Data!D621="", "", IFERROR(VALUE(Raw_Data!D621), ""))</f>
        <v>25</v>
      </c>
      <c r="E621" s="2" t="str">
        <f>IFERROR(LEFT(Raw_Data!E621,SEARCH("-",Raw_Data!E621)-1),"Review")</f>
        <v>Finance</v>
      </c>
      <c r="F621" s="2" t="str">
        <f>IFERROR(_xlfn.TEXTAFTER(Raw_Data!E621,"-"),"Review")</f>
        <v>Nevada</v>
      </c>
      <c r="G621" s="2" t="str">
        <f>IFERROR(TRIM(Raw_Data!F621), "Review")</f>
        <v>Active</v>
      </c>
      <c r="H621" s="3" t="str">
        <f>IFERROR(TEXT(Raw_Data!G621, "YYYY-MM-DD"),"Review")</f>
        <v>2023-05-20</v>
      </c>
      <c r="I621" s="4" t="str">
        <f>IF(Raw_Data!H621="", "", IFERROR(VALUE(Raw_Data!H621), ""))</f>
        <v/>
      </c>
      <c r="J621" s="2" t="str">
        <f>IF(Raw_Data!I621="", "", IF(ISNUMBER(FIND("@", Raw_Data!I621)), Raw_Data!I621, "Review"))</f>
        <v>bob.williams@example.com</v>
      </c>
      <c r="K621" s="5" t="str">
        <f>IFERROR(TEXT(ABS(Raw_Data!J621), "0"), "Review")</f>
        <v>7494902283</v>
      </c>
      <c r="L621" s="2" t="str">
        <f>IFERROR(TRIM(Raw_Data!K621), "Review")</f>
        <v>Good</v>
      </c>
      <c r="M621" s="2" t="b">
        <f>IF(Raw_Data!L621="", "",
    IF(ISLOGICAL(Raw_Data!L621), Raw_Data!L621,
        IF(OR(UPPER(Raw_Data!L621)="TRUE", UPPER(Raw_Data!L621)="YES", UPPER(Raw_Data!L621)="1"), TRUE,
            IF(OR(UPPER(Raw_Data!L621)="FALSE", UPPER(Raw_Data!L621)="NO", UPPER(Raw_Data!L621)="0"), FALSE, "Review")
        )
    )
)</f>
        <v>0</v>
      </c>
    </row>
    <row r="622" spans="1:13" x14ac:dyDescent="0.4">
      <c r="A622" s="2" t="str">
        <f>IFERROR(TRIM(Raw_Data!A622), "Review")</f>
        <v>EMP1620</v>
      </c>
      <c r="B622" s="2" t="str">
        <f>IFERROR(TRIM(Raw_Data!B622), "Review")</f>
        <v>Grace</v>
      </c>
      <c r="C622" s="2" t="str">
        <f>IFERROR(TRIM(Raw_Data!C622), "Review")</f>
        <v>Brown</v>
      </c>
      <c r="D622" s="2" t="str">
        <f>IF(Raw_Data!D622="", "", IFERROR(VALUE(Raw_Data!D622), ""))</f>
        <v/>
      </c>
      <c r="E622" s="2" t="str">
        <f>IFERROR(LEFT(Raw_Data!E622,SEARCH("-",Raw_Data!E622)-1),"Review")</f>
        <v>Finance</v>
      </c>
      <c r="F622" s="2" t="str">
        <f>IFERROR(_xlfn.TEXTAFTER(Raw_Data!E622,"-"),"Review")</f>
        <v>California</v>
      </c>
      <c r="G622" s="2" t="str">
        <f>IFERROR(TRIM(Raw_Data!F622), "Review")</f>
        <v>Active</v>
      </c>
      <c r="H622" s="3" t="str">
        <f>IFERROR(TEXT(Raw_Data!G622, "YYYY-MM-DD"),"Review")</f>
        <v>2023-11-29</v>
      </c>
      <c r="I622" s="4">
        <f>IF(Raw_Data!H622="", "", IFERROR(VALUE(Raw_Data!H622), ""))</f>
        <v>87087.16</v>
      </c>
      <c r="J622" s="2" t="str">
        <f>IF(Raw_Data!I622="", "", IF(ISNUMBER(FIND("@", Raw_Data!I622)), Raw_Data!I622, "Review"))</f>
        <v>grace.brown@example.com</v>
      </c>
      <c r="K622" s="5" t="str">
        <f>IFERROR(TEXT(ABS(Raw_Data!J622), "0"), "Review")</f>
        <v>359544293</v>
      </c>
      <c r="L622" s="2" t="str">
        <f>IFERROR(TRIM(Raw_Data!K622), "Review")</f>
        <v>Poor</v>
      </c>
      <c r="M622" s="2" t="b">
        <f>IF(Raw_Data!L622="", "",
    IF(ISLOGICAL(Raw_Data!L622), Raw_Data!L622,
        IF(OR(UPPER(Raw_Data!L622)="TRUE", UPPER(Raw_Data!L622)="YES", UPPER(Raw_Data!L622)="1"), TRUE,
            IF(OR(UPPER(Raw_Data!L622)="FALSE", UPPER(Raw_Data!L622)="NO", UPPER(Raw_Data!L622)="0"), FALSE, "Review")
        )
    )
)</f>
        <v>0</v>
      </c>
    </row>
    <row r="623" spans="1:13" x14ac:dyDescent="0.4">
      <c r="A623" s="2" t="str">
        <f>IFERROR(TRIM(Raw_Data!A623), "Review")</f>
        <v>EMP1621</v>
      </c>
      <c r="B623" s="2" t="str">
        <f>IFERROR(TRIM(Raw_Data!B623), "Review")</f>
        <v>Heidi</v>
      </c>
      <c r="C623" s="2" t="str">
        <f>IFERROR(TRIM(Raw_Data!C623), "Review")</f>
        <v>Johnson</v>
      </c>
      <c r="D623" s="2">
        <f>IF(Raw_Data!D623="", "", IFERROR(VALUE(Raw_Data!D623), ""))</f>
        <v>40</v>
      </c>
      <c r="E623" s="2" t="str">
        <f>IFERROR(LEFT(Raw_Data!E623,SEARCH("-",Raw_Data!E623)-1),"Review")</f>
        <v>HR</v>
      </c>
      <c r="F623" s="2" t="str">
        <f>IFERROR(_xlfn.TEXTAFTER(Raw_Data!E623,"-"),"Review")</f>
        <v>Illinois</v>
      </c>
      <c r="G623" s="2" t="str">
        <f>IFERROR(TRIM(Raw_Data!F623), "Review")</f>
        <v>Pending</v>
      </c>
      <c r="H623" s="3" t="str">
        <f>IFERROR(TEXT(Raw_Data!G623, "YYYY-MM-DD"),"Review")</f>
        <v>2024-04-08</v>
      </c>
      <c r="I623" s="4">
        <f>IF(Raw_Data!H623="", "", IFERROR(VALUE(Raw_Data!H623), ""))</f>
        <v>108603.34</v>
      </c>
      <c r="J623" s="2" t="str">
        <f>IF(Raw_Data!I623="", "", IF(ISNUMBER(FIND("@", Raw_Data!I623)), Raw_Data!I623, "Review"))</f>
        <v>heidi.johnson@example.com</v>
      </c>
      <c r="K623" s="5" t="str">
        <f>IFERROR(TEXT(ABS(Raw_Data!J623), "0"), "Review")</f>
        <v>7742229463</v>
      </c>
      <c r="L623" s="2" t="str">
        <f>IFERROR(TRIM(Raw_Data!K623), "Review")</f>
        <v>Excellent</v>
      </c>
      <c r="M623" s="2" t="b">
        <f>IF(Raw_Data!L623="", "",
    IF(ISLOGICAL(Raw_Data!L623), Raw_Data!L623,
        IF(OR(UPPER(Raw_Data!L623)="TRUE", UPPER(Raw_Data!L623)="YES", UPPER(Raw_Data!L623)="1"), TRUE,
            IF(OR(UPPER(Raw_Data!L623)="FALSE", UPPER(Raw_Data!L623)="NO", UPPER(Raw_Data!L623)="0"), FALSE, "Review")
        )
    )
)</f>
        <v>0</v>
      </c>
    </row>
    <row r="624" spans="1:13" x14ac:dyDescent="0.4">
      <c r="A624" s="2" t="str">
        <f>IFERROR(TRIM(Raw_Data!A624), "Review")</f>
        <v>EMP1622</v>
      </c>
      <c r="B624" s="2" t="str">
        <f>IFERROR(TRIM(Raw_Data!B624), "Review")</f>
        <v>Grace</v>
      </c>
      <c r="C624" s="2" t="str">
        <f>IFERROR(TRIM(Raw_Data!C624), "Review")</f>
        <v>Davis</v>
      </c>
      <c r="D624" s="2">
        <f>IF(Raw_Data!D624="", "", IFERROR(VALUE(Raw_Data!D624), ""))</f>
        <v>30</v>
      </c>
      <c r="E624" s="2" t="str">
        <f>IFERROR(LEFT(Raw_Data!E624,SEARCH("-",Raw_Data!E624)-1),"Review")</f>
        <v>HR</v>
      </c>
      <c r="F624" s="2" t="str">
        <f>IFERROR(_xlfn.TEXTAFTER(Raw_Data!E624,"-"),"Review")</f>
        <v>Florida</v>
      </c>
      <c r="G624" s="2" t="str">
        <f>IFERROR(TRIM(Raw_Data!F624), "Review")</f>
        <v>Active</v>
      </c>
      <c r="H624" s="3" t="str">
        <f>IFERROR(TEXT(Raw_Data!G624, "YYYY-MM-DD"),"Review")</f>
        <v>2024-10-25</v>
      </c>
      <c r="I624" s="4">
        <f>IF(Raw_Data!H624="", "", IFERROR(VALUE(Raw_Data!H624), ""))</f>
        <v>55867.23</v>
      </c>
      <c r="J624" s="2" t="str">
        <f>IF(Raw_Data!I624="", "", IF(ISNUMBER(FIND("@", Raw_Data!I624)), Raw_Data!I624, "Review"))</f>
        <v>grace.davis@example.com</v>
      </c>
      <c r="K624" s="5" t="str">
        <f>IFERROR(TEXT(ABS(Raw_Data!J624), "0"), "Review")</f>
        <v>3039429044</v>
      </c>
      <c r="L624" s="2" t="str">
        <f>IFERROR(TRIM(Raw_Data!K624), "Review")</f>
        <v>Excellent</v>
      </c>
      <c r="M624" s="2" t="b">
        <f>IF(Raw_Data!L624="", "",
    IF(ISLOGICAL(Raw_Data!L624), Raw_Data!L624,
        IF(OR(UPPER(Raw_Data!L624)="TRUE", UPPER(Raw_Data!L624)="YES", UPPER(Raw_Data!L624)="1"), TRUE,
            IF(OR(UPPER(Raw_Data!L624)="FALSE", UPPER(Raw_Data!L624)="NO", UPPER(Raw_Data!L624)="0"), FALSE, "Review")
        )
    )
)</f>
        <v>0</v>
      </c>
    </row>
    <row r="625" spans="1:13" x14ac:dyDescent="0.4">
      <c r="A625" s="2" t="str">
        <f>IFERROR(TRIM(Raw_Data!A625), "Review")</f>
        <v>EMP1623</v>
      </c>
      <c r="B625" s="2" t="str">
        <f>IFERROR(TRIM(Raw_Data!B625), "Review")</f>
        <v>Grace</v>
      </c>
      <c r="C625" s="2" t="str">
        <f>IFERROR(TRIM(Raw_Data!C625), "Review")</f>
        <v>Johnson</v>
      </c>
      <c r="D625" s="2">
        <f>IF(Raw_Data!D625="", "", IFERROR(VALUE(Raw_Data!D625), ""))</f>
        <v>35</v>
      </c>
      <c r="E625" s="2" t="str">
        <f>IFERROR(LEFT(Raw_Data!E625,SEARCH("-",Raw_Data!E625)-1),"Review")</f>
        <v>Admin</v>
      </c>
      <c r="F625" s="2" t="str">
        <f>IFERROR(_xlfn.TEXTAFTER(Raw_Data!E625,"-"),"Review")</f>
        <v>Texas</v>
      </c>
      <c r="G625" s="2" t="str">
        <f>IFERROR(TRIM(Raw_Data!F625), "Review")</f>
        <v>Pending</v>
      </c>
      <c r="H625" s="3" t="str">
        <f>IFERROR(TEXT(Raw_Data!G625, "YYYY-MM-DD"),"Review")</f>
        <v>2024-03-02</v>
      </c>
      <c r="I625" s="4">
        <f>IF(Raw_Data!H625="", "", IFERROR(VALUE(Raw_Data!H625), ""))</f>
        <v>105259.57</v>
      </c>
      <c r="J625" s="2" t="str">
        <f>IF(Raw_Data!I625="", "", IF(ISNUMBER(FIND("@", Raw_Data!I625)), Raw_Data!I625, "Review"))</f>
        <v>grace.johnson@example.com</v>
      </c>
      <c r="K625" s="5" t="str">
        <f>IFERROR(TEXT(ABS(Raw_Data!J625), "0"), "Review")</f>
        <v>8867925297</v>
      </c>
      <c r="L625" s="2" t="str">
        <f>IFERROR(TRIM(Raw_Data!K625), "Review")</f>
        <v>Good</v>
      </c>
      <c r="M625" s="2" t="b">
        <f>IF(Raw_Data!L625="", "",
    IF(ISLOGICAL(Raw_Data!L625), Raw_Data!L625,
        IF(OR(UPPER(Raw_Data!L625)="TRUE", UPPER(Raw_Data!L625)="YES", UPPER(Raw_Data!L625)="1"), TRUE,
            IF(OR(UPPER(Raw_Data!L625)="FALSE", UPPER(Raw_Data!L625)="NO", UPPER(Raw_Data!L625)="0"), FALSE, "Review")
        )
    )
)</f>
        <v>1</v>
      </c>
    </row>
    <row r="626" spans="1:13" x14ac:dyDescent="0.4">
      <c r="A626" s="2" t="str">
        <f>IFERROR(TRIM(Raw_Data!A626), "Review")</f>
        <v>EMP1624</v>
      </c>
      <c r="B626" s="2" t="str">
        <f>IFERROR(TRIM(Raw_Data!B626), "Review")</f>
        <v>Bob</v>
      </c>
      <c r="C626" s="2" t="str">
        <f>IFERROR(TRIM(Raw_Data!C626), "Review")</f>
        <v>Jones</v>
      </c>
      <c r="D626" s="2" t="str">
        <f>IF(Raw_Data!D626="", "", IFERROR(VALUE(Raw_Data!D626), ""))</f>
        <v/>
      </c>
      <c r="E626" s="2" t="str">
        <f>IFERROR(LEFT(Raw_Data!E626,SEARCH("-",Raw_Data!E626)-1),"Review")</f>
        <v>Cloud Tech</v>
      </c>
      <c r="F626" s="2" t="str">
        <f>IFERROR(_xlfn.TEXTAFTER(Raw_Data!E626,"-"),"Review")</f>
        <v>Florida</v>
      </c>
      <c r="G626" s="2" t="str">
        <f>IFERROR(TRIM(Raw_Data!F626), "Review")</f>
        <v>Pending</v>
      </c>
      <c r="H626" s="3" t="str">
        <f>IFERROR(TEXT(Raw_Data!G626, "YYYY-MM-DD"),"Review")</f>
        <v>2021-02-24</v>
      </c>
      <c r="I626" s="4">
        <f>IF(Raw_Data!H626="", "", IFERROR(VALUE(Raw_Data!H626), ""))</f>
        <v>98143.67</v>
      </c>
      <c r="J626" s="2" t="str">
        <f>IF(Raw_Data!I626="", "", IF(ISNUMBER(FIND("@", Raw_Data!I626)), Raw_Data!I626, "Review"))</f>
        <v>bob.jones@example.com</v>
      </c>
      <c r="K626" s="5" t="str">
        <f>IFERROR(TEXT(ABS(Raw_Data!J626), "0"), "Review")</f>
        <v>5856728726</v>
      </c>
      <c r="L626" s="2" t="str">
        <f>IFERROR(TRIM(Raw_Data!K626), "Review")</f>
        <v>Excellent</v>
      </c>
      <c r="M626" s="2" t="b">
        <f>IF(Raw_Data!L626="", "",
    IF(ISLOGICAL(Raw_Data!L626), Raw_Data!L626,
        IF(OR(UPPER(Raw_Data!L626)="TRUE", UPPER(Raw_Data!L626)="YES", UPPER(Raw_Data!L626)="1"), TRUE,
            IF(OR(UPPER(Raw_Data!L626)="FALSE", UPPER(Raw_Data!L626)="NO", UPPER(Raw_Data!L626)="0"), FALSE, "Review")
        )
    )
)</f>
        <v>0</v>
      </c>
    </row>
    <row r="627" spans="1:13" x14ac:dyDescent="0.4">
      <c r="A627" s="2" t="str">
        <f>IFERROR(TRIM(Raw_Data!A627), "Review")</f>
        <v>EMP1625</v>
      </c>
      <c r="B627" s="2" t="str">
        <f>IFERROR(TRIM(Raw_Data!B627), "Review")</f>
        <v>Frank</v>
      </c>
      <c r="C627" s="2" t="str">
        <f>IFERROR(TRIM(Raw_Data!C627), "Review")</f>
        <v>Johnson</v>
      </c>
      <c r="D627" s="2">
        <f>IF(Raw_Data!D627="", "", IFERROR(VALUE(Raw_Data!D627), ""))</f>
        <v>25</v>
      </c>
      <c r="E627" s="2" t="str">
        <f>IFERROR(LEFT(Raw_Data!E627,SEARCH("-",Raw_Data!E627)-1),"Review")</f>
        <v>Admin</v>
      </c>
      <c r="F627" s="2" t="str">
        <f>IFERROR(_xlfn.TEXTAFTER(Raw_Data!E627,"-"),"Review")</f>
        <v>Florida</v>
      </c>
      <c r="G627" s="2" t="str">
        <f>IFERROR(TRIM(Raw_Data!F627), "Review")</f>
        <v>Pending</v>
      </c>
      <c r="H627" s="3" t="str">
        <f>IFERROR(TEXT(Raw_Data!G627, "YYYY-MM-DD"),"Review")</f>
        <v>2023-04-13</v>
      </c>
      <c r="I627" s="4">
        <f>IF(Raw_Data!H627="", "", IFERROR(VALUE(Raw_Data!H627), ""))</f>
        <v>67754.289999999994</v>
      </c>
      <c r="J627" s="2" t="str">
        <f>IF(Raw_Data!I627="", "", IF(ISNUMBER(FIND("@", Raw_Data!I627)), Raw_Data!I627, "Review"))</f>
        <v>frank.johnson@example.com</v>
      </c>
      <c r="K627" s="5" t="str">
        <f>IFERROR(TEXT(ABS(Raw_Data!J627), "0"), "Review")</f>
        <v>6015343323</v>
      </c>
      <c r="L627" s="2" t="str">
        <f>IFERROR(TRIM(Raw_Data!K627), "Review")</f>
        <v>Average</v>
      </c>
      <c r="M627" s="2" t="b">
        <f>IF(Raw_Data!L627="", "",
    IF(ISLOGICAL(Raw_Data!L627), Raw_Data!L627,
        IF(OR(UPPER(Raw_Data!L627)="TRUE", UPPER(Raw_Data!L627)="YES", UPPER(Raw_Data!L627)="1"), TRUE,
            IF(OR(UPPER(Raw_Data!L627)="FALSE", UPPER(Raw_Data!L627)="NO", UPPER(Raw_Data!L627)="0"), FALSE, "Review")
        )
    )
)</f>
        <v>1</v>
      </c>
    </row>
    <row r="628" spans="1:13" x14ac:dyDescent="0.4">
      <c r="A628" s="2" t="str">
        <f>IFERROR(TRIM(Raw_Data!A628), "Review")</f>
        <v>EMP1626</v>
      </c>
      <c r="B628" s="2" t="str">
        <f>IFERROR(TRIM(Raw_Data!B628), "Review")</f>
        <v>Grace</v>
      </c>
      <c r="C628" s="2" t="str">
        <f>IFERROR(TRIM(Raw_Data!C628), "Review")</f>
        <v>Jones</v>
      </c>
      <c r="D628" s="2" t="str">
        <f>IF(Raw_Data!D628="", "", IFERROR(VALUE(Raw_Data!D628), ""))</f>
        <v/>
      </c>
      <c r="E628" s="2" t="str">
        <f>IFERROR(LEFT(Raw_Data!E628,SEARCH("-",Raw_Data!E628)-1),"Review")</f>
        <v>HR</v>
      </c>
      <c r="F628" s="2" t="str">
        <f>IFERROR(_xlfn.TEXTAFTER(Raw_Data!E628,"-"),"Review")</f>
        <v>Illinois</v>
      </c>
      <c r="G628" s="2" t="str">
        <f>IFERROR(TRIM(Raw_Data!F628), "Review")</f>
        <v>Inactive</v>
      </c>
      <c r="H628" s="3" t="str">
        <f>IFERROR(TEXT(Raw_Data!G628, "YYYY-MM-DD"),"Review")</f>
        <v>2023-10-25</v>
      </c>
      <c r="I628" s="4">
        <f>IF(Raw_Data!H628="", "", IFERROR(VALUE(Raw_Data!H628), ""))</f>
        <v>77821.789999999994</v>
      </c>
      <c r="J628" s="2" t="str">
        <f>IF(Raw_Data!I628="", "", IF(ISNUMBER(FIND("@", Raw_Data!I628)), Raw_Data!I628, "Review"))</f>
        <v>grace.jones@example.com</v>
      </c>
      <c r="K628" s="5" t="str">
        <f>IFERROR(TEXT(ABS(Raw_Data!J628), "0"), "Review")</f>
        <v>9135779082</v>
      </c>
      <c r="L628" s="2" t="str">
        <f>IFERROR(TRIM(Raw_Data!K628), "Review")</f>
        <v>Average</v>
      </c>
      <c r="M628" s="2" t="b">
        <f>IF(Raw_Data!L628="", "",
    IF(ISLOGICAL(Raw_Data!L628), Raw_Data!L628,
        IF(OR(UPPER(Raw_Data!L628)="TRUE", UPPER(Raw_Data!L628)="YES", UPPER(Raw_Data!L628)="1"), TRUE,
            IF(OR(UPPER(Raw_Data!L628)="FALSE", UPPER(Raw_Data!L628)="NO", UPPER(Raw_Data!L628)="0"), FALSE, "Review")
        )
    )
)</f>
        <v>0</v>
      </c>
    </row>
    <row r="629" spans="1:13" x14ac:dyDescent="0.4">
      <c r="A629" s="2" t="str">
        <f>IFERROR(TRIM(Raw_Data!A629), "Review")</f>
        <v>EMP1627</v>
      </c>
      <c r="B629" s="2" t="str">
        <f>IFERROR(TRIM(Raw_Data!B629), "Review")</f>
        <v>Heidi</v>
      </c>
      <c r="C629" s="2" t="str">
        <f>IFERROR(TRIM(Raw_Data!C629), "Review")</f>
        <v>Miller</v>
      </c>
      <c r="D629" s="2">
        <f>IF(Raw_Data!D629="", "", IFERROR(VALUE(Raw_Data!D629), ""))</f>
        <v>30</v>
      </c>
      <c r="E629" s="2" t="str">
        <f>IFERROR(LEFT(Raw_Data!E629,SEARCH("-",Raw_Data!E629)-1),"Review")</f>
        <v>HR</v>
      </c>
      <c r="F629" s="2" t="str">
        <f>IFERROR(_xlfn.TEXTAFTER(Raw_Data!E629,"-"),"Review")</f>
        <v>Illinois</v>
      </c>
      <c r="G629" s="2" t="str">
        <f>IFERROR(TRIM(Raw_Data!F629), "Review")</f>
        <v>Pending</v>
      </c>
      <c r="H629" s="3" t="str">
        <f>IFERROR(TEXT(Raw_Data!G629, "YYYY-MM-DD"),"Review")</f>
        <v>2022-09-17</v>
      </c>
      <c r="I629" s="4">
        <f>IF(Raw_Data!H629="", "", IFERROR(VALUE(Raw_Data!H629), ""))</f>
        <v>67764.44</v>
      </c>
      <c r="J629" s="2" t="str">
        <f>IF(Raw_Data!I629="", "", IF(ISNUMBER(FIND("@", Raw_Data!I629)), Raw_Data!I629, "Review"))</f>
        <v>heidi.miller@example.com</v>
      </c>
      <c r="K629" s="5" t="str">
        <f>IFERROR(TEXT(ABS(Raw_Data!J629), "0"), "Review")</f>
        <v>3506158147</v>
      </c>
      <c r="L629" s="2" t="str">
        <f>IFERROR(TRIM(Raw_Data!K629), "Review")</f>
        <v>Poor</v>
      </c>
      <c r="M629" s="2" t="b">
        <f>IF(Raw_Data!L629="", "",
    IF(ISLOGICAL(Raw_Data!L629), Raw_Data!L629,
        IF(OR(UPPER(Raw_Data!L629)="TRUE", UPPER(Raw_Data!L629)="YES", UPPER(Raw_Data!L629)="1"), TRUE,
            IF(OR(UPPER(Raw_Data!L629)="FALSE", UPPER(Raw_Data!L629)="NO", UPPER(Raw_Data!L629)="0"), FALSE, "Review")
        )
    )
)</f>
        <v>0</v>
      </c>
    </row>
    <row r="630" spans="1:13" x14ac:dyDescent="0.4">
      <c r="A630" s="2" t="str">
        <f>IFERROR(TRIM(Raw_Data!A630), "Review")</f>
        <v>EMP1628</v>
      </c>
      <c r="B630" s="2" t="str">
        <f>IFERROR(TRIM(Raw_Data!B630), "Review")</f>
        <v>Frank</v>
      </c>
      <c r="C630" s="2" t="str">
        <f>IFERROR(TRIM(Raw_Data!C630), "Review")</f>
        <v>Davis</v>
      </c>
      <c r="D630" s="2">
        <f>IF(Raw_Data!D630="", "", IFERROR(VALUE(Raw_Data!D630), ""))</f>
        <v>40</v>
      </c>
      <c r="E630" s="2" t="str">
        <f>IFERROR(LEFT(Raw_Data!E630,SEARCH("-",Raw_Data!E630)-1),"Review")</f>
        <v>DevOps</v>
      </c>
      <c r="F630" s="2" t="str">
        <f>IFERROR(_xlfn.TEXTAFTER(Raw_Data!E630,"-"),"Review")</f>
        <v>New York</v>
      </c>
      <c r="G630" s="2" t="str">
        <f>IFERROR(TRIM(Raw_Data!F630), "Review")</f>
        <v>Pending</v>
      </c>
      <c r="H630" s="3" t="str">
        <f>IFERROR(TEXT(Raw_Data!G630, "YYYY-MM-DD"),"Review")</f>
        <v>2020-08-31</v>
      </c>
      <c r="I630" s="4">
        <f>IF(Raw_Data!H630="", "", IFERROR(VALUE(Raw_Data!H630), ""))</f>
        <v>102346.99</v>
      </c>
      <c r="J630" s="2" t="str">
        <f>IF(Raw_Data!I630="", "", IF(ISNUMBER(FIND("@", Raw_Data!I630)), Raw_Data!I630, "Review"))</f>
        <v>frank.davis@example.com</v>
      </c>
      <c r="K630" s="5" t="str">
        <f>IFERROR(TEXT(ABS(Raw_Data!J630), "0"), "Review")</f>
        <v>8810798333</v>
      </c>
      <c r="L630" s="2" t="str">
        <f>IFERROR(TRIM(Raw_Data!K630), "Review")</f>
        <v>Excellent</v>
      </c>
      <c r="M630" s="2" t="b">
        <f>IF(Raw_Data!L630="", "",
    IF(ISLOGICAL(Raw_Data!L630), Raw_Data!L630,
        IF(OR(UPPER(Raw_Data!L630)="TRUE", UPPER(Raw_Data!L630)="YES", UPPER(Raw_Data!L630)="1"), TRUE,
            IF(OR(UPPER(Raw_Data!L630)="FALSE", UPPER(Raw_Data!L630)="NO", UPPER(Raw_Data!L630)="0"), FALSE, "Review")
        )
    )
)</f>
        <v>1</v>
      </c>
    </row>
    <row r="631" spans="1:13" x14ac:dyDescent="0.4">
      <c r="A631" s="2" t="str">
        <f>IFERROR(TRIM(Raw_Data!A631), "Review")</f>
        <v>EMP1629</v>
      </c>
      <c r="B631" s="2" t="str">
        <f>IFERROR(TRIM(Raw_Data!B631), "Review")</f>
        <v>Charlie</v>
      </c>
      <c r="C631" s="2" t="str">
        <f>IFERROR(TRIM(Raw_Data!C631), "Review")</f>
        <v>Davis</v>
      </c>
      <c r="D631" s="2">
        <f>IF(Raw_Data!D631="", "", IFERROR(VALUE(Raw_Data!D631), ""))</f>
        <v>25</v>
      </c>
      <c r="E631" s="2" t="str">
        <f>IFERROR(LEFT(Raw_Data!E631,SEARCH("-",Raw_Data!E631)-1),"Review")</f>
        <v>Admin</v>
      </c>
      <c r="F631" s="2" t="str">
        <f>IFERROR(_xlfn.TEXTAFTER(Raw_Data!E631,"-"),"Review")</f>
        <v>Illinois</v>
      </c>
      <c r="G631" s="2" t="str">
        <f>IFERROR(TRIM(Raw_Data!F631), "Review")</f>
        <v>Inactive</v>
      </c>
      <c r="H631" s="3" t="str">
        <f>IFERROR(TEXT(Raw_Data!G631, "YYYY-MM-DD"),"Review")</f>
        <v>2024-05-28</v>
      </c>
      <c r="I631" s="4">
        <f>IF(Raw_Data!H631="", "", IFERROR(VALUE(Raw_Data!H631), ""))</f>
        <v>73690.649999999994</v>
      </c>
      <c r="J631" s="2" t="str">
        <f>IF(Raw_Data!I631="", "", IF(ISNUMBER(FIND("@", Raw_Data!I631)), Raw_Data!I631, "Review"))</f>
        <v>charlie.davis@example.com</v>
      </c>
      <c r="K631" s="5" t="str">
        <f>IFERROR(TEXT(ABS(Raw_Data!J631), "0"), "Review")</f>
        <v>2337209483</v>
      </c>
      <c r="L631" s="2" t="str">
        <f>IFERROR(TRIM(Raw_Data!K631), "Review")</f>
        <v>Good</v>
      </c>
      <c r="M631" s="2" t="b">
        <f>IF(Raw_Data!L631="", "",
    IF(ISLOGICAL(Raw_Data!L631), Raw_Data!L631,
        IF(OR(UPPER(Raw_Data!L631)="TRUE", UPPER(Raw_Data!L631)="YES", UPPER(Raw_Data!L631)="1"), TRUE,
            IF(OR(UPPER(Raw_Data!L631)="FALSE", UPPER(Raw_Data!L631)="NO", UPPER(Raw_Data!L631)="0"), FALSE, "Review")
        )
    )
)</f>
        <v>1</v>
      </c>
    </row>
    <row r="632" spans="1:13" x14ac:dyDescent="0.4">
      <c r="A632" s="2" t="str">
        <f>IFERROR(TRIM(Raw_Data!A632), "Review")</f>
        <v>EMP1630</v>
      </c>
      <c r="B632" s="2" t="str">
        <f>IFERROR(TRIM(Raw_Data!B632), "Review")</f>
        <v>Alice</v>
      </c>
      <c r="C632" s="2" t="str">
        <f>IFERROR(TRIM(Raw_Data!C632), "Review")</f>
        <v>Smith</v>
      </c>
      <c r="D632" s="2">
        <f>IF(Raw_Data!D632="", "", IFERROR(VALUE(Raw_Data!D632), ""))</f>
        <v>30</v>
      </c>
      <c r="E632" s="2" t="str">
        <f>IFERROR(LEFT(Raw_Data!E632,SEARCH("-",Raw_Data!E632)-1),"Review")</f>
        <v>Finance</v>
      </c>
      <c r="F632" s="2" t="str">
        <f>IFERROR(_xlfn.TEXTAFTER(Raw_Data!E632,"-"),"Review")</f>
        <v>Nevada</v>
      </c>
      <c r="G632" s="2" t="str">
        <f>IFERROR(TRIM(Raw_Data!F632), "Review")</f>
        <v>Active</v>
      </c>
      <c r="H632" s="3" t="str">
        <f>IFERROR(TEXT(Raw_Data!G632, "YYYY-MM-DD"),"Review")</f>
        <v>2024-07-05</v>
      </c>
      <c r="I632" s="4">
        <f>IF(Raw_Data!H632="", "", IFERROR(VALUE(Raw_Data!H632), ""))</f>
        <v>56376.2</v>
      </c>
      <c r="J632" s="2" t="str">
        <f>IF(Raw_Data!I632="", "", IF(ISNUMBER(FIND("@", Raw_Data!I632)), Raw_Data!I632, "Review"))</f>
        <v>alice.smith@example.com</v>
      </c>
      <c r="K632" s="5" t="str">
        <f>IFERROR(TEXT(ABS(Raw_Data!J632), "0"), "Review")</f>
        <v>1312840332</v>
      </c>
      <c r="L632" s="2" t="str">
        <f>IFERROR(TRIM(Raw_Data!K632), "Review")</f>
        <v>Average</v>
      </c>
      <c r="M632" s="2" t="b">
        <f>IF(Raw_Data!L632="", "",
    IF(ISLOGICAL(Raw_Data!L632), Raw_Data!L632,
        IF(OR(UPPER(Raw_Data!L632)="TRUE", UPPER(Raw_Data!L632)="YES", UPPER(Raw_Data!L632)="1"), TRUE,
            IF(OR(UPPER(Raw_Data!L632)="FALSE", UPPER(Raw_Data!L632)="NO", UPPER(Raw_Data!L632)="0"), FALSE, "Review")
        )
    )
)</f>
        <v>1</v>
      </c>
    </row>
    <row r="633" spans="1:13" x14ac:dyDescent="0.4">
      <c r="A633" s="2" t="str">
        <f>IFERROR(TRIM(Raw_Data!A633), "Review")</f>
        <v>EMP1631</v>
      </c>
      <c r="B633" s="2" t="str">
        <f>IFERROR(TRIM(Raw_Data!B633), "Review")</f>
        <v>Grace</v>
      </c>
      <c r="C633" s="2" t="str">
        <f>IFERROR(TRIM(Raw_Data!C633), "Review")</f>
        <v>Brown</v>
      </c>
      <c r="D633" s="2">
        <f>IF(Raw_Data!D633="", "", IFERROR(VALUE(Raw_Data!D633), ""))</f>
        <v>25</v>
      </c>
      <c r="E633" s="2" t="str">
        <f>IFERROR(LEFT(Raw_Data!E633,SEARCH("-",Raw_Data!E633)-1),"Review")</f>
        <v>Cloud Tech</v>
      </c>
      <c r="F633" s="2" t="str">
        <f>IFERROR(_xlfn.TEXTAFTER(Raw_Data!E633,"-"),"Review")</f>
        <v>California</v>
      </c>
      <c r="G633" s="2" t="str">
        <f>IFERROR(TRIM(Raw_Data!F633), "Review")</f>
        <v>Active</v>
      </c>
      <c r="H633" s="3" t="str">
        <f>IFERROR(TEXT(Raw_Data!G633, "YYYY-MM-DD"),"Review")</f>
        <v>2022-01-29</v>
      </c>
      <c r="I633" s="4">
        <f>IF(Raw_Data!H633="", "", IFERROR(VALUE(Raw_Data!H633), ""))</f>
        <v>55602.78</v>
      </c>
      <c r="J633" s="2" t="str">
        <f>IF(Raw_Data!I633="", "", IF(ISNUMBER(FIND("@", Raw_Data!I633)), Raw_Data!I633, "Review"))</f>
        <v>grace.brown@example.com</v>
      </c>
      <c r="K633" s="5" t="str">
        <f>IFERROR(TEXT(ABS(Raw_Data!J633), "0"), "Review")</f>
        <v>9977180512</v>
      </c>
      <c r="L633" s="2" t="str">
        <f>IFERROR(TRIM(Raw_Data!K633), "Review")</f>
        <v>Good</v>
      </c>
      <c r="M633" s="2" t="b">
        <f>IF(Raw_Data!L633="", "",
    IF(ISLOGICAL(Raw_Data!L633), Raw_Data!L633,
        IF(OR(UPPER(Raw_Data!L633)="TRUE", UPPER(Raw_Data!L633)="YES", UPPER(Raw_Data!L633)="1"), TRUE,
            IF(OR(UPPER(Raw_Data!L633)="FALSE", UPPER(Raw_Data!L633)="NO", UPPER(Raw_Data!L633)="0"), FALSE, "Review")
        )
    )
)</f>
        <v>0</v>
      </c>
    </row>
    <row r="634" spans="1:13" x14ac:dyDescent="0.4">
      <c r="A634" s="2" t="str">
        <f>IFERROR(TRIM(Raw_Data!A634), "Review")</f>
        <v>EMP1632</v>
      </c>
      <c r="B634" s="2" t="str">
        <f>IFERROR(TRIM(Raw_Data!B634), "Review")</f>
        <v>Grace</v>
      </c>
      <c r="C634" s="2" t="str">
        <f>IFERROR(TRIM(Raw_Data!C634), "Review")</f>
        <v>Jones</v>
      </c>
      <c r="D634" s="2">
        <f>IF(Raw_Data!D634="", "", IFERROR(VALUE(Raw_Data!D634), ""))</f>
        <v>40</v>
      </c>
      <c r="E634" s="2" t="str">
        <f>IFERROR(LEFT(Raw_Data!E634,SEARCH("-",Raw_Data!E634)-1),"Review")</f>
        <v>Sales</v>
      </c>
      <c r="F634" s="2" t="str">
        <f>IFERROR(_xlfn.TEXTAFTER(Raw_Data!E634,"-"),"Review")</f>
        <v>Nevada</v>
      </c>
      <c r="G634" s="2" t="str">
        <f>IFERROR(TRIM(Raw_Data!F634), "Review")</f>
        <v>Pending</v>
      </c>
      <c r="H634" s="3" t="str">
        <f>IFERROR(TEXT(Raw_Data!G634, "YYYY-MM-DD"),"Review")</f>
        <v>2021-08-09</v>
      </c>
      <c r="I634" s="4">
        <f>IF(Raw_Data!H634="", "", IFERROR(VALUE(Raw_Data!H634), ""))</f>
        <v>99812.41</v>
      </c>
      <c r="J634" s="2" t="str">
        <f>IF(Raw_Data!I634="", "", IF(ISNUMBER(FIND("@", Raw_Data!I634)), Raw_Data!I634, "Review"))</f>
        <v>grace.jones@example.com</v>
      </c>
      <c r="K634" s="5" t="str">
        <f>IFERROR(TEXT(ABS(Raw_Data!J634), "0"), "Review")</f>
        <v>7171731892</v>
      </c>
      <c r="L634" s="2" t="str">
        <f>IFERROR(TRIM(Raw_Data!K634), "Review")</f>
        <v>Good</v>
      </c>
      <c r="M634" s="2" t="b">
        <f>IF(Raw_Data!L634="", "",
    IF(ISLOGICAL(Raw_Data!L634), Raw_Data!L634,
        IF(OR(UPPER(Raw_Data!L634)="TRUE", UPPER(Raw_Data!L634)="YES", UPPER(Raw_Data!L634)="1"), TRUE,
            IF(OR(UPPER(Raw_Data!L634)="FALSE", UPPER(Raw_Data!L634)="NO", UPPER(Raw_Data!L634)="0"), FALSE, "Review")
        )
    )
)</f>
        <v>0</v>
      </c>
    </row>
    <row r="635" spans="1:13" x14ac:dyDescent="0.4">
      <c r="A635" s="2" t="str">
        <f>IFERROR(TRIM(Raw_Data!A635), "Review")</f>
        <v>EMP1633</v>
      </c>
      <c r="B635" s="2" t="str">
        <f>IFERROR(TRIM(Raw_Data!B635), "Review")</f>
        <v>Charlie</v>
      </c>
      <c r="C635" s="2" t="str">
        <f>IFERROR(TRIM(Raw_Data!C635), "Review")</f>
        <v>Smith</v>
      </c>
      <c r="D635" s="2">
        <f>IF(Raw_Data!D635="", "", IFERROR(VALUE(Raw_Data!D635), ""))</f>
        <v>40</v>
      </c>
      <c r="E635" s="2" t="str">
        <f>IFERROR(LEFT(Raw_Data!E635,SEARCH("-",Raw_Data!E635)-1),"Review")</f>
        <v>Finance</v>
      </c>
      <c r="F635" s="2" t="str">
        <f>IFERROR(_xlfn.TEXTAFTER(Raw_Data!E635,"-"),"Review")</f>
        <v>Texas</v>
      </c>
      <c r="G635" s="2" t="str">
        <f>IFERROR(TRIM(Raw_Data!F635), "Review")</f>
        <v>Active</v>
      </c>
      <c r="H635" s="3" t="str">
        <f>IFERROR(TEXT(Raw_Data!G635, "YYYY-MM-DD"),"Review")</f>
        <v>2024-10-07</v>
      </c>
      <c r="I635" s="4">
        <f>IF(Raw_Data!H635="", "", IFERROR(VALUE(Raw_Data!H635), ""))</f>
        <v>95981.9</v>
      </c>
      <c r="J635" s="2" t="str">
        <f>IF(Raw_Data!I635="", "", IF(ISNUMBER(FIND("@", Raw_Data!I635)), Raw_Data!I635, "Review"))</f>
        <v>charlie.smith@example.com</v>
      </c>
      <c r="K635" s="5" t="str">
        <f>IFERROR(TEXT(ABS(Raw_Data!J635), "0"), "Review")</f>
        <v>9749096172</v>
      </c>
      <c r="L635" s="2" t="str">
        <f>IFERROR(TRIM(Raw_Data!K635), "Review")</f>
        <v>Average</v>
      </c>
      <c r="M635" s="2" t="b">
        <f>IF(Raw_Data!L635="", "",
    IF(ISLOGICAL(Raw_Data!L635), Raw_Data!L635,
        IF(OR(UPPER(Raw_Data!L635)="TRUE", UPPER(Raw_Data!L635)="YES", UPPER(Raw_Data!L635)="1"), TRUE,
            IF(OR(UPPER(Raw_Data!L635)="FALSE", UPPER(Raw_Data!L635)="NO", UPPER(Raw_Data!L635)="0"), FALSE, "Review")
        )
    )
)</f>
        <v>1</v>
      </c>
    </row>
    <row r="636" spans="1:13" x14ac:dyDescent="0.4">
      <c r="A636" s="2" t="str">
        <f>IFERROR(TRIM(Raw_Data!A636), "Review")</f>
        <v>EMP1634</v>
      </c>
      <c r="B636" s="2" t="str">
        <f>IFERROR(TRIM(Raw_Data!B636), "Review")</f>
        <v>Eva</v>
      </c>
      <c r="C636" s="2" t="str">
        <f>IFERROR(TRIM(Raw_Data!C636), "Review")</f>
        <v>Johnson</v>
      </c>
      <c r="D636" s="2">
        <f>IF(Raw_Data!D636="", "", IFERROR(VALUE(Raw_Data!D636), ""))</f>
        <v>30</v>
      </c>
      <c r="E636" s="2" t="str">
        <f>IFERROR(LEFT(Raw_Data!E636,SEARCH("-",Raw_Data!E636)-1),"Review")</f>
        <v>Cloud Tech</v>
      </c>
      <c r="F636" s="2" t="str">
        <f>IFERROR(_xlfn.TEXTAFTER(Raw_Data!E636,"-"),"Review")</f>
        <v>Illinois</v>
      </c>
      <c r="G636" s="2" t="str">
        <f>IFERROR(TRIM(Raw_Data!F636), "Review")</f>
        <v>Pending</v>
      </c>
      <c r="H636" s="3" t="str">
        <f>IFERROR(TEXT(Raw_Data!G636, "YYYY-MM-DD"),"Review")</f>
        <v>2022-11-22</v>
      </c>
      <c r="I636" s="4">
        <f>IF(Raw_Data!H636="", "", IFERROR(VALUE(Raw_Data!H636), ""))</f>
        <v>98891.48</v>
      </c>
      <c r="J636" s="2" t="str">
        <f>IF(Raw_Data!I636="", "", IF(ISNUMBER(FIND("@", Raw_Data!I636)), Raw_Data!I636, "Review"))</f>
        <v>eva.johnson@example.com</v>
      </c>
      <c r="K636" s="5" t="str">
        <f>IFERROR(TEXT(ABS(Raw_Data!J636), "0"), "Review")</f>
        <v>9970469471</v>
      </c>
      <c r="L636" s="2" t="str">
        <f>IFERROR(TRIM(Raw_Data!K636), "Review")</f>
        <v>Good</v>
      </c>
      <c r="M636" s="2" t="b">
        <f>IF(Raw_Data!L636="", "",
    IF(ISLOGICAL(Raw_Data!L636), Raw_Data!L636,
        IF(OR(UPPER(Raw_Data!L636)="TRUE", UPPER(Raw_Data!L636)="YES", UPPER(Raw_Data!L636)="1"), TRUE,
            IF(OR(UPPER(Raw_Data!L636)="FALSE", UPPER(Raw_Data!L636)="NO", UPPER(Raw_Data!L636)="0"), FALSE, "Review")
        )
    )
)</f>
        <v>1</v>
      </c>
    </row>
    <row r="637" spans="1:13" x14ac:dyDescent="0.4">
      <c r="A637" s="2" t="str">
        <f>IFERROR(TRIM(Raw_Data!A637), "Review")</f>
        <v>EMP1635</v>
      </c>
      <c r="B637" s="2" t="str">
        <f>IFERROR(TRIM(Raw_Data!B637), "Review")</f>
        <v>Alice</v>
      </c>
      <c r="C637" s="2" t="str">
        <f>IFERROR(TRIM(Raw_Data!C637), "Review")</f>
        <v>Johnson</v>
      </c>
      <c r="D637" s="2">
        <f>IF(Raw_Data!D637="", "", IFERROR(VALUE(Raw_Data!D637), ""))</f>
        <v>35</v>
      </c>
      <c r="E637" s="2" t="str">
        <f>IFERROR(LEFT(Raw_Data!E637,SEARCH("-",Raw_Data!E637)-1),"Review")</f>
        <v>Admin</v>
      </c>
      <c r="F637" s="2" t="str">
        <f>IFERROR(_xlfn.TEXTAFTER(Raw_Data!E637,"-"),"Review")</f>
        <v>Nevada</v>
      </c>
      <c r="G637" s="2" t="str">
        <f>IFERROR(TRIM(Raw_Data!F637), "Review")</f>
        <v>Active</v>
      </c>
      <c r="H637" s="3" t="str">
        <f>IFERROR(TEXT(Raw_Data!G637, "YYYY-MM-DD"),"Review")</f>
        <v>2020-11-18</v>
      </c>
      <c r="I637" s="4">
        <f>IF(Raw_Data!H637="", "", IFERROR(VALUE(Raw_Data!H637), ""))</f>
        <v>56079</v>
      </c>
      <c r="J637" s="2" t="str">
        <f>IF(Raw_Data!I637="", "", IF(ISNUMBER(FIND("@", Raw_Data!I637)), Raw_Data!I637, "Review"))</f>
        <v>alice.johnson@example.com</v>
      </c>
      <c r="K637" s="5" t="str">
        <f>IFERROR(TEXT(ABS(Raw_Data!J637), "0"), "Review")</f>
        <v>5878444834</v>
      </c>
      <c r="L637" s="2" t="str">
        <f>IFERROR(TRIM(Raw_Data!K637), "Review")</f>
        <v>Average</v>
      </c>
      <c r="M637" s="2" t="b">
        <f>IF(Raw_Data!L637="", "",
    IF(ISLOGICAL(Raw_Data!L637), Raw_Data!L637,
        IF(OR(UPPER(Raw_Data!L637)="TRUE", UPPER(Raw_Data!L637)="YES", UPPER(Raw_Data!L637)="1"), TRUE,
            IF(OR(UPPER(Raw_Data!L637)="FALSE", UPPER(Raw_Data!L637)="NO", UPPER(Raw_Data!L637)="0"), FALSE, "Review")
        )
    )
)</f>
        <v>1</v>
      </c>
    </row>
    <row r="638" spans="1:13" x14ac:dyDescent="0.4">
      <c r="A638" s="2" t="str">
        <f>IFERROR(TRIM(Raw_Data!A638), "Review")</f>
        <v>EMP1636</v>
      </c>
      <c r="B638" s="2" t="str">
        <f>IFERROR(TRIM(Raw_Data!B638), "Review")</f>
        <v>Grace</v>
      </c>
      <c r="C638" s="2" t="str">
        <f>IFERROR(TRIM(Raw_Data!C638), "Review")</f>
        <v>Smith</v>
      </c>
      <c r="D638" s="2">
        <f>IF(Raw_Data!D638="", "", IFERROR(VALUE(Raw_Data!D638), ""))</f>
        <v>35</v>
      </c>
      <c r="E638" s="2" t="str">
        <f>IFERROR(LEFT(Raw_Data!E638,SEARCH("-",Raw_Data!E638)-1),"Review")</f>
        <v>DevOps</v>
      </c>
      <c r="F638" s="2" t="str">
        <f>IFERROR(_xlfn.TEXTAFTER(Raw_Data!E638,"-"),"Review")</f>
        <v>Florida</v>
      </c>
      <c r="G638" s="2" t="str">
        <f>IFERROR(TRIM(Raw_Data!F638), "Review")</f>
        <v>Inactive</v>
      </c>
      <c r="H638" s="3" t="str">
        <f>IFERROR(TEXT(Raw_Data!G638, "YYYY-MM-DD"),"Review")</f>
        <v>2023-04-15</v>
      </c>
      <c r="I638" s="4" t="str">
        <f>IF(Raw_Data!H638="", "", IFERROR(VALUE(Raw_Data!H638), ""))</f>
        <v/>
      </c>
      <c r="J638" s="2" t="str">
        <f>IF(Raw_Data!I638="", "", IF(ISNUMBER(FIND("@", Raw_Data!I638)), Raw_Data!I638, "Review"))</f>
        <v>grace.smith@example.com</v>
      </c>
      <c r="K638" s="5" t="str">
        <f>IFERROR(TEXT(ABS(Raw_Data!J638), "0"), "Review")</f>
        <v>4884712704</v>
      </c>
      <c r="L638" s="2" t="str">
        <f>IFERROR(TRIM(Raw_Data!K638), "Review")</f>
        <v>Good</v>
      </c>
      <c r="M638" s="2" t="b">
        <f>IF(Raw_Data!L638="", "",
    IF(ISLOGICAL(Raw_Data!L638), Raw_Data!L638,
        IF(OR(UPPER(Raw_Data!L638)="TRUE", UPPER(Raw_Data!L638)="YES", UPPER(Raw_Data!L638)="1"), TRUE,
            IF(OR(UPPER(Raw_Data!L638)="FALSE", UPPER(Raw_Data!L638)="NO", UPPER(Raw_Data!L638)="0"), FALSE, "Review")
        )
    )
)</f>
        <v>1</v>
      </c>
    </row>
    <row r="639" spans="1:13" x14ac:dyDescent="0.4">
      <c r="A639" s="2" t="str">
        <f>IFERROR(TRIM(Raw_Data!A639), "Review")</f>
        <v>EMP1637</v>
      </c>
      <c r="B639" s="2" t="str">
        <f>IFERROR(TRIM(Raw_Data!B639), "Review")</f>
        <v>Bob</v>
      </c>
      <c r="C639" s="2" t="str">
        <f>IFERROR(TRIM(Raw_Data!C639), "Review")</f>
        <v>Davis</v>
      </c>
      <c r="D639" s="2">
        <f>IF(Raw_Data!D639="", "", IFERROR(VALUE(Raw_Data!D639), ""))</f>
        <v>25</v>
      </c>
      <c r="E639" s="2" t="str">
        <f>IFERROR(LEFT(Raw_Data!E639,SEARCH("-",Raw_Data!E639)-1),"Review")</f>
        <v>Sales</v>
      </c>
      <c r="F639" s="2" t="str">
        <f>IFERROR(_xlfn.TEXTAFTER(Raw_Data!E639,"-"),"Review")</f>
        <v>California</v>
      </c>
      <c r="G639" s="2" t="str">
        <f>IFERROR(TRIM(Raw_Data!F639), "Review")</f>
        <v>Pending</v>
      </c>
      <c r="H639" s="3" t="str">
        <f>IFERROR(TEXT(Raw_Data!G639, "YYYY-MM-DD"),"Review")</f>
        <v>2024-08-26</v>
      </c>
      <c r="I639" s="4">
        <f>IF(Raw_Data!H639="", "", IFERROR(VALUE(Raw_Data!H639), ""))</f>
        <v>89137.97</v>
      </c>
      <c r="J639" s="2" t="str">
        <f>IF(Raw_Data!I639="", "", IF(ISNUMBER(FIND("@", Raw_Data!I639)), Raw_Data!I639, "Review"))</f>
        <v>bob.davis@example.com</v>
      </c>
      <c r="K639" s="5" t="str">
        <f>IFERROR(TEXT(ABS(Raw_Data!J639), "0"), "Review")</f>
        <v>8772216416</v>
      </c>
      <c r="L639" s="2" t="str">
        <f>IFERROR(TRIM(Raw_Data!K639), "Review")</f>
        <v>Average</v>
      </c>
      <c r="M639" s="2" t="b">
        <f>IF(Raw_Data!L639="", "",
    IF(ISLOGICAL(Raw_Data!L639), Raw_Data!L639,
        IF(OR(UPPER(Raw_Data!L639)="TRUE", UPPER(Raw_Data!L639)="YES", UPPER(Raw_Data!L639)="1"), TRUE,
            IF(OR(UPPER(Raw_Data!L639)="FALSE", UPPER(Raw_Data!L639)="NO", UPPER(Raw_Data!L639)="0"), FALSE, "Review")
        )
    )
)</f>
        <v>0</v>
      </c>
    </row>
    <row r="640" spans="1:13" x14ac:dyDescent="0.4">
      <c r="A640" s="2" t="str">
        <f>IFERROR(TRIM(Raw_Data!A640), "Review")</f>
        <v>EMP1638</v>
      </c>
      <c r="B640" s="2" t="str">
        <f>IFERROR(TRIM(Raw_Data!B640), "Review")</f>
        <v>Frank</v>
      </c>
      <c r="C640" s="2" t="str">
        <f>IFERROR(TRIM(Raw_Data!C640), "Review")</f>
        <v>Johnson</v>
      </c>
      <c r="D640" s="2">
        <f>IF(Raw_Data!D640="", "", IFERROR(VALUE(Raw_Data!D640), ""))</f>
        <v>35</v>
      </c>
      <c r="E640" s="2" t="str">
        <f>IFERROR(LEFT(Raw_Data!E640,SEARCH("-",Raw_Data!E640)-1),"Review")</f>
        <v>Admin</v>
      </c>
      <c r="F640" s="2" t="str">
        <f>IFERROR(_xlfn.TEXTAFTER(Raw_Data!E640,"-"),"Review")</f>
        <v>Illinois</v>
      </c>
      <c r="G640" s="2" t="str">
        <f>IFERROR(TRIM(Raw_Data!F640), "Review")</f>
        <v>Active</v>
      </c>
      <c r="H640" s="3" t="str">
        <f>IFERROR(TEXT(Raw_Data!G640, "YYYY-MM-DD"),"Review")</f>
        <v>2022-07-20</v>
      </c>
      <c r="I640" s="4">
        <f>IF(Raw_Data!H640="", "", IFERROR(VALUE(Raw_Data!H640), ""))</f>
        <v>115079.97</v>
      </c>
      <c r="J640" s="2" t="str">
        <f>IF(Raw_Data!I640="", "", IF(ISNUMBER(FIND("@", Raw_Data!I640)), Raw_Data!I640, "Review"))</f>
        <v>frank.johnson@example.com</v>
      </c>
      <c r="K640" s="5" t="str">
        <f>IFERROR(TEXT(ABS(Raw_Data!J640), "0"), "Review")</f>
        <v>5823133483</v>
      </c>
      <c r="L640" s="2" t="str">
        <f>IFERROR(TRIM(Raw_Data!K640), "Review")</f>
        <v>Excellent</v>
      </c>
      <c r="M640" s="2" t="b">
        <f>IF(Raw_Data!L640="", "",
    IF(ISLOGICAL(Raw_Data!L640), Raw_Data!L640,
        IF(OR(UPPER(Raw_Data!L640)="TRUE", UPPER(Raw_Data!L640)="YES", UPPER(Raw_Data!L640)="1"), TRUE,
            IF(OR(UPPER(Raw_Data!L640)="FALSE", UPPER(Raw_Data!L640)="NO", UPPER(Raw_Data!L640)="0"), FALSE, "Review")
        )
    )
)</f>
        <v>1</v>
      </c>
    </row>
    <row r="641" spans="1:13" x14ac:dyDescent="0.4">
      <c r="A641" s="2" t="str">
        <f>IFERROR(TRIM(Raw_Data!A641), "Review")</f>
        <v>EMP1639</v>
      </c>
      <c r="B641" s="2" t="str">
        <f>IFERROR(TRIM(Raw_Data!B641), "Review")</f>
        <v>Eva</v>
      </c>
      <c r="C641" s="2" t="str">
        <f>IFERROR(TRIM(Raw_Data!C641), "Review")</f>
        <v>Garcia</v>
      </c>
      <c r="D641" s="2">
        <f>IF(Raw_Data!D641="", "", IFERROR(VALUE(Raw_Data!D641), ""))</f>
        <v>30</v>
      </c>
      <c r="E641" s="2" t="str">
        <f>IFERROR(LEFT(Raw_Data!E641,SEARCH("-",Raw_Data!E641)-1),"Review")</f>
        <v>Finance</v>
      </c>
      <c r="F641" s="2" t="str">
        <f>IFERROR(_xlfn.TEXTAFTER(Raw_Data!E641,"-"),"Review")</f>
        <v>Illinois</v>
      </c>
      <c r="G641" s="2" t="str">
        <f>IFERROR(TRIM(Raw_Data!F641), "Review")</f>
        <v>Active</v>
      </c>
      <c r="H641" s="3" t="str">
        <f>IFERROR(TEXT(Raw_Data!G641, "YYYY-MM-DD"),"Review")</f>
        <v>2023-02-18</v>
      </c>
      <c r="I641" s="4">
        <f>IF(Raw_Data!H641="", "", IFERROR(VALUE(Raw_Data!H641), ""))</f>
        <v>55067.02</v>
      </c>
      <c r="J641" s="2" t="str">
        <f>IF(Raw_Data!I641="", "", IF(ISNUMBER(FIND("@", Raw_Data!I641)), Raw_Data!I641, "Review"))</f>
        <v>eva.garcia@example.com</v>
      </c>
      <c r="K641" s="5" t="str">
        <f>IFERROR(TEXT(ABS(Raw_Data!J641), "0"), "Review")</f>
        <v>5871493924</v>
      </c>
      <c r="L641" s="2" t="str">
        <f>IFERROR(TRIM(Raw_Data!K641), "Review")</f>
        <v>Poor</v>
      </c>
      <c r="M641" s="2" t="b">
        <f>IF(Raw_Data!L641="", "",
    IF(ISLOGICAL(Raw_Data!L641), Raw_Data!L641,
        IF(OR(UPPER(Raw_Data!L641)="TRUE", UPPER(Raw_Data!L641)="YES", UPPER(Raw_Data!L641)="1"), TRUE,
            IF(OR(UPPER(Raw_Data!L641)="FALSE", UPPER(Raw_Data!L641)="NO", UPPER(Raw_Data!L641)="0"), FALSE, "Review")
        )
    )
)</f>
        <v>1</v>
      </c>
    </row>
    <row r="642" spans="1:13" x14ac:dyDescent="0.4">
      <c r="A642" s="2" t="str">
        <f>IFERROR(TRIM(Raw_Data!A642), "Review")</f>
        <v>EMP1640</v>
      </c>
      <c r="B642" s="2" t="str">
        <f>IFERROR(TRIM(Raw_Data!B642), "Review")</f>
        <v>Bob</v>
      </c>
      <c r="C642" s="2" t="str">
        <f>IFERROR(TRIM(Raw_Data!C642), "Review")</f>
        <v>Miller</v>
      </c>
      <c r="D642" s="2" t="str">
        <f>IF(Raw_Data!D642="", "", IFERROR(VALUE(Raw_Data!D642), ""))</f>
        <v/>
      </c>
      <c r="E642" s="2" t="str">
        <f>IFERROR(LEFT(Raw_Data!E642,SEARCH("-",Raw_Data!E642)-1),"Review")</f>
        <v>HR</v>
      </c>
      <c r="F642" s="2" t="str">
        <f>IFERROR(_xlfn.TEXTAFTER(Raw_Data!E642,"-"),"Review")</f>
        <v>Illinois</v>
      </c>
      <c r="G642" s="2" t="str">
        <f>IFERROR(TRIM(Raw_Data!F642), "Review")</f>
        <v>Pending</v>
      </c>
      <c r="H642" s="3" t="str">
        <f>IFERROR(TEXT(Raw_Data!G642, "YYYY-MM-DD"),"Review")</f>
        <v>2021-05-27</v>
      </c>
      <c r="I642" s="4">
        <f>IF(Raw_Data!H642="", "", IFERROR(VALUE(Raw_Data!H642), ""))</f>
        <v>98593.43</v>
      </c>
      <c r="J642" s="2" t="str">
        <f>IF(Raw_Data!I642="", "", IF(ISNUMBER(FIND("@", Raw_Data!I642)), Raw_Data!I642, "Review"))</f>
        <v>bob.miller@example.com</v>
      </c>
      <c r="K642" s="5" t="str">
        <f>IFERROR(TEXT(ABS(Raw_Data!J642), "0"), "Review")</f>
        <v>2362292586</v>
      </c>
      <c r="L642" s="2" t="str">
        <f>IFERROR(TRIM(Raw_Data!K642), "Review")</f>
        <v>Average</v>
      </c>
      <c r="M642" s="2" t="b">
        <f>IF(Raw_Data!L642="", "",
    IF(ISLOGICAL(Raw_Data!L642), Raw_Data!L642,
        IF(OR(UPPER(Raw_Data!L642)="TRUE", UPPER(Raw_Data!L642)="YES", UPPER(Raw_Data!L642)="1"), TRUE,
            IF(OR(UPPER(Raw_Data!L642)="FALSE", UPPER(Raw_Data!L642)="NO", UPPER(Raw_Data!L642)="0"), FALSE, "Review")
        )
    )
)</f>
        <v>1</v>
      </c>
    </row>
    <row r="643" spans="1:13" x14ac:dyDescent="0.4">
      <c r="A643" s="2" t="str">
        <f>IFERROR(TRIM(Raw_Data!A643), "Review")</f>
        <v>EMP1641</v>
      </c>
      <c r="B643" s="2" t="str">
        <f>IFERROR(TRIM(Raw_Data!B643), "Review")</f>
        <v>Heidi</v>
      </c>
      <c r="C643" s="2" t="str">
        <f>IFERROR(TRIM(Raw_Data!C643), "Review")</f>
        <v>Miller</v>
      </c>
      <c r="D643" s="2">
        <f>IF(Raw_Data!D643="", "", IFERROR(VALUE(Raw_Data!D643), ""))</f>
        <v>30</v>
      </c>
      <c r="E643" s="2" t="str">
        <f>IFERROR(LEFT(Raw_Data!E643,SEARCH("-",Raw_Data!E643)-1),"Review")</f>
        <v>HR</v>
      </c>
      <c r="F643" s="2" t="str">
        <f>IFERROR(_xlfn.TEXTAFTER(Raw_Data!E643,"-"),"Review")</f>
        <v>Florida</v>
      </c>
      <c r="G643" s="2" t="str">
        <f>IFERROR(TRIM(Raw_Data!F643), "Review")</f>
        <v>Pending</v>
      </c>
      <c r="H643" s="3" t="str">
        <f>IFERROR(TEXT(Raw_Data!G643, "YYYY-MM-DD"),"Review")</f>
        <v>2022-08-01</v>
      </c>
      <c r="I643" s="4">
        <f>IF(Raw_Data!H643="", "", IFERROR(VALUE(Raw_Data!H643), ""))</f>
        <v>112756.67</v>
      </c>
      <c r="J643" s="2" t="str">
        <f>IF(Raw_Data!I643="", "", IF(ISNUMBER(FIND("@", Raw_Data!I643)), Raw_Data!I643, "Review"))</f>
        <v>heidi.miller@example.com</v>
      </c>
      <c r="K643" s="5" t="str">
        <f>IFERROR(TEXT(ABS(Raw_Data!J643), "0"), "Review")</f>
        <v>9643474523</v>
      </c>
      <c r="L643" s="2" t="str">
        <f>IFERROR(TRIM(Raw_Data!K643), "Review")</f>
        <v>Average</v>
      </c>
      <c r="M643" s="2" t="b">
        <f>IF(Raw_Data!L643="", "",
    IF(ISLOGICAL(Raw_Data!L643), Raw_Data!L643,
        IF(OR(UPPER(Raw_Data!L643)="TRUE", UPPER(Raw_Data!L643)="YES", UPPER(Raw_Data!L643)="1"), TRUE,
            IF(OR(UPPER(Raw_Data!L643)="FALSE", UPPER(Raw_Data!L643)="NO", UPPER(Raw_Data!L643)="0"), FALSE, "Review")
        )
    )
)</f>
        <v>1</v>
      </c>
    </row>
    <row r="644" spans="1:13" x14ac:dyDescent="0.4">
      <c r="A644" s="2" t="str">
        <f>IFERROR(TRIM(Raw_Data!A644), "Review")</f>
        <v>EMP1642</v>
      </c>
      <c r="B644" s="2" t="str">
        <f>IFERROR(TRIM(Raw_Data!B644), "Review")</f>
        <v>Heidi</v>
      </c>
      <c r="C644" s="2" t="str">
        <f>IFERROR(TRIM(Raw_Data!C644), "Review")</f>
        <v>Garcia</v>
      </c>
      <c r="D644" s="2">
        <f>IF(Raw_Data!D644="", "", IFERROR(VALUE(Raw_Data!D644), ""))</f>
        <v>25</v>
      </c>
      <c r="E644" s="2" t="str">
        <f>IFERROR(LEFT(Raw_Data!E644,SEARCH("-",Raw_Data!E644)-1),"Review")</f>
        <v>HR</v>
      </c>
      <c r="F644" s="2" t="str">
        <f>IFERROR(_xlfn.TEXTAFTER(Raw_Data!E644,"-"),"Review")</f>
        <v>Texas</v>
      </c>
      <c r="G644" s="2" t="str">
        <f>IFERROR(TRIM(Raw_Data!F644), "Review")</f>
        <v>Inactive</v>
      </c>
      <c r="H644" s="3" t="str">
        <f>IFERROR(TEXT(Raw_Data!G644, "YYYY-MM-DD"),"Review")</f>
        <v>2023-07-21</v>
      </c>
      <c r="I644" s="4">
        <f>IF(Raw_Data!H644="", "", IFERROR(VALUE(Raw_Data!H644), ""))</f>
        <v>105205.92</v>
      </c>
      <c r="J644" s="2" t="str">
        <f>IF(Raw_Data!I644="", "", IF(ISNUMBER(FIND("@", Raw_Data!I644)), Raw_Data!I644, "Review"))</f>
        <v>heidi.garcia@example.com</v>
      </c>
      <c r="K644" s="5" t="str">
        <f>IFERROR(TEXT(ABS(Raw_Data!J644), "0"), "Review")</f>
        <v>5557469659</v>
      </c>
      <c r="L644" s="2" t="str">
        <f>IFERROR(TRIM(Raw_Data!K644), "Review")</f>
        <v>Poor</v>
      </c>
      <c r="M644" s="2" t="b">
        <f>IF(Raw_Data!L644="", "",
    IF(ISLOGICAL(Raw_Data!L644), Raw_Data!L644,
        IF(OR(UPPER(Raw_Data!L644)="TRUE", UPPER(Raw_Data!L644)="YES", UPPER(Raw_Data!L644)="1"), TRUE,
            IF(OR(UPPER(Raw_Data!L644)="FALSE", UPPER(Raw_Data!L644)="NO", UPPER(Raw_Data!L644)="0"), FALSE, "Review")
        )
    )
)</f>
        <v>0</v>
      </c>
    </row>
    <row r="645" spans="1:13" x14ac:dyDescent="0.4">
      <c r="A645" s="2" t="str">
        <f>IFERROR(TRIM(Raw_Data!A645), "Review")</f>
        <v>EMP1643</v>
      </c>
      <c r="B645" s="2" t="str">
        <f>IFERROR(TRIM(Raw_Data!B645), "Review")</f>
        <v>David</v>
      </c>
      <c r="C645" s="2" t="str">
        <f>IFERROR(TRIM(Raw_Data!C645), "Review")</f>
        <v>Smith</v>
      </c>
      <c r="D645" s="2">
        <f>IF(Raw_Data!D645="", "", IFERROR(VALUE(Raw_Data!D645), ""))</f>
        <v>35</v>
      </c>
      <c r="E645" s="2" t="str">
        <f>IFERROR(LEFT(Raw_Data!E645,SEARCH("-",Raw_Data!E645)-1),"Review")</f>
        <v>Finance</v>
      </c>
      <c r="F645" s="2" t="str">
        <f>IFERROR(_xlfn.TEXTAFTER(Raw_Data!E645,"-"),"Review")</f>
        <v>California</v>
      </c>
      <c r="G645" s="2" t="str">
        <f>IFERROR(TRIM(Raw_Data!F645), "Review")</f>
        <v>Pending</v>
      </c>
      <c r="H645" s="3" t="str">
        <f>IFERROR(TEXT(Raw_Data!G645, "YYYY-MM-DD"),"Review")</f>
        <v>2023-01-02</v>
      </c>
      <c r="I645" s="4">
        <f>IF(Raw_Data!H645="", "", IFERROR(VALUE(Raw_Data!H645), ""))</f>
        <v>50680.62</v>
      </c>
      <c r="J645" s="2" t="str">
        <f>IF(Raw_Data!I645="", "", IF(ISNUMBER(FIND("@", Raw_Data!I645)), Raw_Data!I645, "Review"))</f>
        <v>david.smith@example.com</v>
      </c>
      <c r="K645" s="5" t="str">
        <f>IFERROR(TEXT(ABS(Raw_Data!J645), "0"), "Review")</f>
        <v>6065274032</v>
      </c>
      <c r="L645" s="2" t="str">
        <f>IFERROR(TRIM(Raw_Data!K645), "Review")</f>
        <v>Average</v>
      </c>
      <c r="M645" s="2" t="b">
        <f>IF(Raw_Data!L645="", "",
    IF(ISLOGICAL(Raw_Data!L645), Raw_Data!L645,
        IF(OR(UPPER(Raw_Data!L645)="TRUE", UPPER(Raw_Data!L645)="YES", UPPER(Raw_Data!L645)="1"), TRUE,
            IF(OR(UPPER(Raw_Data!L645)="FALSE", UPPER(Raw_Data!L645)="NO", UPPER(Raw_Data!L645)="0"), FALSE, "Review")
        )
    )
)</f>
        <v>1</v>
      </c>
    </row>
    <row r="646" spans="1:13" x14ac:dyDescent="0.4">
      <c r="A646" s="2" t="str">
        <f>IFERROR(TRIM(Raw_Data!A646), "Review")</f>
        <v>EMP1644</v>
      </c>
      <c r="B646" s="2" t="str">
        <f>IFERROR(TRIM(Raw_Data!B646), "Review")</f>
        <v>David</v>
      </c>
      <c r="C646" s="2" t="str">
        <f>IFERROR(TRIM(Raw_Data!C646), "Review")</f>
        <v>Garcia</v>
      </c>
      <c r="D646" s="2">
        <f>IF(Raw_Data!D646="", "", IFERROR(VALUE(Raw_Data!D646), ""))</f>
        <v>35</v>
      </c>
      <c r="E646" s="2" t="str">
        <f>IFERROR(LEFT(Raw_Data!E646,SEARCH("-",Raw_Data!E646)-1),"Review")</f>
        <v>Cloud Tech</v>
      </c>
      <c r="F646" s="2" t="str">
        <f>IFERROR(_xlfn.TEXTAFTER(Raw_Data!E646,"-"),"Review")</f>
        <v>Florida</v>
      </c>
      <c r="G646" s="2" t="str">
        <f>IFERROR(TRIM(Raw_Data!F646), "Review")</f>
        <v>Pending</v>
      </c>
      <c r="H646" s="3" t="str">
        <f>IFERROR(TEXT(Raw_Data!G646, "YYYY-MM-DD"),"Review")</f>
        <v>2024-03-13</v>
      </c>
      <c r="I646" s="4">
        <f>IF(Raw_Data!H646="", "", IFERROR(VALUE(Raw_Data!H646), ""))</f>
        <v>107475.23</v>
      </c>
      <c r="J646" s="2" t="str">
        <f>IF(Raw_Data!I646="", "", IF(ISNUMBER(FIND("@", Raw_Data!I646)), Raw_Data!I646, "Review"))</f>
        <v>david.garcia@example.com</v>
      </c>
      <c r="K646" s="5" t="str">
        <f>IFERROR(TEXT(ABS(Raw_Data!J646), "0"), "Review")</f>
        <v>4450566587</v>
      </c>
      <c r="L646" s="2" t="str">
        <f>IFERROR(TRIM(Raw_Data!K646), "Review")</f>
        <v>Average</v>
      </c>
      <c r="M646" s="2" t="b">
        <f>IF(Raw_Data!L646="", "",
    IF(ISLOGICAL(Raw_Data!L646), Raw_Data!L646,
        IF(OR(UPPER(Raw_Data!L646)="TRUE", UPPER(Raw_Data!L646)="YES", UPPER(Raw_Data!L646)="1"), TRUE,
            IF(OR(UPPER(Raw_Data!L646)="FALSE", UPPER(Raw_Data!L646)="NO", UPPER(Raw_Data!L646)="0"), FALSE, "Review")
        )
    )
)</f>
        <v>0</v>
      </c>
    </row>
    <row r="647" spans="1:13" x14ac:dyDescent="0.4">
      <c r="A647" s="2" t="str">
        <f>IFERROR(TRIM(Raw_Data!A647), "Review")</f>
        <v>EMP1645</v>
      </c>
      <c r="B647" s="2" t="str">
        <f>IFERROR(TRIM(Raw_Data!B647), "Review")</f>
        <v>Charlie</v>
      </c>
      <c r="C647" s="2" t="str">
        <f>IFERROR(TRIM(Raw_Data!C647), "Review")</f>
        <v>Jones</v>
      </c>
      <c r="D647" s="2">
        <f>IF(Raw_Data!D647="", "", IFERROR(VALUE(Raw_Data!D647), ""))</f>
        <v>40</v>
      </c>
      <c r="E647" s="2" t="str">
        <f>IFERROR(LEFT(Raw_Data!E647,SEARCH("-",Raw_Data!E647)-1),"Review")</f>
        <v>HR</v>
      </c>
      <c r="F647" s="2" t="str">
        <f>IFERROR(_xlfn.TEXTAFTER(Raw_Data!E647,"-"),"Review")</f>
        <v>California</v>
      </c>
      <c r="G647" s="2" t="str">
        <f>IFERROR(TRIM(Raw_Data!F647), "Review")</f>
        <v>Active</v>
      </c>
      <c r="H647" s="3" t="str">
        <f>IFERROR(TEXT(Raw_Data!G647, "YYYY-MM-DD"),"Review")</f>
        <v>2023-03-20</v>
      </c>
      <c r="I647" s="4">
        <f>IF(Raw_Data!H647="", "", IFERROR(VALUE(Raw_Data!H647), ""))</f>
        <v>68835.3</v>
      </c>
      <c r="J647" s="2" t="str">
        <f>IF(Raw_Data!I647="", "", IF(ISNUMBER(FIND("@", Raw_Data!I647)), Raw_Data!I647, "Review"))</f>
        <v>charlie.jones@example.com</v>
      </c>
      <c r="K647" s="5" t="str">
        <f>IFERROR(TEXT(ABS(Raw_Data!J647), "0"), "Review")</f>
        <v>3398741131</v>
      </c>
      <c r="L647" s="2" t="str">
        <f>IFERROR(TRIM(Raw_Data!K647), "Review")</f>
        <v>Good</v>
      </c>
      <c r="M647" s="2" t="b">
        <f>IF(Raw_Data!L647="", "",
    IF(ISLOGICAL(Raw_Data!L647), Raw_Data!L647,
        IF(OR(UPPER(Raw_Data!L647)="TRUE", UPPER(Raw_Data!L647)="YES", UPPER(Raw_Data!L647)="1"), TRUE,
            IF(OR(UPPER(Raw_Data!L647)="FALSE", UPPER(Raw_Data!L647)="NO", UPPER(Raw_Data!L647)="0"), FALSE, "Review")
        )
    )
)</f>
        <v>1</v>
      </c>
    </row>
    <row r="648" spans="1:13" x14ac:dyDescent="0.4">
      <c r="A648" s="2" t="str">
        <f>IFERROR(TRIM(Raw_Data!A648), "Review")</f>
        <v>EMP1646</v>
      </c>
      <c r="B648" s="2" t="str">
        <f>IFERROR(TRIM(Raw_Data!B648), "Review")</f>
        <v>David</v>
      </c>
      <c r="C648" s="2" t="str">
        <f>IFERROR(TRIM(Raw_Data!C648), "Review")</f>
        <v>Jones</v>
      </c>
      <c r="D648" s="2">
        <f>IF(Raw_Data!D648="", "", IFERROR(VALUE(Raw_Data!D648), ""))</f>
        <v>40</v>
      </c>
      <c r="E648" s="2" t="str">
        <f>IFERROR(LEFT(Raw_Data!E648,SEARCH("-",Raw_Data!E648)-1),"Review")</f>
        <v>DevOps</v>
      </c>
      <c r="F648" s="2" t="str">
        <f>IFERROR(_xlfn.TEXTAFTER(Raw_Data!E648,"-"),"Review")</f>
        <v>New York</v>
      </c>
      <c r="G648" s="2" t="str">
        <f>IFERROR(TRIM(Raw_Data!F648), "Review")</f>
        <v>Active</v>
      </c>
      <c r="H648" s="3" t="str">
        <f>IFERROR(TEXT(Raw_Data!G648, "YYYY-MM-DD"),"Review")</f>
        <v>2024-02-15</v>
      </c>
      <c r="I648" s="4">
        <f>IF(Raw_Data!H648="", "", IFERROR(VALUE(Raw_Data!H648), ""))</f>
        <v>66943.960000000006</v>
      </c>
      <c r="J648" s="2" t="str">
        <f>IF(Raw_Data!I648="", "", IF(ISNUMBER(FIND("@", Raw_Data!I648)), Raw_Data!I648, "Review"))</f>
        <v>david.jones@example.com</v>
      </c>
      <c r="K648" s="5" t="str">
        <f>IFERROR(TEXT(ABS(Raw_Data!J648), "0"), "Review")</f>
        <v>5797067348</v>
      </c>
      <c r="L648" s="2" t="str">
        <f>IFERROR(TRIM(Raw_Data!K648), "Review")</f>
        <v>Poor</v>
      </c>
      <c r="M648" s="2" t="b">
        <f>IF(Raw_Data!L648="", "",
    IF(ISLOGICAL(Raw_Data!L648), Raw_Data!L648,
        IF(OR(UPPER(Raw_Data!L648)="TRUE", UPPER(Raw_Data!L648)="YES", UPPER(Raw_Data!L648)="1"), TRUE,
            IF(OR(UPPER(Raw_Data!L648)="FALSE", UPPER(Raw_Data!L648)="NO", UPPER(Raw_Data!L648)="0"), FALSE, "Review")
        )
    )
)</f>
        <v>1</v>
      </c>
    </row>
    <row r="649" spans="1:13" x14ac:dyDescent="0.4">
      <c r="A649" s="2" t="str">
        <f>IFERROR(TRIM(Raw_Data!A649), "Review")</f>
        <v>EMP1647</v>
      </c>
      <c r="B649" s="2" t="str">
        <f>IFERROR(TRIM(Raw_Data!B649), "Review")</f>
        <v>David</v>
      </c>
      <c r="C649" s="2" t="str">
        <f>IFERROR(TRIM(Raw_Data!C649), "Review")</f>
        <v>Smith</v>
      </c>
      <c r="D649" s="2">
        <f>IF(Raw_Data!D649="", "", IFERROR(VALUE(Raw_Data!D649), ""))</f>
        <v>30</v>
      </c>
      <c r="E649" s="2" t="str">
        <f>IFERROR(LEFT(Raw_Data!E649,SEARCH("-",Raw_Data!E649)-1),"Review")</f>
        <v>Admin</v>
      </c>
      <c r="F649" s="2" t="str">
        <f>IFERROR(_xlfn.TEXTAFTER(Raw_Data!E649,"-"),"Review")</f>
        <v>Illinois</v>
      </c>
      <c r="G649" s="2" t="str">
        <f>IFERROR(TRIM(Raw_Data!F649), "Review")</f>
        <v>Inactive</v>
      </c>
      <c r="H649" s="3" t="str">
        <f>IFERROR(TEXT(Raw_Data!G649, "YYYY-MM-DD"),"Review")</f>
        <v>2020-11-15</v>
      </c>
      <c r="I649" s="4">
        <f>IF(Raw_Data!H649="", "", IFERROR(VALUE(Raw_Data!H649), ""))</f>
        <v>104525.69</v>
      </c>
      <c r="J649" s="2" t="str">
        <f>IF(Raw_Data!I649="", "", IF(ISNUMBER(FIND("@", Raw_Data!I649)), Raw_Data!I649, "Review"))</f>
        <v>david.smith@example.com</v>
      </c>
      <c r="K649" s="5" t="str">
        <f>IFERROR(TEXT(ABS(Raw_Data!J649), "0"), "Review")</f>
        <v>9601054856</v>
      </c>
      <c r="L649" s="2" t="str">
        <f>IFERROR(TRIM(Raw_Data!K649), "Review")</f>
        <v>Excellent</v>
      </c>
      <c r="M649" s="2" t="b">
        <f>IF(Raw_Data!L649="", "",
    IF(ISLOGICAL(Raw_Data!L649), Raw_Data!L649,
        IF(OR(UPPER(Raw_Data!L649)="TRUE", UPPER(Raw_Data!L649)="YES", UPPER(Raw_Data!L649)="1"), TRUE,
            IF(OR(UPPER(Raw_Data!L649)="FALSE", UPPER(Raw_Data!L649)="NO", UPPER(Raw_Data!L649)="0"), FALSE, "Review")
        )
    )
)</f>
        <v>0</v>
      </c>
    </row>
    <row r="650" spans="1:13" x14ac:dyDescent="0.4">
      <c r="A650" s="2" t="str">
        <f>IFERROR(TRIM(Raw_Data!A650), "Review")</f>
        <v>EMP1648</v>
      </c>
      <c r="B650" s="2" t="str">
        <f>IFERROR(TRIM(Raw_Data!B650), "Review")</f>
        <v>Bob</v>
      </c>
      <c r="C650" s="2" t="str">
        <f>IFERROR(TRIM(Raw_Data!C650), "Review")</f>
        <v>Garcia</v>
      </c>
      <c r="D650" s="2">
        <f>IF(Raw_Data!D650="", "", IFERROR(VALUE(Raw_Data!D650), ""))</f>
        <v>40</v>
      </c>
      <c r="E650" s="2" t="str">
        <f>IFERROR(LEFT(Raw_Data!E650,SEARCH("-",Raw_Data!E650)-1),"Review")</f>
        <v>Sales</v>
      </c>
      <c r="F650" s="2" t="str">
        <f>IFERROR(_xlfn.TEXTAFTER(Raw_Data!E650,"-"),"Review")</f>
        <v>Texas</v>
      </c>
      <c r="G650" s="2" t="str">
        <f>IFERROR(TRIM(Raw_Data!F650), "Review")</f>
        <v>Pending</v>
      </c>
      <c r="H650" s="3" t="str">
        <f>IFERROR(TEXT(Raw_Data!G650, "YYYY-MM-DD"),"Review")</f>
        <v>2020-03-27</v>
      </c>
      <c r="I650" s="4">
        <f>IF(Raw_Data!H650="", "", IFERROR(VALUE(Raw_Data!H650), ""))</f>
        <v>109360.74</v>
      </c>
      <c r="J650" s="2" t="str">
        <f>IF(Raw_Data!I650="", "", IF(ISNUMBER(FIND("@", Raw_Data!I650)), Raw_Data!I650, "Review"))</f>
        <v>bob.garcia@example.com</v>
      </c>
      <c r="K650" s="5" t="str">
        <f>IFERROR(TEXT(ABS(Raw_Data!J650), "0"), "Review")</f>
        <v>4172156228</v>
      </c>
      <c r="L650" s="2" t="str">
        <f>IFERROR(TRIM(Raw_Data!K650), "Review")</f>
        <v>Average</v>
      </c>
      <c r="M650" s="2" t="b">
        <f>IF(Raw_Data!L650="", "",
    IF(ISLOGICAL(Raw_Data!L650), Raw_Data!L650,
        IF(OR(UPPER(Raw_Data!L650)="TRUE", UPPER(Raw_Data!L650)="YES", UPPER(Raw_Data!L650)="1"), TRUE,
            IF(OR(UPPER(Raw_Data!L650)="FALSE", UPPER(Raw_Data!L650)="NO", UPPER(Raw_Data!L650)="0"), FALSE, "Review")
        )
    )
)</f>
        <v>1</v>
      </c>
    </row>
    <row r="651" spans="1:13" x14ac:dyDescent="0.4">
      <c r="A651" s="2" t="str">
        <f>IFERROR(TRIM(Raw_Data!A651), "Review")</f>
        <v>EMP1649</v>
      </c>
      <c r="B651" s="2" t="str">
        <f>IFERROR(TRIM(Raw_Data!B651), "Review")</f>
        <v>Frank</v>
      </c>
      <c r="C651" s="2" t="str">
        <f>IFERROR(TRIM(Raw_Data!C651), "Review")</f>
        <v>Jones</v>
      </c>
      <c r="D651" s="2">
        <f>IF(Raw_Data!D651="", "", IFERROR(VALUE(Raw_Data!D651), ""))</f>
        <v>40</v>
      </c>
      <c r="E651" s="2" t="str">
        <f>IFERROR(LEFT(Raw_Data!E651,SEARCH("-",Raw_Data!E651)-1),"Review")</f>
        <v>Sales</v>
      </c>
      <c r="F651" s="2" t="str">
        <f>IFERROR(_xlfn.TEXTAFTER(Raw_Data!E651,"-"),"Review")</f>
        <v>California</v>
      </c>
      <c r="G651" s="2" t="str">
        <f>IFERROR(TRIM(Raw_Data!F651), "Review")</f>
        <v>Inactive</v>
      </c>
      <c r="H651" s="3" t="str">
        <f>IFERROR(TEXT(Raw_Data!G651, "YYYY-MM-DD"),"Review")</f>
        <v>2021-01-09</v>
      </c>
      <c r="I651" s="4">
        <f>IF(Raw_Data!H651="", "", IFERROR(VALUE(Raw_Data!H651), ""))</f>
        <v>118907.63</v>
      </c>
      <c r="J651" s="2" t="str">
        <f>IF(Raw_Data!I651="", "", IF(ISNUMBER(FIND("@", Raw_Data!I651)), Raw_Data!I651, "Review"))</f>
        <v>frank.jones@example.com</v>
      </c>
      <c r="K651" s="5" t="str">
        <f>IFERROR(TEXT(ABS(Raw_Data!J651), "0"), "Review")</f>
        <v>4938173597</v>
      </c>
      <c r="L651" s="2" t="str">
        <f>IFERROR(TRIM(Raw_Data!K651), "Review")</f>
        <v>Poor</v>
      </c>
      <c r="M651" s="2" t="b">
        <f>IF(Raw_Data!L651="", "",
    IF(ISLOGICAL(Raw_Data!L651), Raw_Data!L651,
        IF(OR(UPPER(Raw_Data!L651)="TRUE", UPPER(Raw_Data!L651)="YES", UPPER(Raw_Data!L651)="1"), TRUE,
            IF(OR(UPPER(Raw_Data!L651)="FALSE", UPPER(Raw_Data!L651)="NO", UPPER(Raw_Data!L651)="0"), FALSE, "Review")
        )
    )
)</f>
        <v>0</v>
      </c>
    </row>
    <row r="652" spans="1:13" x14ac:dyDescent="0.4">
      <c r="A652" s="2" t="str">
        <f>IFERROR(TRIM(Raw_Data!A652), "Review")</f>
        <v>EMP1650</v>
      </c>
      <c r="B652" s="2" t="str">
        <f>IFERROR(TRIM(Raw_Data!B652), "Review")</f>
        <v>Eva</v>
      </c>
      <c r="C652" s="2" t="str">
        <f>IFERROR(TRIM(Raw_Data!C652), "Review")</f>
        <v>Davis</v>
      </c>
      <c r="D652" s="2">
        <f>IF(Raw_Data!D652="", "", IFERROR(VALUE(Raw_Data!D652), ""))</f>
        <v>40</v>
      </c>
      <c r="E652" s="2" t="str">
        <f>IFERROR(LEFT(Raw_Data!E652,SEARCH("-",Raw_Data!E652)-1),"Review")</f>
        <v>Admin</v>
      </c>
      <c r="F652" s="2" t="str">
        <f>IFERROR(_xlfn.TEXTAFTER(Raw_Data!E652,"-"),"Review")</f>
        <v>Illinois</v>
      </c>
      <c r="G652" s="2" t="str">
        <f>IFERROR(TRIM(Raw_Data!F652), "Review")</f>
        <v>Active</v>
      </c>
      <c r="H652" s="3" t="str">
        <f>IFERROR(TEXT(Raw_Data!G652, "YYYY-MM-DD"),"Review")</f>
        <v>2020-04-20</v>
      </c>
      <c r="I652" s="4">
        <f>IF(Raw_Data!H652="", "", IFERROR(VALUE(Raw_Data!H652), ""))</f>
        <v>86801.48</v>
      </c>
      <c r="J652" s="2" t="str">
        <f>IF(Raw_Data!I652="", "", IF(ISNUMBER(FIND("@", Raw_Data!I652)), Raw_Data!I652, "Review"))</f>
        <v>eva.davis@example.com</v>
      </c>
      <c r="K652" s="5" t="str">
        <f>IFERROR(TEXT(ABS(Raw_Data!J652), "0"), "Review")</f>
        <v>4884021556</v>
      </c>
      <c r="L652" s="2" t="str">
        <f>IFERROR(TRIM(Raw_Data!K652), "Review")</f>
        <v>Good</v>
      </c>
      <c r="M652" s="2" t="b">
        <f>IF(Raw_Data!L652="", "",
    IF(ISLOGICAL(Raw_Data!L652), Raw_Data!L652,
        IF(OR(UPPER(Raw_Data!L652)="TRUE", UPPER(Raw_Data!L652)="YES", UPPER(Raw_Data!L652)="1"), TRUE,
            IF(OR(UPPER(Raw_Data!L652)="FALSE", UPPER(Raw_Data!L652)="NO", UPPER(Raw_Data!L652)="0"), FALSE, "Review")
        )
    )
)</f>
        <v>0</v>
      </c>
    </row>
    <row r="653" spans="1:13" x14ac:dyDescent="0.4">
      <c r="A653" s="2" t="str">
        <f>IFERROR(TRIM(Raw_Data!A653), "Review")</f>
        <v>EMP1651</v>
      </c>
      <c r="B653" s="2" t="str">
        <f>IFERROR(TRIM(Raw_Data!B653), "Review")</f>
        <v>Alice</v>
      </c>
      <c r="C653" s="2" t="str">
        <f>IFERROR(TRIM(Raw_Data!C653), "Review")</f>
        <v>Garcia</v>
      </c>
      <c r="D653" s="2" t="str">
        <f>IF(Raw_Data!D653="", "", IFERROR(VALUE(Raw_Data!D653), ""))</f>
        <v/>
      </c>
      <c r="E653" s="2" t="str">
        <f>IFERROR(LEFT(Raw_Data!E653,SEARCH("-",Raw_Data!E653)-1),"Review")</f>
        <v>HR</v>
      </c>
      <c r="F653" s="2" t="str">
        <f>IFERROR(_xlfn.TEXTAFTER(Raw_Data!E653,"-"),"Review")</f>
        <v>Florida</v>
      </c>
      <c r="G653" s="2" t="str">
        <f>IFERROR(TRIM(Raw_Data!F653), "Review")</f>
        <v>Pending</v>
      </c>
      <c r="H653" s="3" t="str">
        <f>IFERROR(TEXT(Raw_Data!G653, "YYYY-MM-DD"),"Review")</f>
        <v>2024-05-08</v>
      </c>
      <c r="I653" s="4">
        <f>IF(Raw_Data!H653="", "", IFERROR(VALUE(Raw_Data!H653), ""))</f>
        <v>62236.03</v>
      </c>
      <c r="J653" s="2" t="str">
        <f>IF(Raw_Data!I653="", "", IF(ISNUMBER(FIND("@", Raw_Data!I653)), Raw_Data!I653, "Review"))</f>
        <v>alice.garcia@example.com</v>
      </c>
      <c r="K653" s="5" t="str">
        <f>IFERROR(TEXT(ABS(Raw_Data!J653), "0"), "Review")</f>
        <v>3257375533</v>
      </c>
      <c r="L653" s="2" t="str">
        <f>IFERROR(TRIM(Raw_Data!K653), "Review")</f>
        <v>Excellent</v>
      </c>
      <c r="M653" s="2" t="b">
        <f>IF(Raw_Data!L653="", "",
    IF(ISLOGICAL(Raw_Data!L653), Raw_Data!L653,
        IF(OR(UPPER(Raw_Data!L653)="TRUE", UPPER(Raw_Data!L653)="YES", UPPER(Raw_Data!L653)="1"), TRUE,
            IF(OR(UPPER(Raw_Data!L653)="FALSE", UPPER(Raw_Data!L653)="NO", UPPER(Raw_Data!L653)="0"), FALSE, "Review")
        )
    )
)</f>
        <v>1</v>
      </c>
    </row>
    <row r="654" spans="1:13" x14ac:dyDescent="0.4">
      <c r="A654" s="2" t="str">
        <f>IFERROR(TRIM(Raw_Data!A654), "Review")</f>
        <v>EMP1652</v>
      </c>
      <c r="B654" s="2" t="str">
        <f>IFERROR(TRIM(Raw_Data!B654), "Review")</f>
        <v>Heidi</v>
      </c>
      <c r="C654" s="2" t="str">
        <f>IFERROR(TRIM(Raw_Data!C654), "Review")</f>
        <v>Davis</v>
      </c>
      <c r="D654" s="2">
        <f>IF(Raw_Data!D654="", "", IFERROR(VALUE(Raw_Data!D654), ""))</f>
        <v>35</v>
      </c>
      <c r="E654" s="2" t="str">
        <f>IFERROR(LEFT(Raw_Data!E654,SEARCH("-",Raw_Data!E654)-1),"Review")</f>
        <v>DevOps</v>
      </c>
      <c r="F654" s="2" t="str">
        <f>IFERROR(_xlfn.TEXTAFTER(Raw_Data!E654,"-"),"Review")</f>
        <v>Texas</v>
      </c>
      <c r="G654" s="2" t="str">
        <f>IFERROR(TRIM(Raw_Data!F654), "Review")</f>
        <v>Active</v>
      </c>
      <c r="H654" s="3" t="str">
        <f>IFERROR(TEXT(Raw_Data!G654, "YYYY-MM-DD"),"Review")</f>
        <v>2023-10-12</v>
      </c>
      <c r="I654" s="4">
        <f>IF(Raw_Data!H654="", "", IFERROR(VALUE(Raw_Data!H654), ""))</f>
        <v>64752.67</v>
      </c>
      <c r="J654" s="2" t="str">
        <f>IF(Raw_Data!I654="", "", IF(ISNUMBER(FIND("@", Raw_Data!I654)), Raw_Data!I654, "Review"))</f>
        <v>heidi.davis@example.com</v>
      </c>
      <c r="K654" s="5" t="str">
        <f>IFERROR(TEXT(ABS(Raw_Data!J654), "0"), "Review")</f>
        <v>4902166669</v>
      </c>
      <c r="L654" s="2" t="str">
        <f>IFERROR(TRIM(Raw_Data!K654), "Review")</f>
        <v>Poor</v>
      </c>
      <c r="M654" s="2" t="b">
        <f>IF(Raw_Data!L654="", "",
    IF(ISLOGICAL(Raw_Data!L654), Raw_Data!L654,
        IF(OR(UPPER(Raw_Data!L654)="TRUE", UPPER(Raw_Data!L654)="YES", UPPER(Raw_Data!L654)="1"), TRUE,
            IF(OR(UPPER(Raw_Data!L654)="FALSE", UPPER(Raw_Data!L654)="NO", UPPER(Raw_Data!L654)="0"), FALSE, "Review")
        )
    )
)</f>
        <v>0</v>
      </c>
    </row>
    <row r="655" spans="1:13" x14ac:dyDescent="0.4">
      <c r="A655" s="2" t="str">
        <f>IFERROR(TRIM(Raw_Data!A655), "Review")</f>
        <v>EMP1653</v>
      </c>
      <c r="B655" s="2" t="str">
        <f>IFERROR(TRIM(Raw_Data!B655), "Review")</f>
        <v>Frank</v>
      </c>
      <c r="C655" s="2" t="str">
        <f>IFERROR(TRIM(Raw_Data!C655), "Review")</f>
        <v>Jones</v>
      </c>
      <c r="D655" s="2">
        <f>IF(Raw_Data!D655="", "", IFERROR(VALUE(Raw_Data!D655), ""))</f>
        <v>35</v>
      </c>
      <c r="E655" s="2" t="str">
        <f>IFERROR(LEFT(Raw_Data!E655,SEARCH("-",Raw_Data!E655)-1),"Review")</f>
        <v>Sales</v>
      </c>
      <c r="F655" s="2" t="str">
        <f>IFERROR(_xlfn.TEXTAFTER(Raw_Data!E655,"-"),"Review")</f>
        <v>California</v>
      </c>
      <c r="G655" s="2" t="str">
        <f>IFERROR(TRIM(Raw_Data!F655), "Review")</f>
        <v>Active</v>
      </c>
      <c r="H655" s="3" t="str">
        <f>IFERROR(TEXT(Raw_Data!G655, "YYYY-MM-DD"),"Review")</f>
        <v>2023-01-28</v>
      </c>
      <c r="I655" s="4">
        <f>IF(Raw_Data!H655="", "", IFERROR(VALUE(Raw_Data!H655), ""))</f>
        <v>68399.429999999993</v>
      </c>
      <c r="J655" s="2" t="str">
        <f>IF(Raw_Data!I655="", "", IF(ISNUMBER(FIND("@", Raw_Data!I655)), Raw_Data!I655, "Review"))</f>
        <v>frank.jones@example.com</v>
      </c>
      <c r="K655" s="5" t="str">
        <f>IFERROR(TEXT(ABS(Raw_Data!J655), "0"), "Review")</f>
        <v>8085096084</v>
      </c>
      <c r="L655" s="2" t="str">
        <f>IFERROR(TRIM(Raw_Data!K655), "Review")</f>
        <v>Excellent</v>
      </c>
      <c r="M655" s="2" t="b">
        <f>IF(Raw_Data!L655="", "",
    IF(ISLOGICAL(Raw_Data!L655), Raw_Data!L655,
        IF(OR(UPPER(Raw_Data!L655)="TRUE", UPPER(Raw_Data!L655)="YES", UPPER(Raw_Data!L655)="1"), TRUE,
            IF(OR(UPPER(Raw_Data!L655)="FALSE", UPPER(Raw_Data!L655)="NO", UPPER(Raw_Data!L655)="0"), FALSE, "Review")
        )
    )
)</f>
        <v>0</v>
      </c>
    </row>
    <row r="656" spans="1:13" x14ac:dyDescent="0.4">
      <c r="A656" s="2" t="str">
        <f>IFERROR(TRIM(Raw_Data!A656), "Review")</f>
        <v>EMP1654</v>
      </c>
      <c r="B656" s="2" t="str">
        <f>IFERROR(TRIM(Raw_Data!B656), "Review")</f>
        <v>Frank</v>
      </c>
      <c r="C656" s="2" t="str">
        <f>IFERROR(TRIM(Raw_Data!C656), "Review")</f>
        <v>Miller</v>
      </c>
      <c r="D656" s="2">
        <f>IF(Raw_Data!D656="", "", IFERROR(VALUE(Raw_Data!D656), ""))</f>
        <v>35</v>
      </c>
      <c r="E656" s="2" t="str">
        <f>IFERROR(LEFT(Raw_Data!E656,SEARCH("-",Raw_Data!E656)-1),"Review")</f>
        <v>Admin</v>
      </c>
      <c r="F656" s="2" t="str">
        <f>IFERROR(_xlfn.TEXTAFTER(Raw_Data!E656,"-"),"Review")</f>
        <v>Florida</v>
      </c>
      <c r="G656" s="2" t="str">
        <f>IFERROR(TRIM(Raw_Data!F656), "Review")</f>
        <v>Inactive</v>
      </c>
      <c r="H656" s="3" t="str">
        <f>IFERROR(TEXT(Raw_Data!G656, "YYYY-MM-DD"),"Review")</f>
        <v>2021-03-07</v>
      </c>
      <c r="I656" s="4">
        <f>IF(Raw_Data!H656="", "", IFERROR(VALUE(Raw_Data!H656), ""))</f>
        <v>79336.509999999995</v>
      </c>
      <c r="J656" s="2" t="str">
        <f>IF(Raw_Data!I656="", "", IF(ISNUMBER(FIND("@", Raw_Data!I656)), Raw_Data!I656, "Review"))</f>
        <v>frank.miller@example.com</v>
      </c>
      <c r="K656" s="5" t="str">
        <f>IFERROR(TEXT(ABS(Raw_Data!J656), "0"), "Review")</f>
        <v>8749511917</v>
      </c>
      <c r="L656" s="2" t="str">
        <f>IFERROR(TRIM(Raw_Data!K656), "Review")</f>
        <v>Excellent</v>
      </c>
      <c r="M656" s="2" t="b">
        <f>IF(Raw_Data!L656="", "",
    IF(ISLOGICAL(Raw_Data!L656), Raw_Data!L656,
        IF(OR(UPPER(Raw_Data!L656)="TRUE", UPPER(Raw_Data!L656)="YES", UPPER(Raw_Data!L656)="1"), TRUE,
            IF(OR(UPPER(Raw_Data!L656)="FALSE", UPPER(Raw_Data!L656)="NO", UPPER(Raw_Data!L656)="0"), FALSE, "Review")
        )
    )
)</f>
        <v>0</v>
      </c>
    </row>
    <row r="657" spans="1:13" x14ac:dyDescent="0.4">
      <c r="A657" s="2" t="str">
        <f>IFERROR(TRIM(Raw_Data!A657), "Review")</f>
        <v>EMP1655</v>
      </c>
      <c r="B657" s="2" t="str">
        <f>IFERROR(TRIM(Raw_Data!B657), "Review")</f>
        <v>Frank</v>
      </c>
      <c r="C657" s="2" t="str">
        <f>IFERROR(TRIM(Raw_Data!C657), "Review")</f>
        <v>Jones</v>
      </c>
      <c r="D657" s="2">
        <f>IF(Raw_Data!D657="", "", IFERROR(VALUE(Raw_Data!D657), ""))</f>
        <v>40</v>
      </c>
      <c r="E657" s="2" t="str">
        <f>IFERROR(LEFT(Raw_Data!E657,SEARCH("-",Raw_Data!E657)-1),"Review")</f>
        <v>HR</v>
      </c>
      <c r="F657" s="2" t="str">
        <f>IFERROR(_xlfn.TEXTAFTER(Raw_Data!E657,"-"),"Review")</f>
        <v>Florida</v>
      </c>
      <c r="G657" s="2" t="str">
        <f>IFERROR(TRIM(Raw_Data!F657), "Review")</f>
        <v>Active</v>
      </c>
      <c r="H657" s="3" t="str">
        <f>IFERROR(TEXT(Raw_Data!G657, "YYYY-MM-DD"),"Review")</f>
        <v>2023-03-16</v>
      </c>
      <c r="I657" s="4">
        <f>IF(Raw_Data!H657="", "", IFERROR(VALUE(Raw_Data!H657), ""))</f>
        <v>59179.74</v>
      </c>
      <c r="J657" s="2" t="str">
        <f>IF(Raw_Data!I657="", "", IF(ISNUMBER(FIND("@", Raw_Data!I657)), Raw_Data!I657, "Review"))</f>
        <v>frank.jones@example.com</v>
      </c>
      <c r="K657" s="5" t="str">
        <f>IFERROR(TEXT(ABS(Raw_Data!J657), "0"), "Review")</f>
        <v>1828197930</v>
      </c>
      <c r="L657" s="2" t="str">
        <f>IFERROR(TRIM(Raw_Data!K657), "Review")</f>
        <v>Excellent</v>
      </c>
      <c r="M657" s="2" t="b">
        <f>IF(Raw_Data!L657="", "",
    IF(ISLOGICAL(Raw_Data!L657), Raw_Data!L657,
        IF(OR(UPPER(Raw_Data!L657)="TRUE", UPPER(Raw_Data!L657)="YES", UPPER(Raw_Data!L657)="1"), TRUE,
            IF(OR(UPPER(Raw_Data!L657)="FALSE", UPPER(Raw_Data!L657)="NO", UPPER(Raw_Data!L657)="0"), FALSE, "Review")
        )
    )
)</f>
        <v>0</v>
      </c>
    </row>
    <row r="658" spans="1:13" x14ac:dyDescent="0.4">
      <c r="A658" s="2" t="str">
        <f>IFERROR(TRIM(Raw_Data!A658), "Review")</f>
        <v>EMP1656</v>
      </c>
      <c r="B658" s="2" t="str">
        <f>IFERROR(TRIM(Raw_Data!B658), "Review")</f>
        <v>David</v>
      </c>
      <c r="C658" s="2" t="str">
        <f>IFERROR(TRIM(Raw_Data!C658), "Review")</f>
        <v>Davis</v>
      </c>
      <c r="D658" s="2">
        <f>IF(Raw_Data!D658="", "", IFERROR(VALUE(Raw_Data!D658), ""))</f>
        <v>25</v>
      </c>
      <c r="E658" s="2" t="str">
        <f>IFERROR(LEFT(Raw_Data!E658,SEARCH("-",Raw_Data!E658)-1),"Review")</f>
        <v>DevOps</v>
      </c>
      <c r="F658" s="2" t="str">
        <f>IFERROR(_xlfn.TEXTAFTER(Raw_Data!E658,"-"),"Review")</f>
        <v>California</v>
      </c>
      <c r="G658" s="2" t="str">
        <f>IFERROR(TRIM(Raw_Data!F658), "Review")</f>
        <v>Active</v>
      </c>
      <c r="H658" s="3" t="str">
        <f>IFERROR(TEXT(Raw_Data!G658, "YYYY-MM-DD"),"Review")</f>
        <v>2023-02-11</v>
      </c>
      <c r="I658" s="4">
        <f>IF(Raw_Data!H658="", "", IFERROR(VALUE(Raw_Data!H658), ""))</f>
        <v>80255.31</v>
      </c>
      <c r="J658" s="2" t="str">
        <f>IF(Raw_Data!I658="", "", IF(ISNUMBER(FIND("@", Raw_Data!I658)), Raw_Data!I658, "Review"))</f>
        <v>david.davis@example.com</v>
      </c>
      <c r="K658" s="5" t="str">
        <f>IFERROR(TEXT(ABS(Raw_Data!J658), "0"), "Review")</f>
        <v>6477251294</v>
      </c>
      <c r="L658" s="2" t="str">
        <f>IFERROR(TRIM(Raw_Data!K658), "Review")</f>
        <v>Average</v>
      </c>
      <c r="M658" s="2" t="b">
        <f>IF(Raw_Data!L658="", "",
    IF(ISLOGICAL(Raw_Data!L658), Raw_Data!L658,
        IF(OR(UPPER(Raw_Data!L658)="TRUE", UPPER(Raw_Data!L658)="YES", UPPER(Raw_Data!L658)="1"), TRUE,
            IF(OR(UPPER(Raw_Data!L658)="FALSE", UPPER(Raw_Data!L658)="NO", UPPER(Raw_Data!L658)="0"), FALSE, "Review")
        )
    )
)</f>
        <v>0</v>
      </c>
    </row>
    <row r="659" spans="1:13" x14ac:dyDescent="0.4">
      <c r="A659" s="2" t="str">
        <f>IFERROR(TRIM(Raw_Data!A659), "Review")</f>
        <v>EMP1657</v>
      </c>
      <c r="B659" s="2" t="str">
        <f>IFERROR(TRIM(Raw_Data!B659), "Review")</f>
        <v>Charlie</v>
      </c>
      <c r="C659" s="2" t="str">
        <f>IFERROR(TRIM(Raw_Data!C659), "Review")</f>
        <v>Williams</v>
      </c>
      <c r="D659" s="2">
        <f>IF(Raw_Data!D659="", "", IFERROR(VALUE(Raw_Data!D659), ""))</f>
        <v>30</v>
      </c>
      <c r="E659" s="2" t="str">
        <f>IFERROR(LEFT(Raw_Data!E659,SEARCH("-",Raw_Data!E659)-1),"Review")</f>
        <v>Finance</v>
      </c>
      <c r="F659" s="2" t="str">
        <f>IFERROR(_xlfn.TEXTAFTER(Raw_Data!E659,"-"),"Review")</f>
        <v>Texas</v>
      </c>
      <c r="G659" s="2" t="str">
        <f>IFERROR(TRIM(Raw_Data!F659), "Review")</f>
        <v>Active</v>
      </c>
      <c r="H659" s="3" t="str">
        <f>IFERROR(TEXT(Raw_Data!G659, "YYYY-MM-DD"),"Review")</f>
        <v>2022-05-13</v>
      </c>
      <c r="I659" s="4">
        <f>IF(Raw_Data!H659="", "", IFERROR(VALUE(Raw_Data!H659), ""))</f>
        <v>84971.85</v>
      </c>
      <c r="J659" s="2" t="str">
        <f>IF(Raw_Data!I659="", "", IF(ISNUMBER(FIND("@", Raw_Data!I659)), Raw_Data!I659, "Review"))</f>
        <v>charlie.williams@example.com</v>
      </c>
      <c r="K659" s="5" t="str">
        <f>IFERROR(TEXT(ABS(Raw_Data!J659), "0"), "Review")</f>
        <v>7860694095</v>
      </c>
      <c r="L659" s="2" t="str">
        <f>IFERROR(TRIM(Raw_Data!K659), "Review")</f>
        <v>Average</v>
      </c>
      <c r="M659" s="2" t="b">
        <f>IF(Raw_Data!L659="", "",
    IF(ISLOGICAL(Raw_Data!L659), Raw_Data!L659,
        IF(OR(UPPER(Raw_Data!L659)="TRUE", UPPER(Raw_Data!L659)="YES", UPPER(Raw_Data!L659)="1"), TRUE,
            IF(OR(UPPER(Raw_Data!L659)="FALSE", UPPER(Raw_Data!L659)="NO", UPPER(Raw_Data!L659)="0"), FALSE, "Review")
        )
    )
)</f>
        <v>0</v>
      </c>
    </row>
    <row r="660" spans="1:13" x14ac:dyDescent="0.4">
      <c r="A660" s="2" t="str">
        <f>IFERROR(TRIM(Raw_Data!A660), "Review")</f>
        <v>EMP1658</v>
      </c>
      <c r="B660" s="2" t="str">
        <f>IFERROR(TRIM(Raw_Data!B660), "Review")</f>
        <v>Frank</v>
      </c>
      <c r="C660" s="2" t="str">
        <f>IFERROR(TRIM(Raw_Data!C660), "Review")</f>
        <v>Brown</v>
      </c>
      <c r="D660" s="2">
        <f>IF(Raw_Data!D660="", "", IFERROR(VALUE(Raw_Data!D660), ""))</f>
        <v>40</v>
      </c>
      <c r="E660" s="2" t="str">
        <f>IFERROR(LEFT(Raw_Data!E660,SEARCH("-",Raw_Data!E660)-1),"Review")</f>
        <v>HR</v>
      </c>
      <c r="F660" s="2" t="str">
        <f>IFERROR(_xlfn.TEXTAFTER(Raw_Data!E660,"-"),"Review")</f>
        <v>California</v>
      </c>
      <c r="G660" s="2" t="str">
        <f>IFERROR(TRIM(Raw_Data!F660), "Review")</f>
        <v>Pending</v>
      </c>
      <c r="H660" s="3" t="str">
        <f>IFERROR(TEXT(Raw_Data!G660, "YYYY-MM-DD"),"Review")</f>
        <v>2024-10-24</v>
      </c>
      <c r="I660" s="4">
        <f>IF(Raw_Data!H660="", "", IFERROR(VALUE(Raw_Data!H660), ""))</f>
        <v>89748.42</v>
      </c>
      <c r="J660" s="2" t="str">
        <f>IF(Raw_Data!I660="", "", IF(ISNUMBER(FIND("@", Raw_Data!I660)), Raw_Data!I660, "Review"))</f>
        <v>frank.brown@example.com</v>
      </c>
      <c r="K660" s="5" t="str">
        <f>IFERROR(TEXT(ABS(Raw_Data!J660), "0"), "Review")</f>
        <v>35624394</v>
      </c>
      <c r="L660" s="2" t="str">
        <f>IFERROR(TRIM(Raw_Data!K660), "Review")</f>
        <v>Good</v>
      </c>
      <c r="M660" s="2" t="b">
        <f>IF(Raw_Data!L660="", "",
    IF(ISLOGICAL(Raw_Data!L660), Raw_Data!L660,
        IF(OR(UPPER(Raw_Data!L660)="TRUE", UPPER(Raw_Data!L660)="YES", UPPER(Raw_Data!L660)="1"), TRUE,
            IF(OR(UPPER(Raw_Data!L660)="FALSE", UPPER(Raw_Data!L660)="NO", UPPER(Raw_Data!L660)="0"), FALSE, "Review")
        )
    )
)</f>
        <v>0</v>
      </c>
    </row>
    <row r="661" spans="1:13" x14ac:dyDescent="0.4">
      <c r="A661" s="2" t="str">
        <f>IFERROR(TRIM(Raw_Data!A661), "Review")</f>
        <v>EMP1659</v>
      </c>
      <c r="B661" s="2" t="str">
        <f>IFERROR(TRIM(Raw_Data!B661), "Review")</f>
        <v>Charlie</v>
      </c>
      <c r="C661" s="2" t="str">
        <f>IFERROR(TRIM(Raw_Data!C661), "Review")</f>
        <v>Johnson</v>
      </c>
      <c r="D661" s="2">
        <f>IF(Raw_Data!D661="", "", IFERROR(VALUE(Raw_Data!D661), ""))</f>
        <v>25</v>
      </c>
      <c r="E661" s="2" t="str">
        <f>IFERROR(LEFT(Raw_Data!E661,SEARCH("-",Raw_Data!E661)-1),"Review")</f>
        <v>Admin</v>
      </c>
      <c r="F661" s="2" t="str">
        <f>IFERROR(_xlfn.TEXTAFTER(Raw_Data!E661,"-"),"Review")</f>
        <v>California</v>
      </c>
      <c r="G661" s="2" t="str">
        <f>IFERROR(TRIM(Raw_Data!F661), "Review")</f>
        <v>Inactive</v>
      </c>
      <c r="H661" s="3" t="str">
        <f>IFERROR(TEXT(Raw_Data!G661, "YYYY-MM-DD"),"Review")</f>
        <v>2024-09-14</v>
      </c>
      <c r="I661" s="4">
        <f>IF(Raw_Data!H661="", "", IFERROR(VALUE(Raw_Data!H661), ""))</f>
        <v>94090.35</v>
      </c>
      <c r="J661" s="2" t="str">
        <f>IF(Raw_Data!I661="", "", IF(ISNUMBER(FIND("@", Raw_Data!I661)), Raw_Data!I661, "Review"))</f>
        <v>charlie.johnson@example.com</v>
      </c>
      <c r="K661" s="5" t="str">
        <f>IFERROR(TEXT(ABS(Raw_Data!J661), "0"), "Review")</f>
        <v>8739592322</v>
      </c>
      <c r="L661" s="2" t="str">
        <f>IFERROR(TRIM(Raw_Data!K661), "Review")</f>
        <v>Good</v>
      </c>
      <c r="M661" s="2" t="b">
        <f>IF(Raw_Data!L661="", "",
    IF(ISLOGICAL(Raw_Data!L661), Raw_Data!L661,
        IF(OR(UPPER(Raw_Data!L661)="TRUE", UPPER(Raw_Data!L661)="YES", UPPER(Raw_Data!L661)="1"), TRUE,
            IF(OR(UPPER(Raw_Data!L661)="FALSE", UPPER(Raw_Data!L661)="NO", UPPER(Raw_Data!L661)="0"), FALSE, "Review")
        )
    )
)</f>
        <v>0</v>
      </c>
    </row>
    <row r="662" spans="1:13" x14ac:dyDescent="0.4">
      <c r="A662" s="2" t="str">
        <f>IFERROR(TRIM(Raw_Data!A662), "Review")</f>
        <v>EMP1660</v>
      </c>
      <c r="B662" s="2" t="str">
        <f>IFERROR(TRIM(Raw_Data!B662), "Review")</f>
        <v>Frank</v>
      </c>
      <c r="C662" s="2" t="str">
        <f>IFERROR(TRIM(Raw_Data!C662), "Review")</f>
        <v>Garcia</v>
      </c>
      <c r="D662" s="2">
        <f>IF(Raw_Data!D662="", "", IFERROR(VALUE(Raw_Data!D662), ""))</f>
        <v>35</v>
      </c>
      <c r="E662" s="2" t="str">
        <f>IFERROR(LEFT(Raw_Data!E662,SEARCH("-",Raw_Data!E662)-1),"Review")</f>
        <v>HR</v>
      </c>
      <c r="F662" s="2" t="str">
        <f>IFERROR(_xlfn.TEXTAFTER(Raw_Data!E662,"-"),"Review")</f>
        <v>California</v>
      </c>
      <c r="G662" s="2" t="str">
        <f>IFERROR(TRIM(Raw_Data!F662), "Review")</f>
        <v>Pending</v>
      </c>
      <c r="H662" s="3" t="str">
        <f>IFERROR(TEXT(Raw_Data!G662, "YYYY-MM-DD"),"Review")</f>
        <v>2023-02-15</v>
      </c>
      <c r="I662" s="4">
        <f>IF(Raw_Data!H662="", "", IFERROR(VALUE(Raw_Data!H662), ""))</f>
        <v>115229.12</v>
      </c>
      <c r="J662" s="2" t="str">
        <f>IF(Raw_Data!I662="", "", IF(ISNUMBER(FIND("@", Raw_Data!I662)), Raw_Data!I662, "Review"))</f>
        <v>frank.garcia@example.com</v>
      </c>
      <c r="K662" s="5" t="str">
        <f>IFERROR(TEXT(ABS(Raw_Data!J662), "0"), "Review")</f>
        <v>4210890284</v>
      </c>
      <c r="L662" s="2" t="str">
        <f>IFERROR(TRIM(Raw_Data!K662), "Review")</f>
        <v>Poor</v>
      </c>
      <c r="M662" s="2" t="b">
        <f>IF(Raw_Data!L662="", "",
    IF(ISLOGICAL(Raw_Data!L662), Raw_Data!L662,
        IF(OR(UPPER(Raw_Data!L662)="TRUE", UPPER(Raw_Data!L662)="YES", UPPER(Raw_Data!L662)="1"), TRUE,
            IF(OR(UPPER(Raw_Data!L662)="FALSE", UPPER(Raw_Data!L662)="NO", UPPER(Raw_Data!L662)="0"), FALSE, "Review")
        )
    )
)</f>
        <v>1</v>
      </c>
    </row>
    <row r="663" spans="1:13" x14ac:dyDescent="0.4">
      <c r="A663" s="2" t="str">
        <f>IFERROR(TRIM(Raw_Data!A663), "Review")</f>
        <v>EMP1661</v>
      </c>
      <c r="B663" s="2" t="str">
        <f>IFERROR(TRIM(Raw_Data!B663), "Review")</f>
        <v>Alice</v>
      </c>
      <c r="C663" s="2" t="str">
        <f>IFERROR(TRIM(Raw_Data!C663), "Review")</f>
        <v>Williams</v>
      </c>
      <c r="D663" s="2">
        <f>IF(Raw_Data!D663="", "", IFERROR(VALUE(Raw_Data!D663), ""))</f>
        <v>40</v>
      </c>
      <c r="E663" s="2" t="str">
        <f>IFERROR(LEFT(Raw_Data!E663,SEARCH("-",Raw_Data!E663)-1),"Review")</f>
        <v>Cloud Tech</v>
      </c>
      <c r="F663" s="2" t="str">
        <f>IFERROR(_xlfn.TEXTAFTER(Raw_Data!E663,"-"),"Review")</f>
        <v>California</v>
      </c>
      <c r="G663" s="2" t="str">
        <f>IFERROR(TRIM(Raw_Data!F663), "Review")</f>
        <v>Pending</v>
      </c>
      <c r="H663" s="3" t="str">
        <f>IFERROR(TEXT(Raw_Data!G663, "YYYY-MM-DD"),"Review")</f>
        <v>2023-05-25</v>
      </c>
      <c r="I663" s="4">
        <f>IF(Raw_Data!H663="", "", IFERROR(VALUE(Raw_Data!H663), ""))</f>
        <v>63927.07</v>
      </c>
      <c r="J663" s="2" t="str">
        <f>IF(Raw_Data!I663="", "", IF(ISNUMBER(FIND("@", Raw_Data!I663)), Raw_Data!I663, "Review"))</f>
        <v>alice.williams@example.com</v>
      </c>
      <c r="K663" s="5" t="str">
        <f>IFERROR(TEXT(ABS(Raw_Data!J663), "0"), "Review")</f>
        <v>1553334263</v>
      </c>
      <c r="L663" s="2" t="str">
        <f>IFERROR(TRIM(Raw_Data!K663), "Review")</f>
        <v>Good</v>
      </c>
      <c r="M663" s="2" t="b">
        <f>IF(Raw_Data!L663="", "",
    IF(ISLOGICAL(Raw_Data!L663), Raw_Data!L663,
        IF(OR(UPPER(Raw_Data!L663)="TRUE", UPPER(Raw_Data!L663)="YES", UPPER(Raw_Data!L663)="1"), TRUE,
            IF(OR(UPPER(Raw_Data!L663)="FALSE", UPPER(Raw_Data!L663)="NO", UPPER(Raw_Data!L663)="0"), FALSE, "Review")
        )
    )
)</f>
        <v>1</v>
      </c>
    </row>
    <row r="664" spans="1:13" x14ac:dyDescent="0.4">
      <c r="A664" s="2" t="str">
        <f>IFERROR(TRIM(Raw_Data!A664), "Review")</f>
        <v>EMP1662</v>
      </c>
      <c r="B664" s="2" t="str">
        <f>IFERROR(TRIM(Raw_Data!B664), "Review")</f>
        <v>Charlie</v>
      </c>
      <c r="C664" s="2" t="str">
        <f>IFERROR(TRIM(Raw_Data!C664), "Review")</f>
        <v>Jones</v>
      </c>
      <c r="D664" s="2">
        <f>IF(Raw_Data!D664="", "", IFERROR(VALUE(Raw_Data!D664), ""))</f>
        <v>35</v>
      </c>
      <c r="E664" s="2" t="str">
        <f>IFERROR(LEFT(Raw_Data!E664,SEARCH("-",Raw_Data!E664)-1),"Review")</f>
        <v>HR</v>
      </c>
      <c r="F664" s="2" t="str">
        <f>IFERROR(_xlfn.TEXTAFTER(Raw_Data!E664,"-"),"Review")</f>
        <v>California</v>
      </c>
      <c r="G664" s="2" t="str">
        <f>IFERROR(TRIM(Raw_Data!F664), "Review")</f>
        <v>Pending</v>
      </c>
      <c r="H664" s="3" t="str">
        <f>IFERROR(TEXT(Raw_Data!G664, "YYYY-MM-DD"),"Review")</f>
        <v>2022-11-11</v>
      </c>
      <c r="I664" s="4">
        <f>IF(Raw_Data!H664="", "", IFERROR(VALUE(Raw_Data!H664), ""))</f>
        <v>84124.56</v>
      </c>
      <c r="J664" s="2" t="str">
        <f>IF(Raw_Data!I664="", "", IF(ISNUMBER(FIND("@", Raw_Data!I664)), Raw_Data!I664, "Review"))</f>
        <v>charlie.jones@example.com</v>
      </c>
      <c r="K664" s="5" t="str">
        <f>IFERROR(TEXT(ABS(Raw_Data!J664), "0"), "Review")</f>
        <v>3350271606</v>
      </c>
      <c r="L664" s="2" t="str">
        <f>IFERROR(TRIM(Raw_Data!K664), "Review")</f>
        <v>Excellent</v>
      </c>
      <c r="M664" s="2" t="b">
        <f>IF(Raw_Data!L664="", "",
    IF(ISLOGICAL(Raw_Data!L664), Raw_Data!L664,
        IF(OR(UPPER(Raw_Data!L664)="TRUE", UPPER(Raw_Data!L664)="YES", UPPER(Raw_Data!L664)="1"), TRUE,
            IF(OR(UPPER(Raw_Data!L664)="FALSE", UPPER(Raw_Data!L664)="NO", UPPER(Raw_Data!L664)="0"), FALSE, "Review")
        )
    )
)</f>
        <v>0</v>
      </c>
    </row>
    <row r="665" spans="1:13" x14ac:dyDescent="0.4">
      <c r="A665" s="2" t="str">
        <f>IFERROR(TRIM(Raw_Data!A665), "Review")</f>
        <v>EMP1663</v>
      </c>
      <c r="B665" s="2" t="str">
        <f>IFERROR(TRIM(Raw_Data!B665), "Review")</f>
        <v>Bob</v>
      </c>
      <c r="C665" s="2" t="str">
        <f>IFERROR(TRIM(Raw_Data!C665), "Review")</f>
        <v>Miller</v>
      </c>
      <c r="D665" s="2">
        <f>IF(Raw_Data!D665="", "", IFERROR(VALUE(Raw_Data!D665), ""))</f>
        <v>40</v>
      </c>
      <c r="E665" s="2" t="str">
        <f>IFERROR(LEFT(Raw_Data!E665,SEARCH("-",Raw_Data!E665)-1),"Review")</f>
        <v>Sales</v>
      </c>
      <c r="F665" s="2" t="str">
        <f>IFERROR(_xlfn.TEXTAFTER(Raw_Data!E665,"-"),"Review")</f>
        <v>California</v>
      </c>
      <c r="G665" s="2" t="str">
        <f>IFERROR(TRIM(Raw_Data!F665), "Review")</f>
        <v>Inactive</v>
      </c>
      <c r="H665" s="3" t="str">
        <f>IFERROR(TEXT(Raw_Data!G665, "YYYY-MM-DD"),"Review")</f>
        <v>2023-07-17</v>
      </c>
      <c r="I665" s="4">
        <f>IF(Raw_Data!H665="", "", IFERROR(VALUE(Raw_Data!H665), ""))</f>
        <v>116961.61</v>
      </c>
      <c r="J665" s="2" t="str">
        <f>IF(Raw_Data!I665="", "", IF(ISNUMBER(FIND("@", Raw_Data!I665)), Raw_Data!I665, "Review"))</f>
        <v>bob.miller@example.com</v>
      </c>
      <c r="K665" s="5" t="str">
        <f>IFERROR(TEXT(ABS(Raw_Data!J665), "0"), "Review")</f>
        <v>3607763368</v>
      </c>
      <c r="L665" s="2" t="str">
        <f>IFERROR(TRIM(Raw_Data!K665), "Review")</f>
        <v>Excellent</v>
      </c>
      <c r="M665" s="2" t="b">
        <f>IF(Raw_Data!L665="", "",
    IF(ISLOGICAL(Raw_Data!L665), Raw_Data!L665,
        IF(OR(UPPER(Raw_Data!L665)="TRUE", UPPER(Raw_Data!L665)="YES", UPPER(Raw_Data!L665)="1"), TRUE,
            IF(OR(UPPER(Raw_Data!L665)="FALSE", UPPER(Raw_Data!L665)="NO", UPPER(Raw_Data!L665)="0"), FALSE, "Review")
        )
    )
)</f>
        <v>1</v>
      </c>
    </row>
    <row r="666" spans="1:13" x14ac:dyDescent="0.4">
      <c r="A666" s="2" t="str">
        <f>IFERROR(TRIM(Raw_Data!A666), "Review")</f>
        <v>EMP1664</v>
      </c>
      <c r="B666" s="2" t="str">
        <f>IFERROR(TRIM(Raw_Data!B666), "Review")</f>
        <v>Frank</v>
      </c>
      <c r="C666" s="2" t="str">
        <f>IFERROR(TRIM(Raw_Data!C666), "Review")</f>
        <v>Smith</v>
      </c>
      <c r="D666" s="2">
        <f>IF(Raw_Data!D666="", "", IFERROR(VALUE(Raw_Data!D666), ""))</f>
        <v>40</v>
      </c>
      <c r="E666" s="2" t="str">
        <f>IFERROR(LEFT(Raw_Data!E666,SEARCH("-",Raw_Data!E666)-1),"Review")</f>
        <v>DevOps</v>
      </c>
      <c r="F666" s="2" t="str">
        <f>IFERROR(_xlfn.TEXTAFTER(Raw_Data!E666,"-"),"Review")</f>
        <v>Illinois</v>
      </c>
      <c r="G666" s="2" t="str">
        <f>IFERROR(TRIM(Raw_Data!F666), "Review")</f>
        <v>Pending</v>
      </c>
      <c r="H666" s="3" t="str">
        <f>IFERROR(TEXT(Raw_Data!G666, "YYYY-MM-DD"),"Review")</f>
        <v>2022-04-08</v>
      </c>
      <c r="I666" s="4">
        <f>IF(Raw_Data!H666="", "", IFERROR(VALUE(Raw_Data!H666), ""))</f>
        <v>109423.05</v>
      </c>
      <c r="J666" s="2" t="str">
        <f>IF(Raw_Data!I666="", "", IF(ISNUMBER(FIND("@", Raw_Data!I666)), Raw_Data!I666, "Review"))</f>
        <v>frank.smith@example.com</v>
      </c>
      <c r="K666" s="5" t="str">
        <f>IFERROR(TEXT(ABS(Raw_Data!J666), "0"), "Review")</f>
        <v>1128981230</v>
      </c>
      <c r="L666" s="2" t="str">
        <f>IFERROR(TRIM(Raw_Data!K666), "Review")</f>
        <v>Average</v>
      </c>
      <c r="M666" s="2" t="b">
        <f>IF(Raw_Data!L666="", "",
    IF(ISLOGICAL(Raw_Data!L666), Raw_Data!L666,
        IF(OR(UPPER(Raw_Data!L666)="TRUE", UPPER(Raw_Data!L666)="YES", UPPER(Raw_Data!L666)="1"), TRUE,
            IF(OR(UPPER(Raw_Data!L666)="FALSE", UPPER(Raw_Data!L666)="NO", UPPER(Raw_Data!L666)="0"), FALSE, "Review")
        )
    )
)</f>
        <v>0</v>
      </c>
    </row>
    <row r="667" spans="1:13" x14ac:dyDescent="0.4">
      <c r="A667" s="2" t="str">
        <f>IFERROR(TRIM(Raw_Data!A667), "Review")</f>
        <v>EMP1665</v>
      </c>
      <c r="B667" s="2" t="str">
        <f>IFERROR(TRIM(Raw_Data!B667), "Review")</f>
        <v>Charlie</v>
      </c>
      <c r="C667" s="2" t="str">
        <f>IFERROR(TRIM(Raw_Data!C667), "Review")</f>
        <v>Jones</v>
      </c>
      <c r="D667" s="2">
        <f>IF(Raw_Data!D667="", "", IFERROR(VALUE(Raw_Data!D667), ""))</f>
        <v>35</v>
      </c>
      <c r="E667" s="2" t="str">
        <f>IFERROR(LEFT(Raw_Data!E667,SEARCH("-",Raw_Data!E667)-1),"Review")</f>
        <v>Admin</v>
      </c>
      <c r="F667" s="2" t="str">
        <f>IFERROR(_xlfn.TEXTAFTER(Raw_Data!E667,"-"),"Review")</f>
        <v>California</v>
      </c>
      <c r="G667" s="2" t="str">
        <f>IFERROR(TRIM(Raw_Data!F667), "Review")</f>
        <v>Inactive</v>
      </c>
      <c r="H667" s="3" t="str">
        <f>IFERROR(TEXT(Raw_Data!G667, "YYYY-MM-DD"),"Review")</f>
        <v>2023-08-30</v>
      </c>
      <c r="I667" s="4">
        <f>IF(Raw_Data!H667="", "", IFERROR(VALUE(Raw_Data!H667), ""))</f>
        <v>70394.94</v>
      </c>
      <c r="J667" s="2" t="str">
        <f>IF(Raw_Data!I667="", "", IF(ISNUMBER(FIND("@", Raw_Data!I667)), Raw_Data!I667, "Review"))</f>
        <v>charlie.jones@example.com</v>
      </c>
      <c r="K667" s="5" t="str">
        <f>IFERROR(TEXT(ABS(Raw_Data!J667), "0"), "Review")</f>
        <v>7955633184</v>
      </c>
      <c r="L667" s="2" t="str">
        <f>IFERROR(TRIM(Raw_Data!K667), "Review")</f>
        <v>Excellent</v>
      </c>
      <c r="M667" s="2" t="b">
        <f>IF(Raw_Data!L667="", "",
    IF(ISLOGICAL(Raw_Data!L667), Raw_Data!L667,
        IF(OR(UPPER(Raw_Data!L667)="TRUE", UPPER(Raw_Data!L667)="YES", UPPER(Raw_Data!L667)="1"), TRUE,
            IF(OR(UPPER(Raw_Data!L667)="FALSE", UPPER(Raw_Data!L667)="NO", UPPER(Raw_Data!L667)="0"), FALSE, "Review")
        )
    )
)</f>
        <v>0</v>
      </c>
    </row>
    <row r="668" spans="1:13" x14ac:dyDescent="0.4">
      <c r="A668" s="2" t="str">
        <f>IFERROR(TRIM(Raw_Data!A668), "Review")</f>
        <v>EMP1666</v>
      </c>
      <c r="B668" s="2" t="str">
        <f>IFERROR(TRIM(Raw_Data!B668), "Review")</f>
        <v>Grace</v>
      </c>
      <c r="C668" s="2" t="str">
        <f>IFERROR(TRIM(Raw_Data!C668), "Review")</f>
        <v>Miller</v>
      </c>
      <c r="D668" s="2">
        <f>IF(Raw_Data!D668="", "", IFERROR(VALUE(Raw_Data!D668), ""))</f>
        <v>35</v>
      </c>
      <c r="E668" s="2" t="str">
        <f>IFERROR(LEFT(Raw_Data!E668,SEARCH("-",Raw_Data!E668)-1),"Review")</f>
        <v>Finance</v>
      </c>
      <c r="F668" s="2" t="str">
        <f>IFERROR(_xlfn.TEXTAFTER(Raw_Data!E668,"-"),"Review")</f>
        <v>California</v>
      </c>
      <c r="G668" s="2" t="str">
        <f>IFERROR(TRIM(Raw_Data!F668), "Review")</f>
        <v>Pending</v>
      </c>
      <c r="H668" s="3" t="str">
        <f>IFERROR(TEXT(Raw_Data!G668, "YYYY-MM-DD"),"Review")</f>
        <v>2023-04-17</v>
      </c>
      <c r="I668" s="4">
        <f>IF(Raw_Data!H668="", "", IFERROR(VALUE(Raw_Data!H668), ""))</f>
        <v>86465.5</v>
      </c>
      <c r="J668" s="2" t="str">
        <f>IF(Raw_Data!I668="", "", IF(ISNUMBER(FIND("@", Raw_Data!I668)), Raw_Data!I668, "Review"))</f>
        <v>grace.miller@example.com</v>
      </c>
      <c r="K668" s="5" t="str">
        <f>IFERROR(TEXT(ABS(Raw_Data!J668), "0"), "Review")</f>
        <v>7481700665</v>
      </c>
      <c r="L668" s="2" t="str">
        <f>IFERROR(TRIM(Raw_Data!K668), "Review")</f>
        <v>Poor</v>
      </c>
      <c r="M668" s="2" t="b">
        <f>IF(Raw_Data!L668="", "",
    IF(ISLOGICAL(Raw_Data!L668), Raw_Data!L668,
        IF(OR(UPPER(Raw_Data!L668)="TRUE", UPPER(Raw_Data!L668)="YES", UPPER(Raw_Data!L668)="1"), TRUE,
            IF(OR(UPPER(Raw_Data!L668)="FALSE", UPPER(Raw_Data!L668)="NO", UPPER(Raw_Data!L668)="0"), FALSE, "Review")
        )
    )
)</f>
        <v>1</v>
      </c>
    </row>
    <row r="669" spans="1:13" x14ac:dyDescent="0.4">
      <c r="A669" s="2" t="str">
        <f>IFERROR(TRIM(Raw_Data!A669), "Review")</f>
        <v>EMP1667</v>
      </c>
      <c r="B669" s="2" t="str">
        <f>IFERROR(TRIM(Raw_Data!B669), "Review")</f>
        <v>Charlie</v>
      </c>
      <c r="C669" s="2" t="str">
        <f>IFERROR(TRIM(Raw_Data!C669), "Review")</f>
        <v>Brown</v>
      </c>
      <c r="D669" s="2">
        <f>IF(Raw_Data!D669="", "", IFERROR(VALUE(Raw_Data!D669), ""))</f>
        <v>30</v>
      </c>
      <c r="E669" s="2" t="str">
        <f>IFERROR(LEFT(Raw_Data!E669,SEARCH("-",Raw_Data!E669)-1),"Review")</f>
        <v>Cloud Tech</v>
      </c>
      <c r="F669" s="2" t="str">
        <f>IFERROR(_xlfn.TEXTAFTER(Raw_Data!E669,"-"),"Review")</f>
        <v>New York</v>
      </c>
      <c r="G669" s="2" t="str">
        <f>IFERROR(TRIM(Raw_Data!F669), "Review")</f>
        <v>Pending</v>
      </c>
      <c r="H669" s="3" t="str">
        <f>IFERROR(TEXT(Raw_Data!G669, "YYYY-MM-DD"),"Review")</f>
        <v>2021-04-25</v>
      </c>
      <c r="I669" s="4">
        <f>IF(Raw_Data!H669="", "", IFERROR(VALUE(Raw_Data!H669), ""))</f>
        <v>96341.58</v>
      </c>
      <c r="J669" s="2" t="str">
        <f>IF(Raw_Data!I669="", "", IF(ISNUMBER(FIND("@", Raw_Data!I669)), Raw_Data!I669, "Review"))</f>
        <v>charlie.brown@example.com</v>
      </c>
      <c r="K669" s="5" t="str">
        <f>IFERROR(TEXT(ABS(Raw_Data!J669), "0"), "Review")</f>
        <v>1554164315</v>
      </c>
      <c r="L669" s="2" t="str">
        <f>IFERROR(TRIM(Raw_Data!K669), "Review")</f>
        <v>Excellent</v>
      </c>
      <c r="M669" s="2" t="b">
        <f>IF(Raw_Data!L669="", "",
    IF(ISLOGICAL(Raw_Data!L669), Raw_Data!L669,
        IF(OR(UPPER(Raw_Data!L669)="TRUE", UPPER(Raw_Data!L669)="YES", UPPER(Raw_Data!L669)="1"), TRUE,
            IF(OR(UPPER(Raw_Data!L669)="FALSE", UPPER(Raw_Data!L669)="NO", UPPER(Raw_Data!L669)="0"), FALSE, "Review")
        )
    )
)</f>
        <v>0</v>
      </c>
    </row>
    <row r="670" spans="1:13" x14ac:dyDescent="0.4">
      <c r="A670" s="2" t="str">
        <f>IFERROR(TRIM(Raw_Data!A670), "Review")</f>
        <v>EMP1668</v>
      </c>
      <c r="B670" s="2" t="str">
        <f>IFERROR(TRIM(Raw_Data!B670), "Review")</f>
        <v>Bob</v>
      </c>
      <c r="C670" s="2" t="str">
        <f>IFERROR(TRIM(Raw_Data!C670), "Review")</f>
        <v>Jones</v>
      </c>
      <c r="D670" s="2">
        <f>IF(Raw_Data!D670="", "", IFERROR(VALUE(Raw_Data!D670), ""))</f>
        <v>30</v>
      </c>
      <c r="E670" s="2" t="str">
        <f>IFERROR(LEFT(Raw_Data!E670,SEARCH("-",Raw_Data!E670)-1),"Review")</f>
        <v>Admin</v>
      </c>
      <c r="F670" s="2" t="str">
        <f>IFERROR(_xlfn.TEXTAFTER(Raw_Data!E670,"-"),"Review")</f>
        <v>Florida</v>
      </c>
      <c r="G670" s="2" t="str">
        <f>IFERROR(TRIM(Raw_Data!F670), "Review")</f>
        <v>Active</v>
      </c>
      <c r="H670" s="3" t="str">
        <f>IFERROR(TEXT(Raw_Data!G670, "YYYY-MM-DD"),"Review")</f>
        <v>2020-07-14</v>
      </c>
      <c r="I670" s="4">
        <f>IF(Raw_Data!H670="", "", IFERROR(VALUE(Raw_Data!H670), ""))</f>
        <v>54465.47</v>
      </c>
      <c r="J670" s="2" t="str">
        <f>IF(Raw_Data!I670="", "", IF(ISNUMBER(FIND("@", Raw_Data!I670)), Raw_Data!I670, "Review"))</f>
        <v>bob.jones@example.com</v>
      </c>
      <c r="K670" s="5" t="str">
        <f>IFERROR(TEXT(ABS(Raw_Data!J670), "0"), "Review")</f>
        <v>7045023289</v>
      </c>
      <c r="L670" s="2" t="str">
        <f>IFERROR(TRIM(Raw_Data!K670), "Review")</f>
        <v>Excellent</v>
      </c>
      <c r="M670" s="2" t="b">
        <f>IF(Raw_Data!L670="", "",
    IF(ISLOGICAL(Raw_Data!L670), Raw_Data!L670,
        IF(OR(UPPER(Raw_Data!L670)="TRUE", UPPER(Raw_Data!L670)="YES", UPPER(Raw_Data!L670)="1"), TRUE,
            IF(OR(UPPER(Raw_Data!L670)="FALSE", UPPER(Raw_Data!L670)="NO", UPPER(Raw_Data!L670)="0"), FALSE, "Review")
        )
    )
)</f>
        <v>0</v>
      </c>
    </row>
    <row r="671" spans="1:13" x14ac:dyDescent="0.4">
      <c r="A671" s="2" t="str">
        <f>IFERROR(TRIM(Raw_Data!A671), "Review")</f>
        <v>EMP1669</v>
      </c>
      <c r="B671" s="2" t="str">
        <f>IFERROR(TRIM(Raw_Data!B671), "Review")</f>
        <v>Alice</v>
      </c>
      <c r="C671" s="2" t="str">
        <f>IFERROR(TRIM(Raw_Data!C671), "Review")</f>
        <v>Davis</v>
      </c>
      <c r="D671" s="2">
        <f>IF(Raw_Data!D671="", "", IFERROR(VALUE(Raw_Data!D671), ""))</f>
        <v>25</v>
      </c>
      <c r="E671" s="2" t="str">
        <f>IFERROR(LEFT(Raw_Data!E671,SEARCH("-",Raw_Data!E671)-1),"Review")</f>
        <v>Finance</v>
      </c>
      <c r="F671" s="2" t="str">
        <f>IFERROR(_xlfn.TEXTAFTER(Raw_Data!E671,"-"),"Review")</f>
        <v>Illinois</v>
      </c>
      <c r="G671" s="2" t="str">
        <f>IFERROR(TRIM(Raw_Data!F671), "Review")</f>
        <v>Active</v>
      </c>
      <c r="H671" s="3" t="str">
        <f>IFERROR(TEXT(Raw_Data!G671, "YYYY-MM-DD"),"Review")</f>
        <v>2020-07-31</v>
      </c>
      <c r="I671" s="4">
        <f>IF(Raw_Data!H671="", "", IFERROR(VALUE(Raw_Data!H671), ""))</f>
        <v>68371.66</v>
      </c>
      <c r="J671" s="2" t="str">
        <f>IF(Raw_Data!I671="", "", IF(ISNUMBER(FIND("@", Raw_Data!I671)), Raw_Data!I671, "Review"))</f>
        <v>alice.davis@example.com</v>
      </c>
      <c r="K671" s="5" t="str">
        <f>IFERROR(TEXT(ABS(Raw_Data!J671), "0"), "Review")</f>
        <v>2822700933</v>
      </c>
      <c r="L671" s="2" t="str">
        <f>IFERROR(TRIM(Raw_Data!K671), "Review")</f>
        <v>Poor</v>
      </c>
      <c r="M671" s="2" t="b">
        <f>IF(Raw_Data!L671="", "",
    IF(ISLOGICAL(Raw_Data!L671), Raw_Data!L671,
        IF(OR(UPPER(Raw_Data!L671)="TRUE", UPPER(Raw_Data!L671)="YES", UPPER(Raw_Data!L671)="1"), TRUE,
            IF(OR(UPPER(Raw_Data!L671)="FALSE", UPPER(Raw_Data!L671)="NO", UPPER(Raw_Data!L671)="0"), FALSE, "Review")
        )
    )
)</f>
        <v>0</v>
      </c>
    </row>
    <row r="672" spans="1:13" x14ac:dyDescent="0.4">
      <c r="A672" s="2" t="str">
        <f>IFERROR(TRIM(Raw_Data!A672), "Review")</f>
        <v>EMP1670</v>
      </c>
      <c r="B672" s="2" t="str">
        <f>IFERROR(TRIM(Raw_Data!B672), "Review")</f>
        <v>Grace</v>
      </c>
      <c r="C672" s="2" t="str">
        <f>IFERROR(TRIM(Raw_Data!C672), "Review")</f>
        <v>Smith</v>
      </c>
      <c r="D672" s="2">
        <f>IF(Raw_Data!D672="", "", IFERROR(VALUE(Raw_Data!D672), ""))</f>
        <v>35</v>
      </c>
      <c r="E672" s="2" t="str">
        <f>IFERROR(LEFT(Raw_Data!E672,SEARCH("-",Raw_Data!E672)-1),"Review")</f>
        <v>Admin</v>
      </c>
      <c r="F672" s="2" t="str">
        <f>IFERROR(_xlfn.TEXTAFTER(Raw_Data!E672,"-"),"Review")</f>
        <v>New York</v>
      </c>
      <c r="G672" s="2" t="str">
        <f>IFERROR(TRIM(Raw_Data!F672), "Review")</f>
        <v>Pending</v>
      </c>
      <c r="H672" s="3" t="str">
        <f>IFERROR(TEXT(Raw_Data!G672, "YYYY-MM-DD"),"Review")</f>
        <v>2021-08-04</v>
      </c>
      <c r="I672" s="4">
        <f>IF(Raw_Data!H672="", "", IFERROR(VALUE(Raw_Data!H672), ""))</f>
        <v>81021.23</v>
      </c>
      <c r="J672" s="2" t="str">
        <f>IF(Raw_Data!I672="", "", IF(ISNUMBER(FIND("@", Raw_Data!I672)), Raw_Data!I672, "Review"))</f>
        <v>grace.smith@example.com</v>
      </c>
      <c r="K672" s="5" t="str">
        <f>IFERROR(TEXT(ABS(Raw_Data!J672), "0"), "Review")</f>
        <v>5962622821</v>
      </c>
      <c r="L672" s="2" t="str">
        <f>IFERROR(TRIM(Raw_Data!K672), "Review")</f>
        <v>Good</v>
      </c>
      <c r="M672" s="2" t="b">
        <f>IF(Raw_Data!L672="", "",
    IF(ISLOGICAL(Raw_Data!L672), Raw_Data!L672,
        IF(OR(UPPER(Raw_Data!L672)="TRUE", UPPER(Raw_Data!L672)="YES", UPPER(Raw_Data!L672)="1"), TRUE,
            IF(OR(UPPER(Raw_Data!L672)="FALSE", UPPER(Raw_Data!L672)="NO", UPPER(Raw_Data!L672)="0"), FALSE, "Review")
        )
    )
)</f>
        <v>0</v>
      </c>
    </row>
    <row r="673" spans="1:13" x14ac:dyDescent="0.4">
      <c r="A673" s="2" t="str">
        <f>IFERROR(TRIM(Raw_Data!A673), "Review")</f>
        <v>EMP1671</v>
      </c>
      <c r="B673" s="2" t="str">
        <f>IFERROR(TRIM(Raw_Data!B673), "Review")</f>
        <v>Charlie</v>
      </c>
      <c r="C673" s="2" t="str">
        <f>IFERROR(TRIM(Raw_Data!C673), "Review")</f>
        <v>Miller</v>
      </c>
      <c r="D673" s="2">
        <f>IF(Raw_Data!D673="", "", IFERROR(VALUE(Raw_Data!D673), ""))</f>
        <v>25</v>
      </c>
      <c r="E673" s="2" t="str">
        <f>IFERROR(LEFT(Raw_Data!E673,SEARCH("-",Raw_Data!E673)-1),"Review")</f>
        <v>Cloud Tech</v>
      </c>
      <c r="F673" s="2" t="str">
        <f>IFERROR(_xlfn.TEXTAFTER(Raw_Data!E673,"-"),"Review")</f>
        <v>Nevada</v>
      </c>
      <c r="G673" s="2" t="str">
        <f>IFERROR(TRIM(Raw_Data!F673), "Review")</f>
        <v>Inactive</v>
      </c>
      <c r="H673" s="3" t="str">
        <f>IFERROR(TEXT(Raw_Data!G673, "YYYY-MM-DD"),"Review")</f>
        <v>2024-10-28</v>
      </c>
      <c r="I673" s="4">
        <f>IF(Raw_Data!H673="", "", IFERROR(VALUE(Raw_Data!H673), ""))</f>
        <v>114069.07</v>
      </c>
      <c r="J673" s="2" t="str">
        <f>IF(Raw_Data!I673="", "", IF(ISNUMBER(FIND("@", Raw_Data!I673)), Raw_Data!I673, "Review"))</f>
        <v>charlie.miller@example.com</v>
      </c>
      <c r="K673" s="5" t="str">
        <f>IFERROR(TEXT(ABS(Raw_Data!J673), "0"), "Review")</f>
        <v>5120734653</v>
      </c>
      <c r="L673" s="2" t="str">
        <f>IFERROR(TRIM(Raw_Data!K673), "Review")</f>
        <v>Good</v>
      </c>
      <c r="M673" s="2" t="b">
        <f>IF(Raw_Data!L673="", "",
    IF(ISLOGICAL(Raw_Data!L673), Raw_Data!L673,
        IF(OR(UPPER(Raw_Data!L673)="TRUE", UPPER(Raw_Data!L673)="YES", UPPER(Raw_Data!L673)="1"), TRUE,
            IF(OR(UPPER(Raw_Data!L673)="FALSE", UPPER(Raw_Data!L673)="NO", UPPER(Raw_Data!L673)="0"), FALSE, "Review")
        )
    )
)</f>
        <v>1</v>
      </c>
    </row>
    <row r="674" spans="1:13" x14ac:dyDescent="0.4">
      <c r="A674" s="2" t="str">
        <f>IFERROR(TRIM(Raw_Data!A674), "Review")</f>
        <v>EMP1672</v>
      </c>
      <c r="B674" s="2" t="str">
        <f>IFERROR(TRIM(Raw_Data!B674), "Review")</f>
        <v>Heidi</v>
      </c>
      <c r="C674" s="2" t="str">
        <f>IFERROR(TRIM(Raw_Data!C674), "Review")</f>
        <v>Miller</v>
      </c>
      <c r="D674" s="2" t="str">
        <f>IF(Raw_Data!D674="", "", IFERROR(VALUE(Raw_Data!D674), ""))</f>
        <v/>
      </c>
      <c r="E674" s="2" t="str">
        <f>IFERROR(LEFT(Raw_Data!E674,SEARCH("-",Raw_Data!E674)-1),"Review")</f>
        <v>HR</v>
      </c>
      <c r="F674" s="2" t="str">
        <f>IFERROR(_xlfn.TEXTAFTER(Raw_Data!E674,"-"),"Review")</f>
        <v>Illinois</v>
      </c>
      <c r="G674" s="2" t="str">
        <f>IFERROR(TRIM(Raw_Data!F674), "Review")</f>
        <v>Inactive</v>
      </c>
      <c r="H674" s="3" t="str">
        <f>IFERROR(TEXT(Raw_Data!G674, "YYYY-MM-DD"),"Review")</f>
        <v>2020-10-03</v>
      </c>
      <c r="I674" s="4">
        <f>IF(Raw_Data!H674="", "", IFERROR(VALUE(Raw_Data!H674), ""))</f>
        <v>117867.96</v>
      </c>
      <c r="J674" s="2" t="str">
        <f>IF(Raw_Data!I674="", "", IF(ISNUMBER(FIND("@", Raw_Data!I674)), Raw_Data!I674, "Review"))</f>
        <v>heidi.miller@example.com</v>
      </c>
      <c r="K674" s="5" t="str">
        <f>IFERROR(TEXT(ABS(Raw_Data!J674), "0"), "Review")</f>
        <v>9500507025</v>
      </c>
      <c r="L674" s="2" t="str">
        <f>IFERROR(TRIM(Raw_Data!K674), "Review")</f>
        <v>Poor</v>
      </c>
      <c r="M674" s="2" t="b">
        <f>IF(Raw_Data!L674="", "",
    IF(ISLOGICAL(Raw_Data!L674), Raw_Data!L674,
        IF(OR(UPPER(Raw_Data!L674)="TRUE", UPPER(Raw_Data!L674)="YES", UPPER(Raw_Data!L674)="1"), TRUE,
            IF(OR(UPPER(Raw_Data!L674)="FALSE", UPPER(Raw_Data!L674)="NO", UPPER(Raw_Data!L674)="0"), FALSE, "Review")
        )
    )
)</f>
        <v>0</v>
      </c>
    </row>
    <row r="675" spans="1:13" x14ac:dyDescent="0.4">
      <c r="A675" s="2" t="str">
        <f>IFERROR(TRIM(Raw_Data!A675), "Review")</f>
        <v>EMP1673</v>
      </c>
      <c r="B675" s="2" t="str">
        <f>IFERROR(TRIM(Raw_Data!B675), "Review")</f>
        <v>Charlie</v>
      </c>
      <c r="C675" s="2" t="str">
        <f>IFERROR(TRIM(Raw_Data!C675), "Review")</f>
        <v>Miller</v>
      </c>
      <c r="D675" s="2" t="str">
        <f>IF(Raw_Data!D675="", "", IFERROR(VALUE(Raw_Data!D675), ""))</f>
        <v/>
      </c>
      <c r="E675" s="2" t="str">
        <f>IFERROR(LEFT(Raw_Data!E675,SEARCH("-",Raw_Data!E675)-1),"Review")</f>
        <v>Sales</v>
      </c>
      <c r="F675" s="2" t="str">
        <f>IFERROR(_xlfn.TEXTAFTER(Raw_Data!E675,"-"),"Review")</f>
        <v>Florida</v>
      </c>
      <c r="G675" s="2" t="str">
        <f>IFERROR(TRIM(Raw_Data!F675), "Review")</f>
        <v>Pending</v>
      </c>
      <c r="H675" s="3" t="str">
        <f>IFERROR(TEXT(Raw_Data!G675, "YYYY-MM-DD"),"Review")</f>
        <v>2024-03-13</v>
      </c>
      <c r="I675" s="4">
        <f>IF(Raw_Data!H675="", "", IFERROR(VALUE(Raw_Data!H675), ""))</f>
        <v>94509.58</v>
      </c>
      <c r="J675" s="2" t="str">
        <f>IF(Raw_Data!I675="", "", IF(ISNUMBER(FIND("@", Raw_Data!I675)), Raw_Data!I675, "Review"))</f>
        <v>charlie.miller@example.com</v>
      </c>
      <c r="K675" s="5" t="str">
        <f>IFERROR(TEXT(ABS(Raw_Data!J675), "0"), "Review")</f>
        <v>869822104</v>
      </c>
      <c r="L675" s="2" t="str">
        <f>IFERROR(TRIM(Raw_Data!K675), "Review")</f>
        <v>Average</v>
      </c>
      <c r="M675" s="2" t="b">
        <f>IF(Raw_Data!L675="", "",
    IF(ISLOGICAL(Raw_Data!L675), Raw_Data!L675,
        IF(OR(UPPER(Raw_Data!L675)="TRUE", UPPER(Raw_Data!L675)="YES", UPPER(Raw_Data!L675)="1"), TRUE,
            IF(OR(UPPER(Raw_Data!L675)="FALSE", UPPER(Raw_Data!L675)="NO", UPPER(Raw_Data!L675)="0"), FALSE, "Review")
        )
    )
)</f>
        <v>0</v>
      </c>
    </row>
    <row r="676" spans="1:13" x14ac:dyDescent="0.4">
      <c r="A676" s="2" t="str">
        <f>IFERROR(TRIM(Raw_Data!A676), "Review")</f>
        <v>EMP1674</v>
      </c>
      <c r="B676" s="2" t="str">
        <f>IFERROR(TRIM(Raw_Data!B676), "Review")</f>
        <v>Eva</v>
      </c>
      <c r="C676" s="2" t="str">
        <f>IFERROR(TRIM(Raw_Data!C676), "Review")</f>
        <v>Brown</v>
      </c>
      <c r="D676" s="2">
        <f>IF(Raw_Data!D676="", "", IFERROR(VALUE(Raw_Data!D676), ""))</f>
        <v>35</v>
      </c>
      <c r="E676" s="2" t="str">
        <f>IFERROR(LEFT(Raw_Data!E676,SEARCH("-",Raw_Data!E676)-1),"Review")</f>
        <v>Finance</v>
      </c>
      <c r="F676" s="2" t="str">
        <f>IFERROR(_xlfn.TEXTAFTER(Raw_Data!E676,"-"),"Review")</f>
        <v>Illinois</v>
      </c>
      <c r="G676" s="2" t="str">
        <f>IFERROR(TRIM(Raw_Data!F676), "Review")</f>
        <v>Active</v>
      </c>
      <c r="H676" s="3" t="str">
        <f>IFERROR(TEXT(Raw_Data!G676, "YYYY-MM-DD"),"Review")</f>
        <v>2024-07-06</v>
      </c>
      <c r="I676" s="4">
        <f>IF(Raw_Data!H676="", "", IFERROR(VALUE(Raw_Data!H676), ""))</f>
        <v>56268.78</v>
      </c>
      <c r="J676" s="2" t="str">
        <f>IF(Raw_Data!I676="", "", IF(ISNUMBER(FIND("@", Raw_Data!I676)), Raw_Data!I676, "Review"))</f>
        <v>eva.brown@example.com</v>
      </c>
      <c r="K676" s="5" t="str">
        <f>IFERROR(TEXT(ABS(Raw_Data!J676), "0"), "Review")</f>
        <v>3161177686</v>
      </c>
      <c r="L676" s="2" t="str">
        <f>IFERROR(TRIM(Raw_Data!K676), "Review")</f>
        <v>Excellent</v>
      </c>
      <c r="M676" s="2" t="b">
        <f>IF(Raw_Data!L676="", "",
    IF(ISLOGICAL(Raw_Data!L676), Raw_Data!L676,
        IF(OR(UPPER(Raw_Data!L676)="TRUE", UPPER(Raw_Data!L676)="YES", UPPER(Raw_Data!L676)="1"), TRUE,
            IF(OR(UPPER(Raw_Data!L676)="FALSE", UPPER(Raw_Data!L676)="NO", UPPER(Raw_Data!L676)="0"), FALSE, "Review")
        )
    )
)</f>
        <v>0</v>
      </c>
    </row>
    <row r="677" spans="1:13" x14ac:dyDescent="0.4">
      <c r="A677" s="2" t="str">
        <f>IFERROR(TRIM(Raw_Data!A677), "Review")</f>
        <v>EMP1675</v>
      </c>
      <c r="B677" s="2" t="str">
        <f>IFERROR(TRIM(Raw_Data!B677), "Review")</f>
        <v>Grace</v>
      </c>
      <c r="C677" s="2" t="str">
        <f>IFERROR(TRIM(Raw_Data!C677), "Review")</f>
        <v>Jones</v>
      </c>
      <c r="D677" s="2">
        <f>IF(Raw_Data!D677="", "", IFERROR(VALUE(Raw_Data!D677), ""))</f>
        <v>35</v>
      </c>
      <c r="E677" s="2" t="str">
        <f>IFERROR(LEFT(Raw_Data!E677,SEARCH("-",Raw_Data!E677)-1),"Review")</f>
        <v>Admin</v>
      </c>
      <c r="F677" s="2" t="str">
        <f>IFERROR(_xlfn.TEXTAFTER(Raw_Data!E677,"-"),"Review")</f>
        <v>California</v>
      </c>
      <c r="G677" s="2" t="str">
        <f>IFERROR(TRIM(Raw_Data!F677), "Review")</f>
        <v>Active</v>
      </c>
      <c r="H677" s="3" t="str">
        <f>IFERROR(TEXT(Raw_Data!G677, "YYYY-MM-DD"),"Review")</f>
        <v>2020-01-01</v>
      </c>
      <c r="I677" s="4">
        <f>IF(Raw_Data!H677="", "", IFERROR(VALUE(Raw_Data!H677), ""))</f>
        <v>86632.14</v>
      </c>
      <c r="J677" s="2" t="str">
        <f>IF(Raw_Data!I677="", "", IF(ISNUMBER(FIND("@", Raw_Data!I677)), Raw_Data!I677, "Review"))</f>
        <v>grace.jones@example.com</v>
      </c>
      <c r="K677" s="5" t="str">
        <f>IFERROR(TEXT(ABS(Raw_Data!J677), "0"), "Review")</f>
        <v>2904774257</v>
      </c>
      <c r="L677" s="2" t="str">
        <f>IFERROR(TRIM(Raw_Data!K677), "Review")</f>
        <v>Poor</v>
      </c>
      <c r="M677" s="2" t="b">
        <f>IF(Raw_Data!L677="", "",
    IF(ISLOGICAL(Raw_Data!L677), Raw_Data!L677,
        IF(OR(UPPER(Raw_Data!L677)="TRUE", UPPER(Raw_Data!L677)="YES", UPPER(Raw_Data!L677)="1"), TRUE,
            IF(OR(UPPER(Raw_Data!L677)="FALSE", UPPER(Raw_Data!L677)="NO", UPPER(Raw_Data!L677)="0"), FALSE, "Review")
        )
    )
)</f>
        <v>1</v>
      </c>
    </row>
    <row r="678" spans="1:13" x14ac:dyDescent="0.4">
      <c r="A678" s="2" t="str">
        <f>IFERROR(TRIM(Raw_Data!A678), "Review")</f>
        <v>EMP1676</v>
      </c>
      <c r="B678" s="2" t="str">
        <f>IFERROR(TRIM(Raw_Data!B678), "Review")</f>
        <v>Charlie</v>
      </c>
      <c r="C678" s="2" t="str">
        <f>IFERROR(TRIM(Raw_Data!C678), "Review")</f>
        <v>Brown</v>
      </c>
      <c r="D678" s="2">
        <f>IF(Raw_Data!D678="", "", IFERROR(VALUE(Raw_Data!D678), ""))</f>
        <v>35</v>
      </c>
      <c r="E678" s="2" t="str">
        <f>IFERROR(LEFT(Raw_Data!E678,SEARCH("-",Raw_Data!E678)-1),"Review")</f>
        <v>HR</v>
      </c>
      <c r="F678" s="2" t="str">
        <f>IFERROR(_xlfn.TEXTAFTER(Raw_Data!E678,"-"),"Review")</f>
        <v>Florida</v>
      </c>
      <c r="G678" s="2" t="str">
        <f>IFERROR(TRIM(Raw_Data!F678), "Review")</f>
        <v>Pending</v>
      </c>
      <c r="H678" s="3" t="str">
        <f>IFERROR(TEXT(Raw_Data!G678, "YYYY-MM-DD"),"Review")</f>
        <v>2020-01-18</v>
      </c>
      <c r="I678" s="4">
        <f>IF(Raw_Data!H678="", "", IFERROR(VALUE(Raw_Data!H678), ""))</f>
        <v>98143.9</v>
      </c>
      <c r="J678" s="2" t="str">
        <f>IF(Raw_Data!I678="", "", IF(ISNUMBER(FIND("@", Raw_Data!I678)), Raw_Data!I678, "Review"))</f>
        <v>charlie.brown@example.com</v>
      </c>
      <c r="K678" s="5" t="str">
        <f>IFERROR(TEXT(ABS(Raw_Data!J678), "0"), "Review")</f>
        <v>5917793237</v>
      </c>
      <c r="L678" s="2" t="str">
        <f>IFERROR(TRIM(Raw_Data!K678), "Review")</f>
        <v>Excellent</v>
      </c>
      <c r="M678" s="2" t="b">
        <f>IF(Raw_Data!L678="", "",
    IF(ISLOGICAL(Raw_Data!L678), Raw_Data!L678,
        IF(OR(UPPER(Raw_Data!L678)="TRUE", UPPER(Raw_Data!L678)="YES", UPPER(Raw_Data!L678)="1"), TRUE,
            IF(OR(UPPER(Raw_Data!L678)="FALSE", UPPER(Raw_Data!L678)="NO", UPPER(Raw_Data!L678)="0"), FALSE, "Review")
        )
    )
)</f>
        <v>0</v>
      </c>
    </row>
    <row r="679" spans="1:13" x14ac:dyDescent="0.4">
      <c r="A679" s="2" t="str">
        <f>IFERROR(TRIM(Raw_Data!A679), "Review")</f>
        <v>EMP1677</v>
      </c>
      <c r="B679" s="2" t="str">
        <f>IFERROR(TRIM(Raw_Data!B679), "Review")</f>
        <v>Heidi</v>
      </c>
      <c r="C679" s="2" t="str">
        <f>IFERROR(TRIM(Raw_Data!C679), "Review")</f>
        <v>Garcia</v>
      </c>
      <c r="D679" s="2">
        <f>IF(Raw_Data!D679="", "", IFERROR(VALUE(Raw_Data!D679), ""))</f>
        <v>35</v>
      </c>
      <c r="E679" s="2" t="str">
        <f>IFERROR(LEFT(Raw_Data!E679,SEARCH("-",Raw_Data!E679)-1),"Review")</f>
        <v>Cloud Tech</v>
      </c>
      <c r="F679" s="2" t="str">
        <f>IFERROR(_xlfn.TEXTAFTER(Raw_Data!E679,"-"),"Review")</f>
        <v>Florida</v>
      </c>
      <c r="G679" s="2" t="str">
        <f>IFERROR(TRIM(Raw_Data!F679), "Review")</f>
        <v>Inactive</v>
      </c>
      <c r="H679" s="3" t="str">
        <f>IFERROR(TEXT(Raw_Data!G679, "YYYY-MM-DD"),"Review")</f>
        <v>2023-05-07</v>
      </c>
      <c r="I679" s="4" t="str">
        <f>IF(Raw_Data!H679="", "", IFERROR(VALUE(Raw_Data!H679), ""))</f>
        <v/>
      </c>
      <c r="J679" s="2" t="str">
        <f>IF(Raw_Data!I679="", "", IF(ISNUMBER(FIND("@", Raw_Data!I679)), Raw_Data!I679, "Review"))</f>
        <v>heidi.garcia@example.com</v>
      </c>
      <c r="K679" s="5" t="str">
        <f>IFERROR(TEXT(ABS(Raw_Data!J679), "0"), "Review")</f>
        <v>2231164912</v>
      </c>
      <c r="L679" s="2" t="str">
        <f>IFERROR(TRIM(Raw_Data!K679), "Review")</f>
        <v>Average</v>
      </c>
      <c r="M679" s="2" t="b">
        <f>IF(Raw_Data!L679="", "",
    IF(ISLOGICAL(Raw_Data!L679), Raw_Data!L679,
        IF(OR(UPPER(Raw_Data!L679)="TRUE", UPPER(Raw_Data!L679)="YES", UPPER(Raw_Data!L679)="1"), TRUE,
            IF(OR(UPPER(Raw_Data!L679)="FALSE", UPPER(Raw_Data!L679)="NO", UPPER(Raw_Data!L679)="0"), FALSE, "Review")
        )
    )
)</f>
        <v>1</v>
      </c>
    </row>
    <row r="680" spans="1:13" x14ac:dyDescent="0.4">
      <c r="A680" s="2" t="str">
        <f>IFERROR(TRIM(Raw_Data!A680), "Review")</f>
        <v>EMP1678</v>
      </c>
      <c r="B680" s="2" t="str">
        <f>IFERROR(TRIM(Raw_Data!B680), "Review")</f>
        <v>Frank</v>
      </c>
      <c r="C680" s="2" t="str">
        <f>IFERROR(TRIM(Raw_Data!C680), "Review")</f>
        <v>Johnson</v>
      </c>
      <c r="D680" s="2">
        <f>IF(Raw_Data!D680="", "", IFERROR(VALUE(Raw_Data!D680), ""))</f>
        <v>30</v>
      </c>
      <c r="E680" s="2" t="str">
        <f>IFERROR(LEFT(Raw_Data!E680,SEARCH("-",Raw_Data!E680)-1),"Review")</f>
        <v>Finance</v>
      </c>
      <c r="F680" s="2" t="str">
        <f>IFERROR(_xlfn.TEXTAFTER(Raw_Data!E680,"-"),"Review")</f>
        <v>Illinois</v>
      </c>
      <c r="G680" s="2" t="str">
        <f>IFERROR(TRIM(Raw_Data!F680), "Review")</f>
        <v>Inactive</v>
      </c>
      <c r="H680" s="3" t="str">
        <f>IFERROR(TEXT(Raw_Data!G680, "YYYY-MM-DD"),"Review")</f>
        <v>2022-03-19</v>
      </c>
      <c r="I680" s="4">
        <f>IF(Raw_Data!H680="", "", IFERROR(VALUE(Raw_Data!H680), ""))</f>
        <v>67492.73</v>
      </c>
      <c r="J680" s="2" t="str">
        <f>IF(Raw_Data!I680="", "", IF(ISNUMBER(FIND("@", Raw_Data!I680)), Raw_Data!I680, "Review"))</f>
        <v>frank.johnson@example.com</v>
      </c>
      <c r="K680" s="5" t="str">
        <f>IFERROR(TEXT(ABS(Raw_Data!J680), "0"), "Review")</f>
        <v>3424579888</v>
      </c>
      <c r="L680" s="2" t="str">
        <f>IFERROR(TRIM(Raw_Data!K680), "Review")</f>
        <v>Excellent</v>
      </c>
      <c r="M680" s="2" t="b">
        <f>IF(Raw_Data!L680="", "",
    IF(ISLOGICAL(Raw_Data!L680), Raw_Data!L680,
        IF(OR(UPPER(Raw_Data!L680)="TRUE", UPPER(Raw_Data!L680)="YES", UPPER(Raw_Data!L680)="1"), TRUE,
            IF(OR(UPPER(Raw_Data!L680)="FALSE", UPPER(Raw_Data!L680)="NO", UPPER(Raw_Data!L680)="0"), FALSE, "Review")
        )
    )
)</f>
        <v>1</v>
      </c>
    </row>
    <row r="681" spans="1:13" x14ac:dyDescent="0.4">
      <c r="A681" s="2" t="str">
        <f>IFERROR(TRIM(Raw_Data!A681), "Review")</f>
        <v>EMP1679</v>
      </c>
      <c r="B681" s="2" t="str">
        <f>IFERROR(TRIM(Raw_Data!B681), "Review")</f>
        <v>Grace</v>
      </c>
      <c r="C681" s="2" t="str">
        <f>IFERROR(TRIM(Raw_Data!C681), "Review")</f>
        <v>Johnson</v>
      </c>
      <c r="D681" s="2">
        <f>IF(Raw_Data!D681="", "", IFERROR(VALUE(Raw_Data!D681), ""))</f>
        <v>40</v>
      </c>
      <c r="E681" s="2" t="str">
        <f>IFERROR(LEFT(Raw_Data!E681,SEARCH("-",Raw_Data!E681)-1),"Review")</f>
        <v>Admin</v>
      </c>
      <c r="F681" s="2" t="str">
        <f>IFERROR(_xlfn.TEXTAFTER(Raw_Data!E681,"-"),"Review")</f>
        <v>California</v>
      </c>
      <c r="G681" s="2" t="str">
        <f>IFERROR(TRIM(Raw_Data!F681), "Review")</f>
        <v>Active</v>
      </c>
      <c r="H681" s="3" t="str">
        <f>IFERROR(TEXT(Raw_Data!G681, "YYYY-MM-DD"),"Review")</f>
        <v>2022-05-14</v>
      </c>
      <c r="I681" s="4">
        <f>IF(Raw_Data!H681="", "", IFERROR(VALUE(Raw_Data!H681), ""))</f>
        <v>93772.61</v>
      </c>
      <c r="J681" s="2" t="str">
        <f>IF(Raw_Data!I681="", "", IF(ISNUMBER(FIND("@", Raw_Data!I681)), Raw_Data!I681, "Review"))</f>
        <v>grace.johnson@example.com</v>
      </c>
      <c r="K681" s="5" t="str">
        <f>IFERROR(TEXT(ABS(Raw_Data!J681), "0"), "Review")</f>
        <v>4256529059</v>
      </c>
      <c r="L681" s="2" t="str">
        <f>IFERROR(TRIM(Raw_Data!K681), "Review")</f>
        <v>Poor</v>
      </c>
      <c r="M681" s="2" t="b">
        <f>IF(Raw_Data!L681="", "",
    IF(ISLOGICAL(Raw_Data!L681), Raw_Data!L681,
        IF(OR(UPPER(Raw_Data!L681)="TRUE", UPPER(Raw_Data!L681)="YES", UPPER(Raw_Data!L681)="1"), TRUE,
            IF(OR(UPPER(Raw_Data!L681)="FALSE", UPPER(Raw_Data!L681)="NO", UPPER(Raw_Data!L681)="0"), FALSE, "Review")
        )
    )
)</f>
        <v>0</v>
      </c>
    </row>
    <row r="682" spans="1:13" x14ac:dyDescent="0.4">
      <c r="A682" s="2" t="str">
        <f>IFERROR(TRIM(Raw_Data!A682), "Review")</f>
        <v>EMP1680</v>
      </c>
      <c r="B682" s="2" t="str">
        <f>IFERROR(TRIM(Raw_Data!B682), "Review")</f>
        <v>Eva</v>
      </c>
      <c r="C682" s="2" t="str">
        <f>IFERROR(TRIM(Raw_Data!C682), "Review")</f>
        <v>Garcia</v>
      </c>
      <c r="D682" s="2">
        <f>IF(Raw_Data!D682="", "", IFERROR(VALUE(Raw_Data!D682), ""))</f>
        <v>35</v>
      </c>
      <c r="E682" s="2" t="str">
        <f>IFERROR(LEFT(Raw_Data!E682,SEARCH("-",Raw_Data!E682)-1),"Review")</f>
        <v>DevOps</v>
      </c>
      <c r="F682" s="2" t="str">
        <f>IFERROR(_xlfn.TEXTAFTER(Raw_Data!E682,"-"),"Review")</f>
        <v>Nevada</v>
      </c>
      <c r="G682" s="2" t="str">
        <f>IFERROR(TRIM(Raw_Data!F682), "Review")</f>
        <v>Pending</v>
      </c>
      <c r="H682" s="3" t="str">
        <f>IFERROR(TEXT(Raw_Data!G682, "YYYY-MM-DD"),"Review")</f>
        <v>2024-07-14</v>
      </c>
      <c r="I682" s="4">
        <f>IF(Raw_Data!H682="", "", IFERROR(VALUE(Raw_Data!H682), ""))</f>
        <v>68817.539999999994</v>
      </c>
      <c r="J682" s="2" t="str">
        <f>IF(Raw_Data!I682="", "", IF(ISNUMBER(FIND("@", Raw_Data!I682)), Raw_Data!I682, "Review"))</f>
        <v>eva.garcia@example.com</v>
      </c>
      <c r="K682" s="5" t="str">
        <f>IFERROR(TEXT(ABS(Raw_Data!J682), "0"), "Review")</f>
        <v>3202032649</v>
      </c>
      <c r="L682" s="2" t="str">
        <f>IFERROR(TRIM(Raw_Data!K682), "Review")</f>
        <v>Excellent</v>
      </c>
      <c r="M682" s="2" t="b">
        <f>IF(Raw_Data!L682="", "",
    IF(ISLOGICAL(Raw_Data!L682), Raw_Data!L682,
        IF(OR(UPPER(Raw_Data!L682)="TRUE", UPPER(Raw_Data!L682)="YES", UPPER(Raw_Data!L682)="1"), TRUE,
            IF(OR(UPPER(Raw_Data!L682)="FALSE", UPPER(Raw_Data!L682)="NO", UPPER(Raw_Data!L682)="0"), FALSE, "Review")
        )
    )
)</f>
        <v>0</v>
      </c>
    </row>
    <row r="683" spans="1:13" x14ac:dyDescent="0.4">
      <c r="A683" s="2" t="str">
        <f>IFERROR(TRIM(Raw_Data!A683), "Review")</f>
        <v>EMP1681</v>
      </c>
      <c r="B683" s="2" t="str">
        <f>IFERROR(TRIM(Raw_Data!B683), "Review")</f>
        <v>Bob</v>
      </c>
      <c r="C683" s="2" t="str">
        <f>IFERROR(TRIM(Raw_Data!C683), "Review")</f>
        <v>Jones</v>
      </c>
      <c r="D683" s="2">
        <f>IF(Raw_Data!D683="", "", IFERROR(VALUE(Raw_Data!D683), ""))</f>
        <v>30</v>
      </c>
      <c r="E683" s="2" t="str">
        <f>IFERROR(LEFT(Raw_Data!E683,SEARCH("-",Raw_Data!E683)-1),"Review")</f>
        <v>Admin</v>
      </c>
      <c r="F683" s="2" t="str">
        <f>IFERROR(_xlfn.TEXTAFTER(Raw_Data!E683,"-"),"Review")</f>
        <v>California</v>
      </c>
      <c r="G683" s="2" t="str">
        <f>IFERROR(TRIM(Raw_Data!F683), "Review")</f>
        <v>Active</v>
      </c>
      <c r="H683" s="3" t="str">
        <f>IFERROR(TEXT(Raw_Data!G683, "YYYY-MM-DD"),"Review")</f>
        <v>2023-07-28</v>
      </c>
      <c r="I683" s="4">
        <f>IF(Raw_Data!H683="", "", IFERROR(VALUE(Raw_Data!H683), ""))</f>
        <v>81874.009999999995</v>
      </c>
      <c r="J683" s="2" t="str">
        <f>IF(Raw_Data!I683="", "", IF(ISNUMBER(FIND("@", Raw_Data!I683)), Raw_Data!I683, "Review"))</f>
        <v>bob.jones@example.com</v>
      </c>
      <c r="K683" s="5" t="str">
        <f>IFERROR(TEXT(ABS(Raw_Data!J683), "0"), "Review")</f>
        <v>9775396736</v>
      </c>
      <c r="L683" s="2" t="str">
        <f>IFERROR(TRIM(Raw_Data!K683), "Review")</f>
        <v>Good</v>
      </c>
      <c r="M683" s="2" t="b">
        <f>IF(Raw_Data!L683="", "",
    IF(ISLOGICAL(Raw_Data!L683), Raw_Data!L683,
        IF(OR(UPPER(Raw_Data!L683)="TRUE", UPPER(Raw_Data!L683)="YES", UPPER(Raw_Data!L683)="1"), TRUE,
            IF(OR(UPPER(Raw_Data!L683)="FALSE", UPPER(Raw_Data!L683)="NO", UPPER(Raw_Data!L683)="0"), FALSE, "Review")
        )
    )
)</f>
        <v>1</v>
      </c>
    </row>
    <row r="684" spans="1:13" x14ac:dyDescent="0.4">
      <c r="A684" s="2" t="str">
        <f>IFERROR(TRIM(Raw_Data!A684), "Review")</f>
        <v>EMP1682</v>
      </c>
      <c r="B684" s="2" t="str">
        <f>IFERROR(TRIM(Raw_Data!B684), "Review")</f>
        <v>Heidi</v>
      </c>
      <c r="C684" s="2" t="str">
        <f>IFERROR(TRIM(Raw_Data!C684), "Review")</f>
        <v>Davis</v>
      </c>
      <c r="D684" s="2">
        <f>IF(Raw_Data!D684="", "", IFERROR(VALUE(Raw_Data!D684), ""))</f>
        <v>30</v>
      </c>
      <c r="E684" s="2" t="str">
        <f>IFERROR(LEFT(Raw_Data!E684,SEARCH("-",Raw_Data!E684)-1),"Review")</f>
        <v>HR</v>
      </c>
      <c r="F684" s="2" t="str">
        <f>IFERROR(_xlfn.TEXTAFTER(Raw_Data!E684,"-"),"Review")</f>
        <v>Texas</v>
      </c>
      <c r="G684" s="2" t="str">
        <f>IFERROR(TRIM(Raw_Data!F684), "Review")</f>
        <v>Active</v>
      </c>
      <c r="H684" s="3" t="str">
        <f>IFERROR(TEXT(Raw_Data!G684, "YYYY-MM-DD"),"Review")</f>
        <v>2020-04-11</v>
      </c>
      <c r="I684" s="4">
        <f>IF(Raw_Data!H684="", "", IFERROR(VALUE(Raw_Data!H684), ""))</f>
        <v>117880.14</v>
      </c>
      <c r="J684" s="2" t="str">
        <f>IF(Raw_Data!I684="", "", IF(ISNUMBER(FIND("@", Raw_Data!I684)), Raw_Data!I684, "Review"))</f>
        <v>heidi.davis@example.com</v>
      </c>
      <c r="K684" s="5" t="str">
        <f>IFERROR(TEXT(ABS(Raw_Data!J684), "0"), "Review")</f>
        <v>9487148551</v>
      </c>
      <c r="L684" s="2" t="str">
        <f>IFERROR(TRIM(Raw_Data!K684), "Review")</f>
        <v>Average</v>
      </c>
      <c r="M684" s="2" t="b">
        <f>IF(Raw_Data!L684="", "",
    IF(ISLOGICAL(Raw_Data!L684), Raw_Data!L684,
        IF(OR(UPPER(Raw_Data!L684)="TRUE", UPPER(Raw_Data!L684)="YES", UPPER(Raw_Data!L684)="1"), TRUE,
            IF(OR(UPPER(Raw_Data!L684)="FALSE", UPPER(Raw_Data!L684)="NO", UPPER(Raw_Data!L684)="0"), FALSE, "Review")
        )
    )
)</f>
        <v>0</v>
      </c>
    </row>
    <row r="685" spans="1:13" x14ac:dyDescent="0.4">
      <c r="A685" s="2" t="str">
        <f>IFERROR(TRIM(Raw_Data!A685), "Review")</f>
        <v>EMP1683</v>
      </c>
      <c r="B685" s="2" t="str">
        <f>IFERROR(TRIM(Raw_Data!B685), "Review")</f>
        <v>Bob</v>
      </c>
      <c r="C685" s="2" t="str">
        <f>IFERROR(TRIM(Raw_Data!C685), "Review")</f>
        <v>Brown</v>
      </c>
      <c r="D685" s="2">
        <f>IF(Raw_Data!D685="", "", IFERROR(VALUE(Raw_Data!D685), ""))</f>
        <v>35</v>
      </c>
      <c r="E685" s="2" t="str">
        <f>IFERROR(LEFT(Raw_Data!E685,SEARCH("-",Raw_Data!E685)-1),"Review")</f>
        <v>HR</v>
      </c>
      <c r="F685" s="2" t="str">
        <f>IFERROR(_xlfn.TEXTAFTER(Raw_Data!E685,"-"),"Review")</f>
        <v>New York</v>
      </c>
      <c r="G685" s="2" t="str">
        <f>IFERROR(TRIM(Raw_Data!F685), "Review")</f>
        <v>Pending</v>
      </c>
      <c r="H685" s="3" t="str">
        <f>IFERROR(TEXT(Raw_Data!G685, "YYYY-MM-DD"),"Review")</f>
        <v>2022-06-16</v>
      </c>
      <c r="I685" s="4">
        <f>IF(Raw_Data!H685="", "", IFERROR(VALUE(Raw_Data!H685), ""))</f>
        <v>100897.49</v>
      </c>
      <c r="J685" s="2" t="str">
        <f>IF(Raw_Data!I685="", "", IF(ISNUMBER(FIND("@", Raw_Data!I685)), Raw_Data!I685, "Review"))</f>
        <v>bob.brown@example.com</v>
      </c>
      <c r="K685" s="5" t="str">
        <f>IFERROR(TEXT(ABS(Raw_Data!J685), "0"), "Review")</f>
        <v>4578715840</v>
      </c>
      <c r="L685" s="2" t="str">
        <f>IFERROR(TRIM(Raw_Data!K685), "Review")</f>
        <v>Average</v>
      </c>
      <c r="M685" s="2" t="b">
        <f>IF(Raw_Data!L685="", "",
    IF(ISLOGICAL(Raw_Data!L685), Raw_Data!L685,
        IF(OR(UPPER(Raw_Data!L685)="TRUE", UPPER(Raw_Data!L685)="YES", UPPER(Raw_Data!L685)="1"), TRUE,
            IF(OR(UPPER(Raw_Data!L685)="FALSE", UPPER(Raw_Data!L685)="NO", UPPER(Raw_Data!L685)="0"), FALSE, "Review")
        )
    )
)</f>
        <v>1</v>
      </c>
    </row>
    <row r="686" spans="1:13" x14ac:dyDescent="0.4">
      <c r="A686" s="2" t="str">
        <f>IFERROR(TRIM(Raw_Data!A686), "Review")</f>
        <v>EMP1684</v>
      </c>
      <c r="B686" s="2" t="str">
        <f>IFERROR(TRIM(Raw_Data!B686), "Review")</f>
        <v>Charlie</v>
      </c>
      <c r="C686" s="2" t="str">
        <f>IFERROR(TRIM(Raw_Data!C686), "Review")</f>
        <v>Smith</v>
      </c>
      <c r="D686" s="2">
        <f>IF(Raw_Data!D686="", "", IFERROR(VALUE(Raw_Data!D686), ""))</f>
        <v>25</v>
      </c>
      <c r="E686" s="2" t="str">
        <f>IFERROR(LEFT(Raw_Data!E686,SEARCH("-",Raw_Data!E686)-1),"Review")</f>
        <v>Finance</v>
      </c>
      <c r="F686" s="2" t="str">
        <f>IFERROR(_xlfn.TEXTAFTER(Raw_Data!E686,"-"),"Review")</f>
        <v>New York</v>
      </c>
      <c r="G686" s="2" t="str">
        <f>IFERROR(TRIM(Raw_Data!F686), "Review")</f>
        <v>Inactive</v>
      </c>
      <c r="H686" s="3" t="str">
        <f>IFERROR(TEXT(Raw_Data!G686, "YYYY-MM-DD"),"Review")</f>
        <v>2022-05-10</v>
      </c>
      <c r="I686" s="4">
        <f>IF(Raw_Data!H686="", "", IFERROR(VALUE(Raw_Data!H686), ""))</f>
        <v>71810.37</v>
      </c>
      <c r="J686" s="2" t="str">
        <f>IF(Raw_Data!I686="", "", IF(ISNUMBER(FIND("@", Raw_Data!I686)), Raw_Data!I686, "Review"))</f>
        <v>charlie.smith@example.com</v>
      </c>
      <c r="K686" s="5" t="str">
        <f>IFERROR(TEXT(ABS(Raw_Data!J686), "0"), "Review")</f>
        <v>5608213710</v>
      </c>
      <c r="L686" s="2" t="str">
        <f>IFERROR(TRIM(Raw_Data!K686), "Review")</f>
        <v>Average</v>
      </c>
      <c r="M686" s="2" t="b">
        <f>IF(Raw_Data!L686="", "",
    IF(ISLOGICAL(Raw_Data!L686), Raw_Data!L686,
        IF(OR(UPPER(Raw_Data!L686)="TRUE", UPPER(Raw_Data!L686)="YES", UPPER(Raw_Data!L686)="1"), TRUE,
            IF(OR(UPPER(Raw_Data!L686)="FALSE", UPPER(Raw_Data!L686)="NO", UPPER(Raw_Data!L686)="0"), FALSE, "Review")
        )
    )
)</f>
        <v>1</v>
      </c>
    </row>
    <row r="687" spans="1:13" x14ac:dyDescent="0.4">
      <c r="A687" s="2" t="str">
        <f>IFERROR(TRIM(Raw_Data!A687), "Review")</f>
        <v>EMP1685</v>
      </c>
      <c r="B687" s="2" t="str">
        <f>IFERROR(TRIM(Raw_Data!B687), "Review")</f>
        <v>Frank</v>
      </c>
      <c r="C687" s="2" t="str">
        <f>IFERROR(TRIM(Raw_Data!C687), "Review")</f>
        <v>Miller</v>
      </c>
      <c r="D687" s="2">
        <f>IF(Raw_Data!D687="", "", IFERROR(VALUE(Raw_Data!D687), ""))</f>
        <v>40</v>
      </c>
      <c r="E687" s="2" t="str">
        <f>IFERROR(LEFT(Raw_Data!E687,SEARCH("-",Raw_Data!E687)-1),"Review")</f>
        <v>DevOps</v>
      </c>
      <c r="F687" s="2" t="str">
        <f>IFERROR(_xlfn.TEXTAFTER(Raw_Data!E687,"-"),"Review")</f>
        <v>Texas</v>
      </c>
      <c r="G687" s="2" t="str">
        <f>IFERROR(TRIM(Raw_Data!F687), "Review")</f>
        <v>Inactive</v>
      </c>
      <c r="H687" s="3" t="str">
        <f>IFERROR(TEXT(Raw_Data!G687, "YYYY-MM-DD"),"Review")</f>
        <v>2020-06-13</v>
      </c>
      <c r="I687" s="4">
        <f>IF(Raw_Data!H687="", "", IFERROR(VALUE(Raw_Data!H687), ""))</f>
        <v>109048.24</v>
      </c>
      <c r="J687" s="2" t="str">
        <f>IF(Raw_Data!I687="", "", IF(ISNUMBER(FIND("@", Raw_Data!I687)), Raw_Data!I687, "Review"))</f>
        <v>frank.miller@example.com</v>
      </c>
      <c r="K687" s="5" t="str">
        <f>IFERROR(TEXT(ABS(Raw_Data!J687), "0"), "Review")</f>
        <v>8425476817</v>
      </c>
      <c r="L687" s="2" t="str">
        <f>IFERROR(TRIM(Raw_Data!K687), "Review")</f>
        <v>Poor</v>
      </c>
      <c r="M687" s="2" t="b">
        <f>IF(Raw_Data!L687="", "",
    IF(ISLOGICAL(Raw_Data!L687), Raw_Data!L687,
        IF(OR(UPPER(Raw_Data!L687)="TRUE", UPPER(Raw_Data!L687)="YES", UPPER(Raw_Data!L687)="1"), TRUE,
            IF(OR(UPPER(Raw_Data!L687)="FALSE", UPPER(Raw_Data!L687)="NO", UPPER(Raw_Data!L687)="0"), FALSE, "Review")
        )
    )
)</f>
        <v>0</v>
      </c>
    </row>
    <row r="688" spans="1:13" x14ac:dyDescent="0.4">
      <c r="A688" s="2" t="str">
        <f>IFERROR(TRIM(Raw_Data!A688), "Review")</f>
        <v>EMP1686</v>
      </c>
      <c r="B688" s="2" t="str">
        <f>IFERROR(TRIM(Raw_Data!B688), "Review")</f>
        <v>Alice</v>
      </c>
      <c r="C688" s="2" t="str">
        <f>IFERROR(TRIM(Raw_Data!C688), "Review")</f>
        <v>Miller</v>
      </c>
      <c r="D688" s="2">
        <f>IF(Raw_Data!D688="", "", IFERROR(VALUE(Raw_Data!D688), ""))</f>
        <v>35</v>
      </c>
      <c r="E688" s="2" t="str">
        <f>IFERROR(LEFT(Raw_Data!E688,SEARCH("-",Raw_Data!E688)-1),"Review")</f>
        <v>Finance</v>
      </c>
      <c r="F688" s="2" t="str">
        <f>IFERROR(_xlfn.TEXTAFTER(Raw_Data!E688,"-"),"Review")</f>
        <v>Texas</v>
      </c>
      <c r="G688" s="2" t="str">
        <f>IFERROR(TRIM(Raw_Data!F688), "Review")</f>
        <v>Pending</v>
      </c>
      <c r="H688" s="3" t="str">
        <f>IFERROR(TEXT(Raw_Data!G688, "YYYY-MM-DD"),"Review")</f>
        <v>2022-08-20</v>
      </c>
      <c r="I688" s="4">
        <f>IF(Raw_Data!H688="", "", IFERROR(VALUE(Raw_Data!H688), ""))</f>
        <v>62712.26</v>
      </c>
      <c r="J688" s="2" t="str">
        <f>IF(Raw_Data!I688="", "", IF(ISNUMBER(FIND("@", Raw_Data!I688)), Raw_Data!I688, "Review"))</f>
        <v>alice.miller@example.com</v>
      </c>
      <c r="K688" s="5" t="str">
        <f>IFERROR(TEXT(ABS(Raw_Data!J688), "0"), "Review")</f>
        <v>2683230357</v>
      </c>
      <c r="L688" s="2" t="str">
        <f>IFERROR(TRIM(Raw_Data!K688), "Review")</f>
        <v>Average</v>
      </c>
      <c r="M688" s="2" t="b">
        <f>IF(Raw_Data!L688="", "",
    IF(ISLOGICAL(Raw_Data!L688), Raw_Data!L688,
        IF(OR(UPPER(Raw_Data!L688)="TRUE", UPPER(Raw_Data!L688)="YES", UPPER(Raw_Data!L688)="1"), TRUE,
            IF(OR(UPPER(Raw_Data!L688)="FALSE", UPPER(Raw_Data!L688)="NO", UPPER(Raw_Data!L688)="0"), FALSE, "Review")
        )
    )
)</f>
        <v>0</v>
      </c>
    </row>
    <row r="689" spans="1:13" x14ac:dyDescent="0.4">
      <c r="A689" s="2" t="str">
        <f>IFERROR(TRIM(Raw_Data!A689), "Review")</f>
        <v>EMP1687</v>
      </c>
      <c r="B689" s="2" t="str">
        <f>IFERROR(TRIM(Raw_Data!B689), "Review")</f>
        <v>Eva</v>
      </c>
      <c r="C689" s="2" t="str">
        <f>IFERROR(TRIM(Raw_Data!C689), "Review")</f>
        <v>Jones</v>
      </c>
      <c r="D689" s="2">
        <f>IF(Raw_Data!D689="", "", IFERROR(VALUE(Raw_Data!D689), ""))</f>
        <v>40</v>
      </c>
      <c r="E689" s="2" t="str">
        <f>IFERROR(LEFT(Raw_Data!E689,SEARCH("-",Raw_Data!E689)-1),"Review")</f>
        <v>Cloud Tech</v>
      </c>
      <c r="F689" s="2" t="str">
        <f>IFERROR(_xlfn.TEXTAFTER(Raw_Data!E689,"-"),"Review")</f>
        <v>Texas</v>
      </c>
      <c r="G689" s="2" t="str">
        <f>IFERROR(TRIM(Raw_Data!F689), "Review")</f>
        <v>Pending</v>
      </c>
      <c r="H689" s="3" t="str">
        <f>IFERROR(TEXT(Raw_Data!G689, "YYYY-MM-DD"),"Review")</f>
        <v>2021-05-24</v>
      </c>
      <c r="I689" s="4">
        <f>IF(Raw_Data!H689="", "", IFERROR(VALUE(Raw_Data!H689), ""))</f>
        <v>76935.850000000006</v>
      </c>
      <c r="J689" s="2" t="str">
        <f>IF(Raw_Data!I689="", "", IF(ISNUMBER(FIND("@", Raw_Data!I689)), Raw_Data!I689, "Review"))</f>
        <v>eva.jones@example.com</v>
      </c>
      <c r="K689" s="5" t="str">
        <f>IFERROR(TEXT(ABS(Raw_Data!J689), "0"), "Review")</f>
        <v>9298808582</v>
      </c>
      <c r="L689" s="2" t="str">
        <f>IFERROR(TRIM(Raw_Data!K689), "Review")</f>
        <v>Good</v>
      </c>
      <c r="M689" s="2" t="b">
        <f>IF(Raw_Data!L689="", "",
    IF(ISLOGICAL(Raw_Data!L689), Raw_Data!L689,
        IF(OR(UPPER(Raw_Data!L689)="TRUE", UPPER(Raw_Data!L689)="YES", UPPER(Raw_Data!L689)="1"), TRUE,
            IF(OR(UPPER(Raw_Data!L689)="FALSE", UPPER(Raw_Data!L689)="NO", UPPER(Raw_Data!L689)="0"), FALSE, "Review")
        )
    )
)</f>
        <v>1</v>
      </c>
    </row>
    <row r="690" spans="1:13" x14ac:dyDescent="0.4">
      <c r="A690" s="2" t="str">
        <f>IFERROR(TRIM(Raw_Data!A690), "Review")</f>
        <v>EMP1688</v>
      </c>
      <c r="B690" s="2" t="str">
        <f>IFERROR(TRIM(Raw_Data!B690), "Review")</f>
        <v>David</v>
      </c>
      <c r="C690" s="2" t="str">
        <f>IFERROR(TRIM(Raw_Data!C690), "Review")</f>
        <v>Davis</v>
      </c>
      <c r="D690" s="2">
        <f>IF(Raw_Data!D690="", "", IFERROR(VALUE(Raw_Data!D690), ""))</f>
        <v>25</v>
      </c>
      <c r="E690" s="2" t="str">
        <f>IFERROR(LEFT(Raw_Data!E690,SEARCH("-",Raw_Data!E690)-1),"Review")</f>
        <v>Admin</v>
      </c>
      <c r="F690" s="2" t="str">
        <f>IFERROR(_xlfn.TEXTAFTER(Raw_Data!E690,"-"),"Review")</f>
        <v>Florida</v>
      </c>
      <c r="G690" s="2" t="str">
        <f>IFERROR(TRIM(Raw_Data!F690), "Review")</f>
        <v>Pending</v>
      </c>
      <c r="H690" s="3" t="str">
        <f>IFERROR(TEXT(Raw_Data!G690, "YYYY-MM-DD"),"Review")</f>
        <v>2024-04-27</v>
      </c>
      <c r="I690" s="4">
        <f>IF(Raw_Data!H690="", "", IFERROR(VALUE(Raw_Data!H690), ""))</f>
        <v>56577.22</v>
      </c>
      <c r="J690" s="2" t="str">
        <f>IF(Raw_Data!I690="", "", IF(ISNUMBER(FIND("@", Raw_Data!I690)), Raw_Data!I690, "Review"))</f>
        <v>david.davis@example.com</v>
      </c>
      <c r="K690" s="5" t="str">
        <f>IFERROR(TEXT(ABS(Raw_Data!J690), "0"), "Review")</f>
        <v>8252129327</v>
      </c>
      <c r="L690" s="2" t="str">
        <f>IFERROR(TRIM(Raw_Data!K690), "Review")</f>
        <v>Poor</v>
      </c>
      <c r="M690" s="2" t="b">
        <f>IF(Raw_Data!L690="", "",
    IF(ISLOGICAL(Raw_Data!L690), Raw_Data!L690,
        IF(OR(UPPER(Raw_Data!L690)="TRUE", UPPER(Raw_Data!L690)="YES", UPPER(Raw_Data!L690)="1"), TRUE,
            IF(OR(UPPER(Raw_Data!L690)="FALSE", UPPER(Raw_Data!L690)="NO", UPPER(Raw_Data!L690)="0"), FALSE, "Review")
        )
    )
)</f>
        <v>1</v>
      </c>
    </row>
    <row r="691" spans="1:13" x14ac:dyDescent="0.4">
      <c r="A691" s="2" t="str">
        <f>IFERROR(TRIM(Raw_Data!A691), "Review")</f>
        <v>EMP1689</v>
      </c>
      <c r="B691" s="2" t="str">
        <f>IFERROR(TRIM(Raw_Data!B691), "Review")</f>
        <v>David</v>
      </c>
      <c r="C691" s="2" t="str">
        <f>IFERROR(TRIM(Raw_Data!C691), "Review")</f>
        <v>Johnson</v>
      </c>
      <c r="D691" s="2">
        <f>IF(Raw_Data!D691="", "", IFERROR(VALUE(Raw_Data!D691), ""))</f>
        <v>40</v>
      </c>
      <c r="E691" s="2" t="str">
        <f>IFERROR(LEFT(Raw_Data!E691,SEARCH("-",Raw_Data!E691)-1),"Review")</f>
        <v>Finance</v>
      </c>
      <c r="F691" s="2" t="str">
        <f>IFERROR(_xlfn.TEXTAFTER(Raw_Data!E691,"-"),"Review")</f>
        <v>Nevada</v>
      </c>
      <c r="G691" s="2" t="str">
        <f>IFERROR(TRIM(Raw_Data!F691), "Review")</f>
        <v>Inactive</v>
      </c>
      <c r="H691" s="3" t="str">
        <f>IFERROR(TEXT(Raw_Data!G691, "YYYY-MM-DD"),"Review")</f>
        <v>2021-10-23</v>
      </c>
      <c r="I691" s="4">
        <f>IF(Raw_Data!H691="", "", IFERROR(VALUE(Raw_Data!H691), ""))</f>
        <v>61102.8</v>
      </c>
      <c r="J691" s="2" t="str">
        <f>IF(Raw_Data!I691="", "", IF(ISNUMBER(FIND("@", Raw_Data!I691)), Raw_Data!I691, "Review"))</f>
        <v>david.johnson@example.com</v>
      </c>
      <c r="K691" s="5" t="str">
        <f>IFERROR(TEXT(ABS(Raw_Data!J691), "0"), "Review")</f>
        <v>9634064685</v>
      </c>
      <c r="L691" s="2" t="str">
        <f>IFERROR(TRIM(Raw_Data!K691), "Review")</f>
        <v>Good</v>
      </c>
      <c r="M691" s="2" t="b">
        <f>IF(Raw_Data!L691="", "",
    IF(ISLOGICAL(Raw_Data!L691), Raw_Data!L691,
        IF(OR(UPPER(Raw_Data!L691)="TRUE", UPPER(Raw_Data!L691)="YES", UPPER(Raw_Data!L691)="1"), TRUE,
            IF(OR(UPPER(Raw_Data!L691)="FALSE", UPPER(Raw_Data!L691)="NO", UPPER(Raw_Data!L691)="0"), FALSE, "Review")
        )
    )
)</f>
        <v>1</v>
      </c>
    </row>
    <row r="692" spans="1:13" x14ac:dyDescent="0.4">
      <c r="A692" s="2" t="str">
        <f>IFERROR(TRIM(Raw_Data!A692), "Review")</f>
        <v>EMP1690</v>
      </c>
      <c r="B692" s="2" t="str">
        <f>IFERROR(TRIM(Raw_Data!B692), "Review")</f>
        <v>Bob</v>
      </c>
      <c r="C692" s="2" t="str">
        <f>IFERROR(TRIM(Raw_Data!C692), "Review")</f>
        <v>Johnson</v>
      </c>
      <c r="D692" s="2">
        <f>IF(Raw_Data!D692="", "", IFERROR(VALUE(Raw_Data!D692), ""))</f>
        <v>35</v>
      </c>
      <c r="E692" s="2" t="str">
        <f>IFERROR(LEFT(Raw_Data!E692,SEARCH("-",Raw_Data!E692)-1),"Review")</f>
        <v>Finance</v>
      </c>
      <c r="F692" s="2" t="str">
        <f>IFERROR(_xlfn.TEXTAFTER(Raw_Data!E692,"-"),"Review")</f>
        <v>Nevada</v>
      </c>
      <c r="G692" s="2" t="str">
        <f>IFERROR(TRIM(Raw_Data!F692), "Review")</f>
        <v>Inactive</v>
      </c>
      <c r="H692" s="3" t="str">
        <f>IFERROR(TEXT(Raw_Data!G692, "YYYY-MM-DD"),"Review")</f>
        <v>2021-02-10</v>
      </c>
      <c r="I692" s="4">
        <f>IF(Raw_Data!H692="", "", IFERROR(VALUE(Raw_Data!H692), ""))</f>
        <v>75229.87</v>
      </c>
      <c r="J692" s="2" t="str">
        <f>IF(Raw_Data!I692="", "", IF(ISNUMBER(FIND("@", Raw_Data!I692)), Raw_Data!I692, "Review"))</f>
        <v>bob.johnson@example.com</v>
      </c>
      <c r="K692" s="5" t="str">
        <f>IFERROR(TEXT(ABS(Raw_Data!J692), "0"), "Review")</f>
        <v>7752401483</v>
      </c>
      <c r="L692" s="2" t="str">
        <f>IFERROR(TRIM(Raw_Data!K692), "Review")</f>
        <v>Excellent</v>
      </c>
      <c r="M692" s="2" t="b">
        <f>IF(Raw_Data!L692="", "",
    IF(ISLOGICAL(Raw_Data!L692), Raw_Data!L692,
        IF(OR(UPPER(Raw_Data!L692)="TRUE", UPPER(Raw_Data!L692)="YES", UPPER(Raw_Data!L692)="1"), TRUE,
            IF(OR(UPPER(Raw_Data!L692)="FALSE", UPPER(Raw_Data!L692)="NO", UPPER(Raw_Data!L692)="0"), FALSE, "Review")
        )
    )
)</f>
        <v>1</v>
      </c>
    </row>
    <row r="693" spans="1:13" x14ac:dyDescent="0.4">
      <c r="A693" s="2" t="str">
        <f>IFERROR(TRIM(Raw_Data!A693), "Review")</f>
        <v>EMP1691</v>
      </c>
      <c r="B693" s="2" t="str">
        <f>IFERROR(TRIM(Raw_Data!B693), "Review")</f>
        <v>David</v>
      </c>
      <c r="C693" s="2" t="str">
        <f>IFERROR(TRIM(Raw_Data!C693), "Review")</f>
        <v>Miller</v>
      </c>
      <c r="D693" s="2">
        <f>IF(Raw_Data!D693="", "", IFERROR(VALUE(Raw_Data!D693), ""))</f>
        <v>25</v>
      </c>
      <c r="E693" s="2" t="str">
        <f>IFERROR(LEFT(Raw_Data!E693,SEARCH("-",Raw_Data!E693)-1),"Review")</f>
        <v>Admin</v>
      </c>
      <c r="F693" s="2" t="str">
        <f>IFERROR(_xlfn.TEXTAFTER(Raw_Data!E693,"-"),"Review")</f>
        <v>Nevada</v>
      </c>
      <c r="G693" s="2" t="str">
        <f>IFERROR(TRIM(Raw_Data!F693), "Review")</f>
        <v>Inactive</v>
      </c>
      <c r="H693" s="3" t="str">
        <f>IFERROR(TEXT(Raw_Data!G693, "YYYY-MM-DD"),"Review")</f>
        <v>2021-10-26</v>
      </c>
      <c r="I693" s="4">
        <f>IF(Raw_Data!H693="", "", IFERROR(VALUE(Raw_Data!H693), ""))</f>
        <v>51054.74</v>
      </c>
      <c r="J693" s="2" t="str">
        <f>IF(Raw_Data!I693="", "", IF(ISNUMBER(FIND("@", Raw_Data!I693)), Raw_Data!I693, "Review"))</f>
        <v>david.miller@example.com</v>
      </c>
      <c r="K693" s="5" t="str">
        <f>IFERROR(TEXT(ABS(Raw_Data!J693), "0"), "Review")</f>
        <v>3991062271</v>
      </c>
      <c r="L693" s="2" t="str">
        <f>IFERROR(TRIM(Raw_Data!K693), "Review")</f>
        <v>Excellent</v>
      </c>
      <c r="M693" s="2" t="b">
        <f>IF(Raw_Data!L693="", "",
    IF(ISLOGICAL(Raw_Data!L693), Raw_Data!L693,
        IF(OR(UPPER(Raw_Data!L693)="TRUE", UPPER(Raw_Data!L693)="YES", UPPER(Raw_Data!L693)="1"), TRUE,
            IF(OR(UPPER(Raw_Data!L693)="FALSE", UPPER(Raw_Data!L693)="NO", UPPER(Raw_Data!L693)="0"), FALSE, "Review")
        )
    )
)</f>
        <v>0</v>
      </c>
    </row>
    <row r="694" spans="1:13" x14ac:dyDescent="0.4">
      <c r="A694" s="2" t="str">
        <f>IFERROR(TRIM(Raw_Data!A694), "Review")</f>
        <v>EMP1692</v>
      </c>
      <c r="B694" s="2" t="str">
        <f>IFERROR(TRIM(Raw_Data!B694), "Review")</f>
        <v>Bob</v>
      </c>
      <c r="C694" s="2" t="str">
        <f>IFERROR(TRIM(Raw_Data!C694), "Review")</f>
        <v>Jones</v>
      </c>
      <c r="D694" s="2">
        <f>IF(Raw_Data!D694="", "", IFERROR(VALUE(Raw_Data!D694), ""))</f>
        <v>40</v>
      </c>
      <c r="E694" s="2" t="str">
        <f>IFERROR(LEFT(Raw_Data!E694,SEARCH("-",Raw_Data!E694)-1),"Review")</f>
        <v>Admin</v>
      </c>
      <c r="F694" s="2" t="str">
        <f>IFERROR(_xlfn.TEXTAFTER(Raw_Data!E694,"-"),"Review")</f>
        <v>Texas</v>
      </c>
      <c r="G694" s="2" t="str">
        <f>IFERROR(TRIM(Raw_Data!F694), "Review")</f>
        <v>Active</v>
      </c>
      <c r="H694" s="3" t="str">
        <f>IFERROR(TEXT(Raw_Data!G694, "YYYY-MM-DD"),"Review")</f>
        <v>2023-04-05</v>
      </c>
      <c r="I694" s="4">
        <f>IF(Raw_Data!H694="", "", IFERROR(VALUE(Raw_Data!H694), ""))</f>
        <v>104843.27</v>
      </c>
      <c r="J694" s="2" t="str">
        <f>IF(Raw_Data!I694="", "", IF(ISNUMBER(FIND("@", Raw_Data!I694)), Raw_Data!I694, "Review"))</f>
        <v>bob.jones@example.com</v>
      </c>
      <c r="K694" s="5" t="str">
        <f>IFERROR(TEXT(ABS(Raw_Data!J694), "0"), "Review")</f>
        <v>3626693350</v>
      </c>
      <c r="L694" s="2" t="str">
        <f>IFERROR(TRIM(Raw_Data!K694), "Review")</f>
        <v>Excellent</v>
      </c>
      <c r="M694" s="2" t="b">
        <f>IF(Raw_Data!L694="", "",
    IF(ISLOGICAL(Raw_Data!L694), Raw_Data!L694,
        IF(OR(UPPER(Raw_Data!L694)="TRUE", UPPER(Raw_Data!L694)="YES", UPPER(Raw_Data!L694)="1"), TRUE,
            IF(OR(UPPER(Raw_Data!L694)="FALSE", UPPER(Raw_Data!L694)="NO", UPPER(Raw_Data!L694)="0"), FALSE, "Review")
        )
    )
)</f>
        <v>0</v>
      </c>
    </row>
    <row r="695" spans="1:13" x14ac:dyDescent="0.4">
      <c r="A695" s="2" t="str">
        <f>IFERROR(TRIM(Raw_Data!A695), "Review")</f>
        <v>EMP1693</v>
      </c>
      <c r="B695" s="2" t="str">
        <f>IFERROR(TRIM(Raw_Data!B695), "Review")</f>
        <v>Charlie</v>
      </c>
      <c r="C695" s="2" t="str">
        <f>IFERROR(TRIM(Raw_Data!C695), "Review")</f>
        <v>Brown</v>
      </c>
      <c r="D695" s="2">
        <f>IF(Raw_Data!D695="", "", IFERROR(VALUE(Raw_Data!D695), ""))</f>
        <v>35</v>
      </c>
      <c r="E695" s="2" t="str">
        <f>IFERROR(LEFT(Raw_Data!E695,SEARCH("-",Raw_Data!E695)-1),"Review")</f>
        <v>Cloud Tech</v>
      </c>
      <c r="F695" s="2" t="str">
        <f>IFERROR(_xlfn.TEXTAFTER(Raw_Data!E695,"-"),"Review")</f>
        <v>New York</v>
      </c>
      <c r="G695" s="2" t="str">
        <f>IFERROR(TRIM(Raw_Data!F695), "Review")</f>
        <v>Active</v>
      </c>
      <c r="H695" s="3" t="str">
        <f>IFERROR(TEXT(Raw_Data!G695, "YYYY-MM-DD"),"Review")</f>
        <v>2022-10-20</v>
      </c>
      <c r="I695" s="4">
        <f>IF(Raw_Data!H695="", "", IFERROR(VALUE(Raw_Data!H695), ""))</f>
        <v>56398.11</v>
      </c>
      <c r="J695" s="2" t="str">
        <f>IF(Raw_Data!I695="", "", IF(ISNUMBER(FIND("@", Raw_Data!I695)), Raw_Data!I695, "Review"))</f>
        <v>charlie.brown@example.com</v>
      </c>
      <c r="K695" s="5" t="str">
        <f>IFERROR(TEXT(ABS(Raw_Data!J695), "0"), "Review")</f>
        <v>3426192371</v>
      </c>
      <c r="L695" s="2" t="str">
        <f>IFERROR(TRIM(Raw_Data!K695), "Review")</f>
        <v>Excellent</v>
      </c>
      <c r="M695" s="2" t="b">
        <f>IF(Raw_Data!L695="", "",
    IF(ISLOGICAL(Raw_Data!L695), Raw_Data!L695,
        IF(OR(UPPER(Raw_Data!L695)="TRUE", UPPER(Raw_Data!L695)="YES", UPPER(Raw_Data!L695)="1"), TRUE,
            IF(OR(UPPER(Raw_Data!L695)="FALSE", UPPER(Raw_Data!L695)="NO", UPPER(Raw_Data!L695)="0"), FALSE, "Review")
        )
    )
)</f>
        <v>0</v>
      </c>
    </row>
    <row r="696" spans="1:13" x14ac:dyDescent="0.4">
      <c r="A696" s="2" t="str">
        <f>IFERROR(TRIM(Raw_Data!A696), "Review")</f>
        <v>EMP1694</v>
      </c>
      <c r="B696" s="2" t="str">
        <f>IFERROR(TRIM(Raw_Data!B696), "Review")</f>
        <v>Alice</v>
      </c>
      <c r="C696" s="2" t="str">
        <f>IFERROR(TRIM(Raw_Data!C696), "Review")</f>
        <v>Johnson</v>
      </c>
      <c r="D696" s="2">
        <f>IF(Raw_Data!D696="", "", IFERROR(VALUE(Raw_Data!D696), ""))</f>
        <v>25</v>
      </c>
      <c r="E696" s="2" t="str">
        <f>IFERROR(LEFT(Raw_Data!E696,SEARCH("-",Raw_Data!E696)-1),"Review")</f>
        <v>HR</v>
      </c>
      <c r="F696" s="2" t="str">
        <f>IFERROR(_xlfn.TEXTAFTER(Raw_Data!E696,"-"),"Review")</f>
        <v>Nevada</v>
      </c>
      <c r="G696" s="2" t="str">
        <f>IFERROR(TRIM(Raw_Data!F696), "Review")</f>
        <v>Active</v>
      </c>
      <c r="H696" s="3" t="str">
        <f>IFERROR(TEXT(Raw_Data!G696, "YYYY-MM-DD"),"Review")</f>
        <v>2023-12-07</v>
      </c>
      <c r="I696" s="4">
        <f>IF(Raw_Data!H696="", "", IFERROR(VALUE(Raw_Data!H696), ""))</f>
        <v>87544.73</v>
      </c>
      <c r="J696" s="2" t="str">
        <f>IF(Raw_Data!I696="", "", IF(ISNUMBER(FIND("@", Raw_Data!I696)), Raw_Data!I696, "Review"))</f>
        <v>alice.johnson@example.com</v>
      </c>
      <c r="K696" s="5" t="str">
        <f>IFERROR(TEXT(ABS(Raw_Data!J696), "0"), "Review")</f>
        <v>4501848196</v>
      </c>
      <c r="L696" s="2" t="str">
        <f>IFERROR(TRIM(Raw_Data!K696), "Review")</f>
        <v>Good</v>
      </c>
      <c r="M696" s="2" t="b">
        <f>IF(Raw_Data!L696="", "",
    IF(ISLOGICAL(Raw_Data!L696), Raw_Data!L696,
        IF(OR(UPPER(Raw_Data!L696)="TRUE", UPPER(Raw_Data!L696)="YES", UPPER(Raw_Data!L696)="1"), TRUE,
            IF(OR(UPPER(Raw_Data!L696)="FALSE", UPPER(Raw_Data!L696)="NO", UPPER(Raw_Data!L696)="0"), FALSE, "Review")
        )
    )
)</f>
        <v>0</v>
      </c>
    </row>
    <row r="697" spans="1:13" x14ac:dyDescent="0.4">
      <c r="A697" s="2" t="str">
        <f>IFERROR(TRIM(Raw_Data!A697), "Review")</f>
        <v>EMP1695</v>
      </c>
      <c r="B697" s="2" t="str">
        <f>IFERROR(TRIM(Raw_Data!B697), "Review")</f>
        <v>Heidi</v>
      </c>
      <c r="C697" s="2" t="str">
        <f>IFERROR(TRIM(Raw_Data!C697), "Review")</f>
        <v>Brown</v>
      </c>
      <c r="D697" s="2">
        <f>IF(Raw_Data!D697="", "", IFERROR(VALUE(Raw_Data!D697), ""))</f>
        <v>30</v>
      </c>
      <c r="E697" s="2" t="str">
        <f>IFERROR(LEFT(Raw_Data!E697,SEARCH("-",Raw_Data!E697)-1),"Review")</f>
        <v>HR</v>
      </c>
      <c r="F697" s="2" t="str">
        <f>IFERROR(_xlfn.TEXTAFTER(Raw_Data!E697,"-"),"Review")</f>
        <v>Illinois</v>
      </c>
      <c r="G697" s="2" t="str">
        <f>IFERROR(TRIM(Raw_Data!F697), "Review")</f>
        <v>Pending</v>
      </c>
      <c r="H697" s="3" t="str">
        <f>IFERROR(TEXT(Raw_Data!G697, "YYYY-MM-DD"),"Review")</f>
        <v>2024-03-29</v>
      </c>
      <c r="I697" s="4">
        <f>IF(Raw_Data!H697="", "", IFERROR(VALUE(Raw_Data!H697), ""))</f>
        <v>74312.240000000005</v>
      </c>
      <c r="J697" s="2" t="str">
        <f>IF(Raw_Data!I697="", "", IF(ISNUMBER(FIND("@", Raw_Data!I697)), Raw_Data!I697, "Review"))</f>
        <v>heidi.brown@example.com</v>
      </c>
      <c r="K697" s="5" t="str">
        <f>IFERROR(TEXT(ABS(Raw_Data!J697), "0"), "Review")</f>
        <v>3741897214</v>
      </c>
      <c r="L697" s="2" t="str">
        <f>IFERROR(TRIM(Raw_Data!K697), "Review")</f>
        <v>Poor</v>
      </c>
      <c r="M697" s="2" t="b">
        <f>IF(Raw_Data!L697="", "",
    IF(ISLOGICAL(Raw_Data!L697), Raw_Data!L697,
        IF(OR(UPPER(Raw_Data!L697)="TRUE", UPPER(Raw_Data!L697)="YES", UPPER(Raw_Data!L697)="1"), TRUE,
            IF(OR(UPPER(Raw_Data!L697)="FALSE", UPPER(Raw_Data!L697)="NO", UPPER(Raw_Data!L697)="0"), FALSE, "Review")
        )
    )
)</f>
        <v>0</v>
      </c>
    </row>
    <row r="698" spans="1:13" x14ac:dyDescent="0.4">
      <c r="A698" s="2" t="str">
        <f>IFERROR(TRIM(Raw_Data!A698), "Review")</f>
        <v>EMP1696</v>
      </c>
      <c r="B698" s="2" t="str">
        <f>IFERROR(TRIM(Raw_Data!B698), "Review")</f>
        <v>David</v>
      </c>
      <c r="C698" s="2" t="str">
        <f>IFERROR(TRIM(Raw_Data!C698), "Review")</f>
        <v>Davis</v>
      </c>
      <c r="D698" s="2">
        <f>IF(Raw_Data!D698="", "", IFERROR(VALUE(Raw_Data!D698), ""))</f>
        <v>25</v>
      </c>
      <c r="E698" s="2" t="str">
        <f>IFERROR(LEFT(Raw_Data!E698,SEARCH("-",Raw_Data!E698)-1),"Review")</f>
        <v>DevOps</v>
      </c>
      <c r="F698" s="2" t="str">
        <f>IFERROR(_xlfn.TEXTAFTER(Raw_Data!E698,"-"),"Review")</f>
        <v>Florida</v>
      </c>
      <c r="G698" s="2" t="str">
        <f>IFERROR(TRIM(Raw_Data!F698), "Review")</f>
        <v>Inactive</v>
      </c>
      <c r="H698" s="3" t="str">
        <f>IFERROR(TEXT(Raw_Data!G698, "YYYY-MM-DD"),"Review")</f>
        <v>2024-01-23</v>
      </c>
      <c r="I698" s="4">
        <f>IF(Raw_Data!H698="", "", IFERROR(VALUE(Raw_Data!H698), ""))</f>
        <v>59431.25</v>
      </c>
      <c r="J698" s="2" t="str">
        <f>IF(Raw_Data!I698="", "", IF(ISNUMBER(FIND("@", Raw_Data!I698)), Raw_Data!I698, "Review"))</f>
        <v>david.davis@example.com</v>
      </c>
      <c r="K698" s="5" t="str">
        <f>IFERROR(TEXT(ABS(Raw_Data!J698), "0"), "Review")</f>
        <v>4064176926</v>
      </c>
      <c r="L698" s="2" t="str">
        <f>IFERROR(TRIM(Raw_Data!K698), "Review")</f>
        <v>Poor</v>
      </c>
      <c r="M698" s="2" t="b">
        <f>IF(Raw_Data!L698="", "",
    IF(ISLOGICAL(Raw_Data!L698), Raw_Data!L698,
        IF(OR(UPPER(Raw_Data!L698)="TRUE", UPPER(Raw_Data!L698)="YES", UPPER(Raw_Data!L698)="1"), TRUE,
            IF(OR(UPPER(Raw_Data!L698)="FALSE", UPPER(Raw_Data!L698)="NO", UPPER(Raw_Data!L698)="0"), FALSE, "Review")
        )
    )
)</f>
        <v>1</v>
      </c>
    </row>
    <row r="699" spans="1:13" x14ac:dyDescent="0.4">
      <c r="A699" s="2" t="str">
        <f>IFERROR(TRIM(Raw_Data!A699), "Review")</f>
        <v>EMP1697</v>
      </c>
      <c r="B699" s="2" t="str">
        <f>IFERROR(TRIM(Raw_Data!B699), "Review")</f>
        <v>Heidi</v>
      </c>
      <c r="C699" s="2" t="str">
        <f>IFERROR(TRIM(Raw_Data!C699), "Review")</f>
        <v>Johnson</v>
      </c>
      <c r="D699" s="2">
        <f>IF(Raw_Data!D699="", "", IFERROR(VALUE(Raw_Data!D699), ""))</f>
        <v>40</v>
      </c>
      <c r="E699" s="2" t="str">
        <f>IFERROR(LEFT(Raw_Data!E699,SEARCH("-",Raw_Data!E699)-1),"Review")</f>
        <v>Sales</v>
      </c>
      <c r="F699" s="2" t="str">
        <f>IFERROR(_xlfn.TEXTAFTER(Raw_Data!E699,"-"),"Review")</f>
        <v>California</v>
      </c>
      <c r="G699" s="2" t="str">
        <f>IFERROR(TRIM(Raw_Data!F699), "Review")</f>
        <v>Pending</v>
      </c>
      <c r="H699" s="3" t="str">
        <f>IFERROR(TEXT(Raw_Data!G699, "YYYY-MM-DD"),"Review")</f>
        <v>2023-11-28</v>
      </c>
      <c r="I699" s="4">
        <f>IF(Raw_Data!H699="", "", IFERROR(VALUE(Raw_Data!H699), ""))</f>
        <v>84306.44</v>
      </c>
      <c r="J699" s="2" t="str">
        <f>IF(Raw_Data!I699="", "", IF(ISNUMBER(FIND("@", Raw_Data!I699)), Raw_Data!I699, "Review"))</f>
        <v>heidi.johnson@example.com</v>
      </c>
      <c r="K699" s="5" t="str">
        <f>IFERROR(TEXT(ABS(Raw_Data!J699), "0"), "Review")</f>
        <v>4381199536</v>
      </c>
      <c r="L699" s="2" t="str">
        <f>IFERROR(TRIM(Raw_Data!K699), "Review")</f>
        <v>Average</v>
      </c>
      <c r="M699" s="2" t="b">
        <f>IF(Raw_Data!L699="", "",
    IF(ISLOGICAL(Raw_Data!L699), Raw_Data!L699,
        IF(OR(UPPER(Raw_Data!L699)="TRUE", UPPER(Raw_Data!L699)="YES", UPPER(Raw_Data!L699)="1"), TRUE,
            IF(OR(UPPER(Raw_Data!L699)="FALSE", UPPER(Raw_Data!L699)="NO", UPPER(Raw_Data!L699)="0"), FALSE, "Review")
        )
    )
)</f>
        <v>0</v>
      </c>
    </row>
    <row r="700" spans="1:13" x14ac:dyDescent="0.4">
      <c r="A700" s="2" t="str">
        <f>IFERROR(TRIM(Raw_Data!A700), "Review")</f>
        <v>EMP1698</v>
      </c>
      <c r="B700" s="2" t="str">
        <f>IFERROR(TRIM(Raw_Data!B700), "Review")</f>
        <v>Frank</v>
      </c>
      <c r="C700" s="2" t="str">
        <f>IFERROR(TRIM(Raw_Data!C700), "Review")</f>
        <v>Johnson</v>
      </c>
      <c r="D700" s="2">
        <f>IF(Raw_Data!D700="", "", IFERROR(VALUE(Raw_Data!D700), ""))</f>
        <v>35</v>
      </c>
      <c r="E700" s="2" t="str">
        <f>IFERROR(LEFT(Raw_Data!E700,SEARCH("-",Raw_Data!E700)-1),"Review")</f>
        <v>DevOps</v>
      </c>
      <c r="F700" s="2" t="str">
        <f>IFERROR(_xlfn.TEXTAFTER(Raw_Data!E700,"-"),"Review")</f>
        <v>Florida</v>
      </c>
      <c r="G700" s="2" t="str">
        <f>IFERROR(TRIM(Raw_Data!F700), "Review")</f>
        <v>Inactive</v>
      </c>
      <c r="H700" s="3" t="str">
        <f>IFERROR(TEXT(Raw_Data!G700, "YYYY-MM-DD"),"Review")</f>
        <v>2024-11-11</v>
      </c>
      <c r="I700" s="4">
        <f>IF(Raw_Data!H700="", "", IFERROR(VALUE(Raw_Data!H700), ""))</f>
        <v>108194.47</v>
      </c>
      <c r="J700" s="2" t="str">
        <f>IF(Raw_Data!I700="", "", IF(ISNUMBER(FIND("@", Raw_Data!I700)), Raw_Data!I700, "Review"))</f>
        <v>frank.johnson@example.com</v>
      </c>
      <c r="K700" s="5" t="str">
        <f>IFERROR(TEXT(ABS(Raw_Data!J700), "0"), "Review")</f>
        <v>6601444855</v>
      </c>
      <c r="L700" s="2" t="str">
        <f>IFERROR(TRIM(Raw_Data!K700), "Review")</f>
        <v>Good</v>
      </c>
      <c r="M700" s="2" t="b">
        <f>IF(Raw_Data!L700="", "",
    IF(ISLOGICAL(Raw_Data!L700), Raw_Data!L700,
        IF(OR(UPPER(Raw_Data!L700)="TRUE", UPPER(Raw_Data!L700)="YES", UPPER(Raw_Data!L700)="1"), TRUE,
            IF(OR(UPPER(Raw_Data!L700)="FALSE", UPPER(Raw_Data!L700)="NO", UPPER(Raw_Data!L700)="0"), FALSE, "Review")
        )
    )
)</f>
        <v>0</v>
      </c>
    </row>
    <row r="701" spans="1:13" x14ac:dyDescent="0.4">
      <c r="A701" s="2" t="str">
        <f>IFERROR(TRIM(Raw_Data!A701), "Review")</f>
        <v>EMP1699</v>
      </c>
      <c r="B701" s="2" t="str">
        <f>IFERROR(TRIM(Raw_Data!B701), "Review")</f>
        <v>Charlie</v>
      </c>
      <c r="C701" s="2" t="str">
        <f>IFERROR(TRIM(Raw_Data!C701), "Review")</f>
        <v>Williams</v>
      </c>
      <c r="D701" s="2">
        <f>IF(Raw_Data!D701="", "", IFERROR(VALUE(Raw_Data!D701), ""))</f>
        <v>25</v>
      </c>
      <c r="E701" s="2" t="str">
        <f>IFERROR(LEFT(Raw_Data!E701,SEARCH("-",Raw_Data!E701)-1),"Review")</f>
        <v>Sales</v>
      </c>
      <c r="F701" s="2" t="str">
        <f>IFERROR(_xlfn.TEXTAFTER(Raw_Data!E701,"-"),"Review")</f>
        <v>New York</v>
      </c>
      <c r="G701" s="2" t="str">
        <f>IFERROR(TRIM(Raw_Data!F701), "Review")</f>
        <v>Inactive</v>
      </c>
      <c r="H701" s="3" t="str">
        <f>IFERROR(TEXT(Raw_Data!G701, "YYYY-MM-DD"),"Review")</f>
        <v>2021-08-28</v>
      </c>
      <c r="I701" s="4">
        <f>IF(Raw_Data!H701="", "", IFERROR(VALUE(Raw_Data!H701), ""))</f>
        <v>107359.3</v>
      </c>
      <c r="J701" s="2" t="str">
        <f>IF(Raw_Data!I701="", "", IF(ISNUMBER(FIND("@", Raw_Data!I701)), Raw_Data!I701, "Review"))</f>
        <v>charlie.williams@example.com</v>
      </c>
      <c r="K701" s="5" t="str">
        <f>IFERROR(TEXT(ABS(Raw_Data!J701), "0"), "Review")</f>
        <v>4510173972</v>
      </c>
      <c r="L701" s="2" t="str">
        <f>IFERROR(TRIM(Raw_Data!K701), "Review")</f>
        <v>Excellent</v>
      </c>
      <c r="M701" s="2" t="b">
        <f>IF(Raw_Data!L701="", "",
    IF(ISLOGICAL(Raw_Data!L701), Raw_Data!L701,
        IF(OR(UPPER(Raw_Data!L701)="TRUE", UPPER(Raw_Data!L701)="YES", UPPER(Raw_Data!L701)="1"), TRUE,
            IF(OR(UPPER(Raw_Data!L701)="FALSE", UPPER(Raw_Data!L701)="NO", UPPER(Raw_Data!L701)="0"), FALSE, "Review")
        )
    )
)</f>
        <v>0</v>
      </c>
    </row>
    <row r="702" spans="1:13" x14ac:dyDescent="0.4">
      <c r="A702" s="2" t="str">
        <f>IFERROR(TRIM(Raw_Data!A702), "Review")</f>
        <v>EMP1700</v>
      </c>
      <c r="B702" s="2" t="str">
        <f>IFERROR(TRIM(Raw_Data!B702), "Review")</f>
        <v>Heidi</v>
      </c>
      <c r="C702" s="2" t="str">
        <f>IFERROR(TRIM(Raw_Data!C702), "Review")</f>
        <v>Johnson</v>
      </c>
      <c r="D702" s="2">
        <f>IF(Raw_Data!D702="", "", IFERROR(VALUE(Raw_Data!D702), ""))</f>
        <v>25</v>
      </c>
      <c r="E702" s="2" t="str">
        <f>IFERROR(LEFT(Raw_Data!E702,SEARCH("-",Raw_Data!E702)-1),"Review")</f>
        <v>DevOps</v>
      </c>
      <c r="F702" s="2" t="str">
        <f>IFERROR(_xlfn.TEXTAFTER(Raw_Data!E702,"-"),"Review")</f>
        <v>Illinois</v>
      </c>
      <c r="G702" s="2" t="str">
        <f>IFERROR(TRIM(Raw_Data!F702), "Review")</f>
        <v>Inactive</v>
      </c>
      <c r="H702" s="3" t="str">
        <f>IFERROR(TEXT(Raw_Data!G702, "YYYY-MM-DD"),"Review")</f>
        <v>2024-02-11</v>
      </c>
      <c r="I702" s="4" t="str">
        <f>IF(Raw_Data!H702="", "", IFERROR(VALUE(Raw_Data!H702), ""))</f>
        <v/>
      </c>
      <c r="J702" s="2" t="str">
        <f>IF(Raw_Data!I702="", "", IF(ISNUMBER(FIND("@", Raw_Data!I702)), Raw_Data!I702, "Review"))</f>
        <v>heidi.johnson@example.com</v>
      </c>
      <c r="K702" s="5" t="str">
        <f>IFERROR(TEXT(ABS(Raw_Data!J702), "0"), "Review")</f>
        <v>9641789968</v>
      </c>
      <c r="L702" s="2" t="str">
        <f>IFERROR(TRIM(Raw_Data!K702), "Review")</f>
        <v>Good</v>
      </c>
      <c r="M702" s="2" t="b">
        <f>IF(Raw_Data!L702="", "",
    IF(ISLOGICAL(Raw_Data!L702), Raw_Data!L702,
        IF(OR(UPPER(Raw_Data!L702)="TRUE", UPPER(Raw_Data!L702)="YES", UPPER(Raw_Data!L702)="1"), TRUE,
            IF(OR(UPPER(Raw_Data!L702)="FALSE", UPPER(Raw_Data!L702)="NO", UPPER(Raw_Data!L702)="0"), FALSE, "Review")
        )
    )
)</f>
        <v>0</v>
      </c>
    </row>
    <row r="703" spans="1:13" x14ac:dyDescent="0.4">
      <c r="A703" s="2" t="str">
        <f>IFERROR(TRIM(Raw_Data!A703), "Review")</f>
        <v>EMP1701</v>
      </c>
      <c r="B703" s="2" t="str">
        <f>IFERROR(TRIM(Raw_Data!B703), "Review")</f>
        <v>Frank</v>
      </c>
      <c r="C703" s="2" t="str">
        <f>IFERROR(TRIM(Raw_Data!C703), "Review")</f>
        <v>Garcia</v>
      </c>
      <c r="D703" s="2" t="str">
        <f>IF(Raw_Data!D703="", "", IFERROR(VALUE(Raw_Data!D703), ""))</f>
        <v/>
      </c>
      <c r="E703" s="2" t="str">
        <f>IFERROR(LEFT(Raw_Data!E703,SEARCH("-",Raw_Data!E703)-1),"Review")</f>
        <v>Admin</v>
      </c>
      <c r="F703" s="2" t="str">
        <f>IFERROR(_xlfn.TEXTAFTER(Raw_Data!E703,"-"),"Review")</f>
        <v>California</v>
      </c>
      <c r="G703" s="2" t="str">
        <f>IFERROR(TRIM(Raw_Data!F703), "Review")</f>
        <v>Pending</v>
      </c>
      <c r="H703" s="3" t="str">
        <f>IFERROR(TEXT(Raw_Data!G703, "YYYY-MM-DD"),"Review")</f>
        <v>2020-05-09</v>
      </c>
      <c r="I703" s="4">
        <f>IF(Raw_Data!H703="", "", IFERROR(VALUE(Raw_Data!H703), ""))</f>
        <v>96080.26</v>
      </c>
      <c r="J703" s="2" t="str">
        <f>IF(Raw_Data!I703="", "", IF(ISNUMBER(FIND("@", Raw_Data!I703)), Raw_Data!I703, "Review"))</f>
        <v>frank.garcia@example.com</v>
      </c>
      <c r="K703" s="5" t="str">
        <f>IFERROR(TEXT(ABS(Raw_Data!J703), "0"), "Review")</f>
        <v>8609191910</v>
      </c>
      <c r="L703" s="2" t="str">
        <f>IFERROR(TRIM(Raw_Data!K703), "Review")</f>
        <v>Average</v>
      </c>
      <c r="M703" s="2" t="b">
        <f>IF(Raw_Data!L703="", "",
    IF(ISLOGICAL(Raw_Data!L703), Raw_Data!L703,
        IF(OR(UPPER(Raw_Data!L703)="TRUE", UPPER(Raw_Data!L703)="YES", UPPER(Raw_Data!L703)="1"), TRUE,
            IF(OR(UPPER(Raw_Data!L703)="FALSE", UPPER(Raw_Data!L703)="NO", UPPER(Raw_Data!L703)="0"), FALSE, "Review")
        )
    )
)</f>
        <v>0</v>
      </c>
    </row>
    <row r="704" spans="1:13" x14ac:dyDescent="0.4">
      <c r="A704" s="2" t="str">
        <f>IFERROR(TRIM(Raw_Data!A704), "Review")</f>
        <v>EMP1702</v>
      </c>
      <c r="B704" s="2" t="str">
        <f>IFERROR(TRIM(Raw_Data!B704), "Review")</f>
        <v>Grace</v>
      </c>
      <c r="C704" s="2" t="str">
        <f>IFERROR(TRIM(Raw_Data!C704), "Review")</f>
        <v>Smith</v>
      </c>
      <c r="D704" s="2">
        <f>IF(Raw_Data!D704="", "", IFERROR(VALUE(Raw_Data!D704), ""))</f>
        <v>30</v>
      </c>
      <c r="E704" s="2" t="str">
        <f>IFERROR(LEFT(Raw_Data!E704,SEARCH("-",Raw_Data!E704)-1),"Review")</f>
        <v>Sales</v>
      </c>
      <c r="F704" s="2" t="str">
        <f>IFERROR(_xlfn.TEXTAFTER(Raw_Data!E704,"-"),"Review")</f>
        <v>Nevada</v>
      </c>
      <c r="G704" s="2" t="str">
        <f>IFERROR(TRIM(Raw_Data!F704), "Review")</f>
        <v>Inactive</v>
      </c>
      <c r="H704" s="3" t="str">
        <f>IFERROR(TEXT(Raw_Data!G704, "YYYY-MM-DD"),"Review")</f>
        <v>2024-04-17</v>
      </c>
      <c r="I704" s="4">
        <f>IF(Raw_Data!H704="", "", IFERROR(VALUE(Raw_Data!H704), ""))</f>
        <v>88602.75</v>
      </c>
      <c r="J704" s="2" t="str">
        <f>IF(Raw_Data!I704="", "", IF(ISNUMBER(FIND("@", Raw_Data!I704)), Raw_Data!I704, "Review"))</f>
        <v>grace.smith@example.com</v>
      </c>
      <c r="K704" s="5" t="str">
        <f>IFERROR(TEXT(ABS(Raw_Data!J704), "0"), "Review")</f>
        <v>3599660576</v>
      </c>
      <c r="L704" s="2" t="str">
        <f>IFERROR(TRIM(Raw_Data!K704), "Review")</f>
        <v>Average</v>
      </c>
      <c r="M704" s="2" t="b">
        <f>IF(Raw_Data!L704="", "",
    IF(ISLOGICAL(Raw_Data!L704), Raw_Data!L704,
        IF(OR(UPPER(Raw_Data!L704)="TRUE", UPPER(Raw_Data!L704)="YES", UPPER(Raw_Data!L704)="1"), TRUE,
            IF(OR(UPPER(Raw_Data!L704)="FALSE", UPPER(Raw_Data!L704)="NO", UPPER(Raw_Data!L704)="0"), FALSE, "Review")
        )
    )
)</f>
        <v>1</v>
      </c>
    </row>
    <row r="705" spans="1:13" x14ac:dyDescent="0.4">
      <c r="A705" s="2" t="str">
        <f>IFERROR(TRIM(Raw_Data!A705), "Review")</f>
        <v>EMP1703</v>
      </c>
      <c r="B705" s="2" t="str">
        <f>IFERROR(TRIM(Raw_Data!B705), "Review")</f>
        <v>Frank</v>
      </c>
      <c r="C705" s="2" t="str">
        <f>IFERROR(TRIM(Raw_Data!C705), "Review")</f>
        <v>Garcia</v>
      </c>
      <c r="D705" s="2">
        <f>IF(Raw_Data!D705="", "", IFERROR(VALUE(Raw_Data!D705), ""))</f>
        <v>40</v>
      </c>
      <c r="E705" s="2" t="str">
        <f>IFERROR(LEFT(Raw_Data!E705,SEARCH("-",Raw_Data!E705)-1),"Review")</f>
        <v>DevOps</v>
      </c>
      <c r="F705" s="2" t="str">
        <f>IFERROR(_xlfn.TEXTAFTER(Raw_Data!E705,"-"),"Review")</f>
        <v>California</v>
      </c>
      <c r="G705" s="2" t="str">
        <f>IFERROR(TRIM(Raw_Data!F705), "Review")</f>
        <v>Active</v>
      </c>
      <c r="H705" s="3" t="str">
        <f>IFERROR(TEXT(Raw_Data!G705, "YYYY-MM-DD"),"Review")</f>
        <v>2020-07-16</v>
      </c>
      <c r="I705" s="4">
        <f>IF(Raw_Data!H705="", "", IFERROR(VALUE(Raw_Data!H705), ""))</f>
        <v>86624.04</v>
      </c>
      <c r="J705" s="2" t="str">
        <f>IF(Raw_Data!I705="", "", IF(ISNUMBER(FIND("@", Raw_Data!I705)), Raw_Data!I705, "Review"))</f>
        <v>frank.garcia@example.com</v>
      </c>
      <c r="K705" s="5" t="str">
        <f>IFERROR(TEXT(ABS(Raw_Data!J705), "0"), "Review")</f>
        <v>9806603919</v>
      </c>
      <c r="L705" s="2" t="str">
        <f>IFERROR(TRIM(Raw_Data!K705), "Review")</f>
        <v>Good</v>
      </c>
      <c r="M705" s="2" t="b">
        <f>IF(Raw_Data!L705="", "",
    IF(ISLOGICAL(Raw_Data!L705), Raw_Data!L705,
        IF(OR(UPPER(Raw_Data!L705)="TRUE", UPPER(Raw_Data!L705)="YES", UPPER(Raw_Data!L705)="1"), TRUE,
            IF(OR(UPPER(Raw_Data!L705)="FALSE", UPPER(Raw_Data!L705)="NO", UPPER(Raw_Data!L705)="0"), FALSE, "Review")
        )
    )
)</f>
        <v>1</v>
      </c>
    </row>
    <row r="706" spans="1:13" x14ac:dyDescent="0.4">
      <c r="A706" s="2" t="str">
        <f>IFERROR(TRIM(Raw_Data!A706), "Review")</f>
        <v>EMP1704</v>
      </c>
      <c r="B706" s="2" t="str">
        <f>IFERROR(TRIM(Raw_Data!B706), "Review")</f>
        <v>Charlie</v>
      </c>
      <c r="C706" s="2" t="str">
        <f>IFERROR(TRIM(Raw_Data!C706), "Review")</f>
        <v>Jones</v>
      </c>
      <c r="D706" s="2">
        <f>IF(Raw_Data!D706="", "", IFERROR(VALUE(Raw_Data!D706), ""))</f>
        <v>30</v>
      </c>
      <c r="E706" s="2" t="str">
        <f>IFERROR(LEFT(Raw_Data!E706,SEARCH("-",Raw_Data!E706)-1),"Review")</f>
        <v>Cloud Tech</v>
      </c>
      <c r="F706" s="2" t="str">
        <f>IFERROR(_xlfn.TEXTAFTER(Raw_Data!E706,"-"),"Review")</f>
        <v>New York</v>
      </c>
      <c r="G706" s="2" t="str">
        <f>IFERROR(TRIM(Raw_Data!F706), "Review")</f>
        <v>Active</v>
      </c>
      <c r="H706" s="3" t="str">
        <f>IFERROR(TEXT(Raw_Data!G706, "YYYY-MM-DD"),"Review")</f>
        <v>2022-09-21</v>
      </c>
      <c r="I706" s="4">
        <f>IF(Raw_Data!H706="", "", IFERROR(VALUE(Raw_Data!H706), ""))</f>
        <v>63413.16</v>
      </c>
      <c r="J706" s="2" t="str">
        <f>IF(Raw_Data!I706="", "", IF(ISNUMBER(FIND("@", Raw_Data!I706)), Raw_Data!I706, "Review"))</f>
        <v>charlie.jones@example.com</v>
      </c>
      <c r="K706" s="5" t="str">
        <f>IFERROR(TEXT(ABS(Raw_Data!J706), "0"), "Review")</f>
        <v>5146074554</v>
      </c>
      <c r="L706" s="2" t="str">
        <f>IFERROR(TRIM(Raw_Data!K706), "Review")</f>
        <v>Good</v>
      </c>
      <c r="M706" s="2" t="b">
        <f>IF(Raw_Data!L706="", "",
    IF(ISLOGICAL(Raw_Data!L706), Raw_Data!L706,
        IF(OR(UPPER(Raw_Data!L706)="TRUE", UPPER(Raw_Data!L706)="YES", UPPER(Raw_Data!L706)="1"), TRUE,
            IF(OR(UPPER(Raw_Data!L706)="FALSE", UPPER(Raw_Data!L706)="NO", UPPER(Raw_Data!L706)="0"), FALSE, "Review")
        )
    )
)</f>
        <v>1</v>
      </c>
    </row>
    <row r="707" spans="1:13" x14ac:dyDescent="0.4">
      <c r="A707" s="2" t="str">
        <f>IFERROR(TRIM(Raw_Data!A707), "Review")</f>
        <v>EMP1705</v>
      </c>
      <c r="B707" s="2" t="str">
        <f>IFERROR(TRIM(Raw_Data!B707), "Review")</f>
        <v>Grace</v>
      </c>
      <c r="C707" s="2" t="str">
        <f>IFERROR(TRIM(Raw_Data!C707), "Review")</f>
        <v>Jones</v>
      </c>
      <c r="D707" s="2">
        <f>IF(Raw_Data!D707="", "", IFERROR(VALUE(Raw_Data!D707), ""))</f>
        <v>40</v>
      </c>
      <c r="E707" s="2" t="str">
        <f>IFERROR(LEFT(Raw_Data!E707,SEARCH("-",Raw_Data!E707)-1),"Review")</f>
        <v>Sales</v>
      </c>
      <c r="F707" s="2" t="str">
        <f>IFERROR(_xlfn.TEXTAFTER(Raw_Data!E707,"-"),"Review")</f>
        <v>Illinois</v>
      </c>
      <c r="G707" s="2" t="str">
        <f>IFERROR(TRIM(Raw_Data!F707), "Review")</f>
        <v>Pending</v>
      </c>
      <c r="H707" s="3" t="str">
        <f>IFERROR(TEXT(Raw_Data!G707, "YYYY-MM-DD"),"Review")</f>
        <v>2023-04-23</v>
      </c>
      <c r="I707" s="4">
        <f>IF(Raw_Data!H707="", "", IFERROR(VALUE(Raw_Data!H707), ""))</f>
        <v>67915.7</v>
      </c>
      <c r="J707" s="2" t="str">
        <f>IF(Raw_Data!I707="", "", IF(ISNUMBER(FIND("@", Raw_Data!I707)), Raw_Data!I707, "Review"))</f>
        <v>grace.jones@example.com</v>
      </c>
      <c r="K707" s="5" t="str">
        <f>IFERROR(TEXT(ABS(Raw_Data!J707), "0"), "Review")</f>
        <v>3470574237</v>
      </c>
      <c r="L707" s="2" t="str">
        <f>IFERROR(TRIM(Raw_Data!K707), "Review")</f>
        <v>Good</v>
      </c>
      <c r="M707" s="2" t="b">
        <f>IF(Raw_Data!L707="", "",
    IF(ISLOGICAL(Raw_Data!L707), Raw_Data!L707,
        IF(OR(UPPER(Raw_Data!L707)="TRUE", UPPER(Raw_Data!L707)="YES", UPPER(Raw_Data!L707)="1"), TRUE,
            IF(OR(UPPER(Raw_Data!L707)="FALSE", UPPER(Raw_Data!L707)="NO", UPPER(Raw_Data!L707)="0"), FALSE, "Review")
        )
    )
)</f>
        <v>0</v>
      </c>
    </row>
    <row r="708" spans="1:13" x14ac:dyDescent="0.4">
      <c r="A708" s="2" t="str">
        <f>IFERROR(TRIM(Raw_Data!A708), "Review")</f>
        <v>EMP1706</v>
      </c>
      <c r="B708" s="2" t="str">
        <f>IFERROR(TRIM(Raw_Data!B708), "Review")</f>
        <v>Bob</v>
      </c>
      <c r="C708" s="2" t="str">
        <f>IFERROR(TRIM(Raw_Data!C708), "Review")</f>
        <v>Brown</v>
      </c>
      <c r="D708" s="2">
        <f>IF(Raw_Data!D708="", "", IFERROR(VALUE(Raw_Data!D708), ""))</f>
        <v>25</v>
      </c>
      <c r="E708" s="2" t="str">
        <f>IFERROR(LEFT(Raw_Data!E708,SEARCH("-",Raw_Data!E708)-1),"Review")</f>
        <v>Admin</v>
      </c>
      <c r="F708" s="2" t="str">
        <f>IFERROR(_xlfn.TEXTAFTER(Raw_Data!E708,"-"),"Review")</f>
        <v>Nevada</v>
      </c>
      <c r="G708" s="2" t="str">
        <f>IFERROR(TRIM(Raw_Data!F708), "Review")</f>
        <v>Inactive</v>
      </c>
      <c r="H708" s="3" t="str">
        <f>IFERROR(TEXT(Raw_Data!G708, "YYYY-MM-DD"),"Review")</f>
        <v>2024-12-27</v>
      </c>
      <c r="I708" s="4">
        <f>IF(Raw_Data!H708="", "", IFERROR(VALUE(Raw_Data!H708), ""))</f>
        <v>108245.44</v>
      </c>
      <c r="J708" s="2" t="str">
        <f>IF(Raw_Data!I708="", "", IF(ISNUMBER(FIND("@", Raw_Data!I708)), Raw_Data!I708, "Review"))</f>
        <v>bob.brown@example.com</v>
      </c>
      <c r="K708" s="5" t="str">
        <f>IFERROR(TEXT(ABS(Raw_Data!J708), "0"), "Review")</f>
        <v>8565271558</v>
      </c>
      <c r="L708" s="2" t="str">
        <f>IFERROR(TRIM(Raw_Data!K708), "Review")</f>
        <v>Poor</v>
      </c>
      <c r="M708" s="2" t="b">
        <f>IF(Raw_Data!L708="", "",
    IF(ISLOGICAL(Raw_Data!L708), Raw_Data!L708,
        IF(OR(UPPER(Raw_Data!L708)="TRUE", UPPER(Raw_Data!L708)="YES", UPPER(Raw_Data!L708)="1"), TRUE,
            IF(OR(UPPER(Raw_Data!L708)="FALSE", UPPER(Raw_Data!L708)="NO", UPPER(Raw_Data!L708)="0"), FALSE, "Review")
        )
    )
)</f>
        <v>1</v>
      </c>
    </row>
    <row r="709" spans="1:13" x14ac:dyDescent="0.4">
      <c r="A709" s="2" t="str">
        <f>IFERROR(TRIM(Raw_Data!A709), "Review")</f>
        <v>EMP1707</v>
      </c>
      <c r="B709" s="2" t="str">
        <f>IFERROR(TRIM(Raw_Data!B709), "Review")</f>
        <v>Alice</v>
      </c>
      <c r="C709" s="2" t="str">
        <f>IFERROR(TRIM(Raw_Data!C709), "Review")</f>
        <v>Garcia</v>
      </c>
      <c r="D709" s="2">
        <f>IF(Raw_Data!D709="", "", IFERROR(VALUE(Raw_Data!D709), ""))</f>
        <v>35</v>
      </c>
      <c r="E709" s="2" t="str">
        <f>IFERROR(LEFT(Raw_Data!E709,SEARCH("-",Raw_Data!E709)-1),"Review")</f>
        <v>Sales</v>
      </c>
      <c r="F709" s="2" t="str">
        <f>IFERROR(_xlfn.TEXTAFTER(Raw_Data!E709,"-"),"Review")</f>
        <v>Nevada</v>
      </c>
      <c r="G709" s="2" t="str">
        <f>IFERROR(TRIM(Raw_Data!F709), "Review")</f>
        <v>Inactive</v>
      </c>
      <c r="H709" s="3" t="str">
        <f>IFERROR(TEXT(Raw_Data!G709, "YYYY-MM-DD"),"Review")</f>
        <v>2024-08-10</v>
      </c>
      <c r="I709" s="4">
        <f>IF(Raw_Data!H709="", "", IFERROR(VALUE(Raw_Data!H709), ""))</f>
        <v>75834.81</v>
      </c>
      <c r="J709" s="2" t="str">
        <f>IF(Raw_Data!I709="", "", IF(ISNUMBER(FIND("@", Raw_Data!I709)), Raw_Data!I709, "Review"))</f>
        <v>alice.garcia@example.com</v>
      </c>
      <c r="K709" s="5" t="str">
        <f>IFERROR(TEXT(ABS(Raw_Data!J709), "0"), "Review")</f>
        <v>8354116596</v>
      </c>
      <c r="L709" s="2" t="str">
        <f>IFERROR(TRIM(Raw_Data!K709), "Review")</f>
        <v>Excellent</v>
      </c>
      <c r="M709" s="2" t="b">
        <f>IF(Raw_Data!L709="", "",
    IF(ISLOGICAL(Raw_Data!L709), Raw_Data!L709,
        IF(OR(UPPER(Raw_Data!L709)="TRUE", UPPER(Raw_Data!L709)="YES", UPPER(Raw_Data!L709)="1"), TRUE,
            IF(OR(UPPER(Raw_Data!L709)="FALSE", UPPER(Raw_Data!L709)="NO", UPPER(Raw_Data!L709)="0"), FALSE, "Review")
        )
    )
)</f>
        <v>1</v>
      </c>
    </row>
    <row r="710" spans="1:13" x14ac:dyDescent="0.4">
      <c r="A710" s="2" t="str">
        <f>IFERROR(TRIM(Raw_Data!A710), "Review")</f>
        <v>EMP1708</v>
      </c>
      <c r="B710" s="2" t="str">
        <f>IFERROR(TRIM(Raw_Data!B710), "Review")</f>
        <v>Eva</v>
      </c>
      <c r="C710" s="2" t="str">
        <f>IFERROR(TRIM(Raw_Data!C710), "Review")</f>
        <v>Garcia</v>
      </c>
      <c r="D710" s="2" t="str">
        <f>IF(Raw_Data!D710="", "", IFERROR(VALUE(Raw_Data!D710), ""))</f>
        <v/>
      </c>
      <c r="E710" s="2" t="str">
        <f>IFERROR(LEFT(Raw_Data!E710,SEARCH("-",Raw_Data!E710)-1),"Review")</f>
        <v>Cloud Tech</v>
      </c>
      <c r="F710" s="2" t="str">
        <f>IFERROR(_xlfn.TEXTAFTER(Raw_Data!E710,"-"),"Review")</f>
        <v>Nevada</v>
      </c>
      <c r="G710" s="2" t="str">
        <f>IFERROR(TRIM(Raw_Data!F710), "Review")</f>
        <v>Active</v>
      </c>
      <c r="H710" s="3" t="str">
        <f>IFERROR(TEXT(Raw_Data!G710, "YYYY-MM-DD"),"Review")</f>
        <v>2024-09-04</v>
      </c>
      <c r="I710" s="4">
        <f>IF(Raw_Data!H710="", "", IFERROR(VALUE(Raw_Data!H710), ""))</f>
        <v>71273.320000000007</v>
      </c>
      <c r="J710" s="2" t="str">
        <f>IF(Raw_Data!I710="", "", IF(ISNUMBER(FIND("@", Raw_Data!I710)), Raw_Data!I710, "Review"))</f>
        <v>eva.garcia@example.com</v>
      </c>
      <c r="K710" s="5" t="str">
        <f>IFERROR(TEXT(ABS(Raw_Data!J710), "0"), "Review")</f>
        <v>2634755751</v>
      </c>
      <c r="L710" s="2" t="str">
        <f>IFERROR(TRIM(Raw_Data!K710), "Review")</f>
        <v>Good</v>
      </c>
      <c r="M710" s="2" t="b">
        <f>IF(Raw_Data!L710="", "",
    IF(ISLOGICAL(Raw_Data!L710), Raw_Data!L710,
        IF(OR(UPPER(Raw_Data!L710)="TRUE", UPPER(Raw_Data!L710)="YES", UPPER(Raw_Data!L710)="1"), TRUE,
            IF(OR(UPPER(Raw_Data!L710)="FALSE", UPPER(Raw_Data!L710)="NO", UPPER(Raw_Data!L710)="0"), FALSE, "Review")
        )
    )
)</f>
        <v>0</v>
      </c>
    </row>
    <row r="711" spans="1:13" x14ac:dyDescent="0.4">
      <c r="A711" s="2" t="str">
        <f>IFERROR(TRIM(Raw_Data!A711), "Review")</f>
        <v>EMP1709</v>
      </c>
      <c r="B711" s="2" t="str">
        <f>IFERROR(TRIM(Raw_Data!B711), "Review")</f>
        <v>Bob</v>
      </c>
      <c r="C711" s="2" t="str">
        <f>IFERROR(TRIM(Raw_Data!C711), "Review")</f>
        <v>Garcia</v>
      </c>
      <c r="D711" s="2">
        <f>IF(Raw_Data!D711="", "", IFERROR(VALUE(Raw_Data!D711), ""))</f>
        <v>25</v>
      </c>
      <c r="E711" s="2" t="str">
        <f>IFERROR(LEFT(Raw_Data!E711,SEARCH("-",Raw_Data!E711)-1),"Review")</f>
        <v>DevOps</v>
      </c>
      <c r="F711" s="2" t="str">
        <f>IFERROR(_xlfn.TEXTAFTER(Raw_Data!E711,"-"),"Review")</f>
        <v>New York</v>
      </c>
      <c r="G711" s="2" t="str">
        <f>IFERROR(TRIM(Raw_Data!F711), "Review")</f>
        <v>Pending</v>
      </c>
      <c r="H711" s="3" t="str">
        <f>IFERROR(TEXT(Raw_Data!G711, "YYYY-MM-DD"),"Review")</f>
        <v>2022-02-28</v>
      </c>
      <c r="I711" s="4">
        <f>IF(Raw_Data!H711="", "", IFERROR(VALUE(Raw_Data!H711), ""))</f>
        <v>63262.23</v>
      </c>
      <c r="J711" s="2" t="str">
        <f>IF(Raw_Data!I711="", "", IF(ISNUMBER(FIND("@", Raw_Data!I711)), Raw_Data!I711, "Review"))</f>
        <v>bob.garcia@example.com</v>
      </c>
      <c r="K711" s="5" t="str">
        <f>IFERROR(TEXT(ABS(Raw_Data!J711), "0"), "Review")</f>
        <v>2501394883</v>
      </c>
      <c r="L711" s="2" t="str">
        <f>IFERROR(TRIM(Raw_Data!K711), "Review")</f>
        <v>Good</v>
      </c>
      <c r="M711" s="2" t="b">
        <f>IF(Raw_Data!L711="", "",
    IF(ISLOGICAL(Raw_Data!L711), Raw_Data!L711,
        IF(OR(UPPER(Raw_Data!L711)="TRUE", UPPER(Raw_Data!L711)="YES", UPPER(Raw_Data!L711)="1"), TRUE,
            IF(OR(UPPER(Raw_Data!L711)="FALSE", UPPER(Raw_Data!L711)="NO", UPPER(Raw_Data!L711)="0"), FALSE, "Review")
        )
    )
)</f>
        <v>0</v>
      </c>
    </row>
    <row r="712" spans="1:13" x14ac:dyDescent="0.4">
      <c r="A712" s="2" t="str">
        <f>IFERROR(TRIM(Raw_Data!A712), "Review")</f>
        <v>EMP1710</v>
      </c>
      <c r="B712" s="2" t="str">
        <f>IFERROR(TRIM(Raw_Data!B712), "Review")</f>
        <v>David</v>
      </c>
      <c r="C712" s="2" t="str">
        <f>IFERROR(TRIM(Raw_Data!C712), "Review")</f>
        <v>Davis</v>
      </c>
      <c r="D712" s="2" t="str">
        <f>IF(Raw_Data!D712="", "", IFERROR(VALUE(Raw_Data!D712), ""))</f>
        <v/>
      </c>
      <c r="E712" s="2" t="str">
        <f>IFERROR(LEFT(Raw_Data!E712,SEARCH("-",Raw_Data!E712)-1),"Review")</f>
        <v>DevOps</v>
      </c>
      <c r="F712" s="2" t="str">
        <f>IFERROR(_xlfn.TEXTAFTER(Raw_Data!E712,"-"),"Review")</f>
        <v>New York</v>
      </c>
      <c r="G712" s="2" t="str">
        <f>IFERROR(TRIM(Raw_Data!F712), "Review")</f>
        <v>Pending</v>
      </c>
      <c r="H712" s="3" t="str">
        <f>IFERROR(TEXT(Raw_Data!G712, "YYYY-MM-DD"),"Review")</f>
        <v>2024-03-14</v>
      </c>
      <c r="I712" s="4">
        <f>IF(Raw_Data!H712="", "", IFERROR(VALUE(Raw_Data!H712), ""))</f>
        <v>89069.91</v>
      </c>
      <c r="J712" s="2" t="str">
        <f>IF(Raw_Data!I712="", "", IF(ISNUMBER(FIND("@", Raw_Data!I712)), Raw_Data!I712, "Review"))</f>
        <v>david.davis@example.com</v>
      </c>
      <c r="K712" s="5" t="str">
        <f>IFERROR(TEXT(ABS(Raw_Data!J712), "0"), "Review")</f>
        <v>8826913118</v>
      </c>
      <c r="L712" s="2" t="str">
        <f>IFERROR(TRIM(Raw_Data!K712), "Review")</f>
        <v>Good</v>
      </c>
      <c r="M712" s="2" t="b">
        <f>IF(Raw_Data!L712="", "",
    IF(ISLOGICAL(Raw_Data!L712), Raw_Data!L712,
        IF(OR(UPPER(Raw_Data!L712)="TRUE", UPPER(Raw_Data!L712)="YES", UPPER(Raw_Data!L712)="1"), TRUE,
            IF(OR(UPPER(Raw_Data!L712)="FALSE", UPPER(Raw_Data!L712)="NO", UPPER(Raw_Data!L712)="0"), FALSE, "Review")
        )
    )
)</f>
        <v>0</v>
      </c>
    </row>
    <row r="713" spans="1:13" x14ac:dyDescent="0.4">
      <c r="A713" s="2" t="str">
        <f>IFERROR(TRIM(Raw_Data!A713), "Review")</f>
        <v>EMP1711</v>
      </c>
      <c r="B713" s="2" t="str">
        <f>IFERROR(TRIM(Raw_Data!B713), "Review")</f>
        <v>Frank</v>
      </c>
      <c r="C713" s="2" t="str">
        <f>IFERROR(TRIM(Raw_Data!C713), "Review")</f>
        <v>Johnson</v>
      </c>
      <c r="D713" s="2">
        <f>IF(Raw_Data!D713="", "", IFERROR(VALUE(Raw_Data!D713), ""))</f>
        <v>40</v>
      </c>
      <c r="E713" s="2" t="str">
        <f>IFERROR(LEFT(Raw_Data!E713,SEARCH("-",Raw_Data!E713)-1),"Review")</f>
        <v>DevOps</v>
      </c>
      <c r="F713" s="2" t="str">
        <f>IFERROR(_xlfn.TEXTAFTER(Raw_Data!E713,"-"),"Review")</f>
        <v>Nevada</v>
      </c>
      <c r="G713" s="2" t="str">
        <f>IFERROR(TRIM(Raw_Data!F713), "Review")</f>
        <v>Inactive</v>
      </c>
      <c r="H713" s="3" t="str">
        <f>IFERROR(TEXT(Raw_Data!G713, "YYYY-MM-DD"),"Review")</f>
        <v>2024-12-13</v>
      </c>
      <c r="I713" s="4">
        <f>IF(Raw_Data!H713="", "", IFERROR(VALUE(Raw_Data!H713), ""))</f>
        <v>57287.17</v>
      </c>
      <c r="J713" s="2" t="str">
        <f>IF(Raw_Data!I713="", "", IF(ISNUMBER(FIND("@", Raw_Data!I713)), Raw_Data!I713, "Review"))</f>
        <v>frank.johnson@example.com</v>
      </c>
      <c r="K713" s="5" t="str">
        <f>IFERROR(TEXT(ABS(Raw_Data!J713), "0"), "Review")</f>
        <v>6425856260</v>
      </c>
      <c r="L713" s="2" t="str">
        <f>IFERROR(TRIM(Raw_Data!K713), "Review")</f>
        <v>Average</v>
      </c>
      <c r="M713" s="2" t="b">
        <f>IF(Raw_Data!L713="", "",
    IF(ISLOGICAL(Raw_Data!L713), Raw_Data!L713,
        IF(OR(UPPER(Raw_Data!L713)="TRUE", UPPER(Raw_Data!L713)="YES", UPPER(Raw_Data!L713)="1"), TRUE,
            IF(OR(UPPER(Raw_Data!L713)="FALSE", UPPER(Raw_Data!L713)="NO", UPPER(Raw_Data!L713)="0"), FALSE, "Review")
        )
    )
)</f>
        <v>1</v>
      </c>
    </row>
    <row r="714" spans="1:13" x14ac:dyDescent="0.4">
      <c r="A714" s="2" t="str">
        <f>IFERROR(TRIM(Raw_Data!A714), "Review")</f>
        <v>EMP1712</v>
      </c>
      <c r="B714" s="2" t="str">
        <f>IFERROR(TRIM(Raw_Data!B714), "Review")</f>
        <v>Grace</v>
      </c>
      <c r="C714" s="2" t="str">
        <f>IFERROR(TRIM(Raw_Data!C714), "Review")</f>
        <v>Smith</v>
      </c>
      <c r="D714" s="2" t="str">
        <f>IF(Raw_Data!D714="", "", IFERROR(VALUE(Raw_Data!D714), ""))</f>
        <v/>
      </c>
      <c r="E714" s="2" t="str">
        <f>IFERROR(LEFT(Raw_Data!E714,SEARCH("-",Raw_Data!E714)-1),"Review")</f>
        <v>HR</v>
      </c>
      <c r="F714" s="2" t="str">
        <f>IFERROR(_xlfn.TEXTAFTER(Raw_Data!E714,"-"),"Review")</f>
        <v>Nevada</v>
      </c>
      <c r="G714" s="2" t="str">
        <f>IFERROR(TRIM(Raw_Data!F714), "Review")</f>
        <v>Active</v>
      </c>
      <c r="H714" s="3" t="str">
        <f>IFERROR(TEXT(Raw_Data!G714, "YYYY-MM-DD"),"Review")</f>
        <v>2022-12-29</v>
      </c>
      <c r="I714" s="4">
        <f>IF(Raw_Data!H714="", "", IFERROR(VALUE(Raw_Data!H714), ""))</f>
        <v>119890.35</v>
      </c>
      <c r="J714" s="2" t="str">
        <f>IF(Raw_Data!I714="", "", IF(ISNUMBER(FIND("@", Raw_Data!I714)), Raw_Data!I714, "Review"))</f>
        <v>grace.smith@example.com</v>
      </c>
      <c r="K714" s="5" t="str">
        <f>IFERROR(TEXT(ABS(Raw_Data!J714), "0"), "Review")</f>
        <v>4991537037</v>
      </c>
      <c r="L714" s="2" t="str">
        <f>IFERROR(TRIM(Raw_Data!K714), "Review")</f>
        <v>Average</v>
      </c>
      <c r="M714" s="2" t="b">
        <f>IF(Raw_Data!L714="", "",
    IF(ISLOGICAL(Raw_Data!L714), Raw_Data!L714,
        IF(OR(UPPER(Raw_Data!L714)="TRUE", UPPER(Raw_Data!L714)="YES", UPPER(Raw_Data!L714)="1"), TRUE,
            IF(OR(UPPER(Raw_Data!L714)="FALSE", UPPER(Raw_Data!L714)="NO", UPPER(Raw_Data!L714)="0"), FALSE, "Review")
        )
    )
)</f>
        <v>1</v>
      </c>
    </row>
    <row r="715" spans="1:13" x14ac:dyDescent="0.4">
      <c r="A715" s="2" t="str">
        <f>IFERROR(TRIM(Raw_Data!A715), "Review")</f>
        <v>EMP1713</v>
      </c>
      <c r="B715" s="2" t="str">
        <f>IFERROR(TRIM(Raw_Data!B715), "Review")</f>
        <v>Frank</v>
      </c>
      <c r="C715" s="2" t="str">
        <f>IFERROR(TRIM(Raw_Data!C715), "Review")</f>
        <v>Brown</v>
      </c>
      <c r="D715" s="2">
        <f>IF(Raw_Data!D715="", "", IFERROR(VALUE(Raw_Data!D715), ""))</f>
        <v>35</v>
      </c>
      <c r="E715" s="2" t="str">
        <f>IFERROR(LEFT(Raw_Data!E715,SEARCH("-",Raw_Data!E715)-1),"Review")</f>
        <v>Sales</v>
      </c>
      <c r="F715" s="2" t="str">
        <f>IFERROR(_xlfn.TEXTAFTER(Raw_Data!E715,"-"),"Review")</f>
        <v>California</v>
      </c>
      <c r="G715" s="2" t="str">
        <f>IFERROR(TRIM(Raw_Data!F715), "Review")</f>
        <v>Inactive</v>
      </c>
      <c r="H715" s="3" t="str">
        <f>IFERROR(TEXT(Raw_Data!G715, "YYYY-MM-DD"),"Review")</f>
        <v>2022-04-24</v>
      </c>
      <c r="I715" s="4">
        <f>IF(Raw_Data!H715="", "", IFERROR(VALUE(Raw_Data!H715), ""))</f>
        <v>103492.91</v>
      </c>
      <c r="J715" s="2" t="str">
        <f>IF(Raw_Data!I715="", "", IF(ISNUMBER(FIND("@", Raw_Data!I715)), Raw_Data!I715, "Review"))</f>
        <v>frank.brown@example.com</v>
      </c>
      <c r="K715" s="5" t="str">
        <f>IFERROR(TEXT(ABS(Raw_Data!J715), "0"), "Review")</f>
        <v>2407333372</v>
      </c>
      <c r="L715" s="2" t="str">
        <f>IFERROR(TRIM(Raw_Data!K715), "Review")</f>
        <v>Poor</v>
      </c>
      <c r="M715" s="2" t="b">
        <f>IF(Raw_Data!L715="", "",
    IF(ISLOGICAL(Raw_Data!L715), Raw_Data!L715,
        IF(OR(UPPER(Raw_Data!L715)="TRUE", UPPER(Raw_Data!L715)="YES", UPPER(Raw_Data!L715)="1"), TRUE,
            IF(OR(UPPER(Raw_Data!L715)="FALSE", UPPER(Raw_Data!L715)="NO", UPPER(Raw_Data!L715)="0"), FALSE, "Review")
        )
    )
)</f>
        <v>0</v>
      </c>
    </row>
    <row r="716" spans="1:13" x14ac:dyDescent="0.4">
      <c r="A716" s="2" t="str">
        <f>IFERROR(TRIM(Raw_Data!A716), "Review")</f>
        <v>EMP1714</v>
      </c>
      <c r="B716" s="2" t="str">
        <f>IFERROR(TRIM(Raw_Data!B716), "Review")</f>
        <v>Frank</v>
      </c>
      <c r="C716" s="2" t="str">
        <f>IFERROR(TRIM(Raw_Data!C716), "Review")</f>
        <v>Garcia</v>
      </c>
      <c r="D716" s="2" t="str">
        <f>IF(Raw_Data!D716="", "", IFERROR(VALUE(Raw_Data!D716), ""))</f>
        <v/>
      </c>
      <c r="E716" s="2" t="str">
        <f>IFERROR(LEFT(Raw_Data!E716,SEARCH("-",Raw_Data!E716)-1),"Review")</f>
        <v>Admin</v>
      </c>
      <c r="F716" s="2" t="str">
        <f>IFERROR(_xlfn.TEXTAFTER(Raw_Data!E716,"-"),"Review")</f>
        <v>Illinois</v>
      </c>
      <c r="G716" s="2" t="str">
        <f>IFERROR(TRIM(Raw_Data!F716), "Review")</f>
        <v>Pending</v>
      </c>
      <c r="H716" s="3" t="str">
        <f>IFERROR(TEXT(Raw_Data!G716, "YYYY-MM-DD"),"Review")</f>
        <v>2021-03-14</v>
      </c>
      <c r="I716" s="4">
        <f>IF(Raw_Data!H716="", "", IFERROR(VALUE(Raw_Data!H716), ""))</f>
        <v>76254.42</v>
      </c>
      <c r="J716" s="2" t="str">
        <f>IF(Raw_Data!I716="", "", IF(ISNUMBER(FIND("@", Raw_Data!I716)), Raw_Data!I716, "Review"))</f>
        <v>frank.garcia@example.com</v>
      </c>
      <c r="K716" s="5" t="str">
        <f>IFERROR(TEXT(ABS(Raw_Data!J716), "0"), "Review")</f>
        <v>2043097767</v>
      </c>
      <c r="L716" s="2" t="str">
        <f>IFERROR(TRIM(Raw_Data!K716), "Review")</f>
        <v>Excellent</v>
      </c>
      <c r="M716" s="2" t="b">
        <f>IF(Raw_Data!L716="", "",
    IF(ISLOGICAL(Raw_Data!L716), Raw_Data!L716,
        IF(OR(UPPER(Raw_Data!L716)="TRUE", UPPER(Raw_Data!L716)="YES", UPPER(Raw_Data!L716)="1"), TRUE,
            IF(OR(UPPER(Raw_Data!L716)="FALSE", UPPER(Raw_Data!L716)="NO", UPPER(Raw_Data!L716)="0"), FALSE, "Review")
        )
    )
)</f>
        <v>0</v>
      </c>
    </row>
    <row r="717" spans="1:13" x14ac:dyDescent="0.4">
      <c r="A717" s="2" t="str">
        <f>IFERROR(TRIM(Raw_Data!A717), "Review")</f>
        <v>EMP1715</v>
      </c>
      <c r="B717" s="2" t="str">
        <f>IFERROR(TRIM(Raw_Data!B717), "Review")</f>
        <v>Eva</v>
      </c>
      <c r="C717" s="2" t="str">
        <f>IFERROR(TRIM(Raw_Data!C717), "Review")</f>
        <v>Garcia</v>
      </c>
      <c r="D717" s="2">
        <f>IF(Raw_Data!D717="", "", IFERROR(VALUE(Raw_Data!D717), ""))</f>
        <v>35</v>
      </c>
      <c r="E717" s="2" t="str">
        <f>IFERROR(LEFT(Raw_Data!E717,SEARCH("-",Raw_Data!E717)-1),"Review")</f>
        <v>Finance</v>
      </c>
      <c r="F717" s="2" t="str">
        <f>IFERROR(_xlfn.TEXTAFTER(Raw_Data!E717,"-"),"Review")</f>
        <v>Florida</v>
      </c>
      <c r="G717" s="2" t="str">
        <f>IFERROR(TRIM(Raw_Data!F717), "Review")</f>
        <v>Inactive</v>
      </c>
      <c r="H717" s="3" t="str">
        <f>IFERROR(TEXT(Raw_Data!G717, "YYYY-MM-DD"),"Review")</f>
        <v>2020-01-01</v>
      </c>
      <c r="I717" s="4">
        <f>IF(Raw_Data!H717="", "", IFERROR(VALUE(Raw_Data!H717), ""))</f>
        <v>100841.93</v>
      </c>
      <c r="J717" s="2" t="str">
        <f>IF(Raw_Data!I717="", "", IF(ISNUMBER(FIND("@", Raw_Data!I717)), Raw_Data!I717, "Review"))</f>
        <v>eva.garcia@example.com</v>
      </c>
      <c r="K717" s="5" t="str">
        <f>IFERROR(TEXT(ABS(Raw_Data!J717), "0"), "Review")</f>
        <v>8936289695</v>
      </c>
      <c r="L717" s="2" t="str">
        <f>IFERROR(TRIM(Raw_Data!K717), "Review")</f>
        <v>Poor</v>
      </c>
      <c r="M717" s="2" t="b">
        <f>IF(Raw_Data!L717="", "",
    IF(ISLOGICAL(Raw_Data!L717), Raw_Data!L717,
        IF(OR(UPPER(Raw_Data!L717)="TRUE", UPPER(Raw_Data!L717)="YES", UPPER(Raw_Data!L717)="1"), TRUE,
            IF(OR(UPPER(Raw_Data!L717)="FALSE", UPPER(Raw_Data!L717)="NO", UPPER(Raw_Data!L717)="0"), FALSE, "Review")
        )
    )
)</f>
        <v>1</v>
      </c>
    </row>
    <row r="718" spans="1:13" x14ac:dyDescent="0.4">
      <c r="A718" s="2" t="str">
        <f>IFERROR(TRIM(Raw_Data!A718), "Review")</f>
        <v>EMP1716</v>
      </c>
      <c r="B718" s="2" t="str">
        <f>IFERROR(TRIM(Raw_Data!B718), "Review")</f>
        <v>Alice</v>
      </c>
      <c r="C718" s="2" t="str">
        <f>IFERROR(TRIM(Raw_Data!C718), "Review")</f>
        <v>Williams</v>
      </c>
      <c r="D718" s="2" t="str">
        <f>IF(Raw_Data!D718="", "", IFERROR(VALUE(Raw_Data!D718), ""))</f>
        <v/>
      </c>
      <c r="E718" s="2" t="str">
        <f>IFERROR(LEFT(Raw_Data!E718,SEARCH("-",Raw_Data!E718)-1),"Review")</f>
        <v>Admin</v>
      </c>
      <c r="F718" s="2" t="str">
        <f>IFERROR(_xlfn.TEXTAFTER(Raw_Data!E718,"-"),"Review")</f>
        <v>California</v>
      </c>
      <c r="G718" s="2" t="str">
        <f>IFERROR(TRIM(Raw_Data!F718), "Review")</f>
        <v>Active</v>
      </c>
      <c r="H718" s="3" t="str">
        <f>IFERROR(TEXT(Raw_Data!G718, "YYYY-MM-DD"),"Review")</f>
        <v>2021-09-07</v>
      </c>
      <c r="I718" s="4">
        <f>IF(Raw_Data!H718="", "", IFERROR(VALUE(Raw_Data!H718), ""))</f>
        <v>118907.61</v>
      </c>
      <c r="J718" s="2" t="str">
        <f>IF(Raw_Data!I718="", "", IF(ISNUMBER(FIND("@", Raw_Data!I718)), Raw_Data!I718, "Review"))</f>
        <v>alice.williams@example.com</v>
      </c>
      <c r="K718" s="5" t="str">
        <f>IFERROR(TEXT(ABS(Raw_Data!J718), "0"), "Review")</f>
        <v>4546553584</v>
      </c>
      <c r="L718" s="2" t="str">
        <f>IFERROR(TRIM(Raw_Data!K718), "Review")</f>
        <v>Excellent</v>
      </c>
      <c r="M718" s="2" t="b">
        <f>IF(Raw_Data!L718="", "",
    IF(ISLOGICAL(Raw_Data!L718), Raw_Data!L718,
        IF(OR(UPPER(Raw_Data!L718)="TRUE", UPPER(Raw_Data!L718)="YES", UPPER(Raw_Data!L718)="1"), TRUE,
            IF(OR(UPPER(Raw_Data!L718)="FALSE", UPPER(Raw_Data!L718)="NO", UPPER(Raw_Data!L718)="0"), FALSE, "Review")
        )
    )
)</f>
        <v>1</v>
      </c>
    </row>
    <row r="719" spans="1:13" x14ac:dyDescent="0.4">
      <c r="A719" s="2" t="str">
        <f>IFERROR(TRIM(Raw_Data!A719), "Review")</f>
        <v>EMP1717</v>
      </c>
      <c r="B719" s="2" t="str">
        <f>IFERROR(TRIM(Raw_Data!B719), "Review")</f>
        <v>Frank</v>
      </c>
      <c r="C719" s="2" t="str">
        <f>IFERROR(TRIM(Raw_Data!C719), "Review")</f>
        <v>Brown</v>
      </c>
      <c r="D719" s="2">
        <f>IF(Raw_Data!D719="", "", IFERROR(VALUE(Raw_Data!D719), ""))</f>
        <v>25</v>
      </c>
      <c r="E719" s="2" t="str">
        <f>IFERROR(LEFT(Raw_Data!E719,SEARCH("-",Raw_Data!E719)-1),"Review")</f>
        <v>DevOps</v>
      </c>
      <c r="F719" s="2" t="str">
        <f>IFERROR(_xlfn.TEXTAFTER(Raw_Data!E719,"-"),"Review")</f>
        <v>California</v>
      </c>
      <c r="G719" s="2" t="str">
        <f>IFERROR(TRIM(Raw_Data!F719), "Review")</f>
        <v>Pending</v>
      </c>
      <c r="H719" s="3" t="str">
        <f>IFERROR(TEXT(Raw_Data!G719, "YYYY-MM-DD"),"Review")</f>
        <v>2022-11-13</v>
      </c>
      <c r="I719" s="4">
        <f>IF(Raw_Data!H719="", "", IFERROR(VALUE(Raw_Data!H719), ""))</f>
        <v>88942.62</v>
      </c>
      <c r="J719" s="2" t="str">
        <f>IF(Raw_Data!I719="", "", IF(ISNUMBER(FIND("@", Raw_Data!I719)), Raw_Data!I719, "Review"))</f>
        <v>frank.brown@example.com</v>
      </c>
      <c r="K719" s="5" t="str">
        <f>IFERROR(TEXT(ABS(Raw_Data!J719), "0"), "Review")</f>
        <v>1253892186</v>
      </c>
      <c r="L719" s="2" t="str">
        <f>IFERROR(TRIM(Raw_Data!K719), "Review")</f>
        <v>Average</v>
      </c>
      <c r="M719" s="2" t="b">
        <f>IF(Raw_Data!L719="", "",
    IF(ISLOGICAL(Raw_Data!L719), Raw_Data!L719,
        IF(OR(UPPER(Raw_Data!L719)="TRUE", UPPER(Raw_Data!L719)="YES", UPPER(Raw_Data!L719)="1"), TRUE,
            IF(OR(UPPER(Raw_Data!L719)="FALSE", UPPER(Raw_Data!L719)="NO", UPPER(Raw_Data!L719)="0"), FALSE, "Review")
        )
    )
)</f>
        <v>0</v>
      </c>
    </row>
    <row r="720" spans="1:13" x14ac:dyDescent="0.4">
      <c r="A720" s="2" t="str">
        <f>IFERROR(TRIM(Raw_Data!A720), "Review")</f>
        <v>EMP1718</v>
      </c>
      <c r="B720" s="2" t="str">
        <f>IFERROR(TRIM(Raw_Data!B720), "Review")</f>
        <v>Charlie</v>
      </c>
      <c r="C720" s="2" t="str">
        <f>IFERROR(TRIM(Raw_Data!C720), "Review")</f>
        <v>Garcia</v>
      </c>
      <c r="D720" s="2">
        <f>IF(Raw_Data!D720="", "", IFERROR(VALUE(Raw_Data!D720), ""))</f>
        <v>25</v>
      </c>
      <c r="E720" s="2" t="str">
        <f>IFERROR(LEFT(Raw_Data!E720,SEARCH("-",Raw_Data!E720)-1),"Review")</f>
        <v>Cloud Tech</v>
      </c>
      <c r="F720" s="2" t="str">
        <f>IFERROR(_xlfn.TEXTAFTER(Raw_Data!E720,"-"),"Review")</f>
        <v>Florida</v>
      </c>
      <c r="G720" s="2" t="str">
        <f>IFERROR(TRIM(Raw_Data!F720), "Review")</f>
        <v>Inactive</v>
      </c>
      <c r="H720" s="3" t="str">
        <f>IFERROR(TEXT(Raw_Data!G720, "YYYY-MM-DD"),"Review")</f>
        <v>2020-11-15</v>
      </c>
      <c r="I720" s="4">
        <f>IF(Raw_Data!H720="", "", IFERROR(VALUE(Raw_Data!H720), ""))</f>
        <v>59688.57</v>
      </c>
      <c r="J720" s="2" t="str">
        <f>IF(Raw_Data!I720="", "", IF(ISNUMBER(FIND("@", Raw_Data!I720)), Raw_Data!I720, "Review"))</f>
        <v>charlie.garcia@example.com</v>
      </c>
      <c r="K720" s="5" t="str">
        <f>IFERROR(TEXT(ABS(Raw_Data!J720), "0"), "Review")</f>
        <v>8519358373</v>
      </c>
      <c r="L720" s="2" t="str">
        <f>IFERROR(TRIM(Raw_Data!K720), "Review")</f>
        <v>Average</v>
      </c>
      <c r="M720" s="2" t="b">
        <f>IF(Raw_Data!L720="", "",
    IF(ISLOGICAL(Raw_Data!L720), Raw_Data!L720,
        IF(OR(UPPER(Raw_Data!L720)="TRUE", UPPER(Raw_Data!L720)="YES", UPPER(Raw_Data!L720)="1"), TRUE,
            IF(OR(UPPER(Raw_Data!L720)="FALSE", UPPER(Raw_Data!L720)="NO", UPPER(Raw_Data!L720)="0"), FALSE, "Review")
        )
    )
)</f>
        <v>0</v>
      </c>
    </row>
    <row r="721" spans="1:13" x14ac:dyDescent="0.4">
      <c r="A721" s="2" t="str">
        <f>IFERROR(TRIM(Raw_Data!A721), "Review")</f>
        <v>EMP1719</v>
      </c>
      <c r="B721" s="2" t="str">
        <f>IFERROR(TRIM(Raw_Data!B721), "Review")</f>
        <v>David</v>
      </c>
      <c r="C721" s="2" t="str">
        <f>IFERROR(TRIM(Raw_Data!C721), "Review")</f>
        <v>Brown</v>
      </c>
      <c r="D721" s="2">
        <f>IF(Raw_Data!D721="", "", IFERROR(VALUE(Raw_Data!D721), ""))</f>
        <v>30</v>
      </c>
      <c r="E721" s="2" t="str">
        <f>IFERROR(LEFT(Raw_Data!E721,SEARCH("-",Raw_Data!E721)-1),"Review")</f>
        <v>HR</v>
      </c>
      <c r="F721" s="2" t="str">
        <f>IFERROR(_xlfn.TEXTAFTER(Raw_Data!E721,"-"),"Review")</f>
        <v>California</v>
      </c>
      <c r="G721" s="2" t="str">
        <f>IFERROR(TRIM(Raw_Data!F721), "Review")</f>
        <v>Active</v>
      </c>
      <c r="H721" s="3" t="str">
        <f>IFERROR(TEXT(Raw_Data!G721, "YYYY-MM-DD"),"Review")</f>
        <v>2023-03-14</v>
      </c>
      <c r="I721" s="4">
        <f>IF(Raw_Data!H721="", "", IFERROR(VALUE(Raw_Data!H721), ""))</f>
        <v>77985.88</v>
      </c>
      <c r="J721" s="2" t="str">
        <f>IF(Raw_Data!I721="", "", IF(ISNUMBER(FIND("@", Raw_Data!I721)), Raw_Data!I721, "Review"))</f>
        <v>david.brown@example.com</v>
      </c>
      <c r="K721" s="5" t="str">
        <f>IFERROR(TEXT(ABS(Raw_Data!J721), "0"), "Review")</f>
        <v>9079779611</v>
      </c>
      <c r="L721" s="2" t="str">
        <f>IFERROR(TRIM(Raw_Data!K721), "Review")</f>
        <v>Average</v>
      </c>
      <c r="M721" s="2" t="b">
        <f>IF(Raw_Data!L721="", "",
    IF(ISLOGICAL(Raw_Data!L721), Raw_Data!L721,
        IF(OR(UPPER(Raw_Data!L721)="TRUE", UPPER(Raw_Data!L721)="YES", UPPER(Raw_Data!L721)="1"), TRUE,
            IF(OR(UPPER(Raw_Data!L721)="FALSE", UPPER(Raw_Data!L721)="NO", UPPER(Raw_Data!L721)="0"), FALSE, "Review")
        )
    )
)</f>
        <v>1</v>
      </c>
    </row>
    <row r="722" spans="1:13" x14ac:dyDescent="0.4">
      <c r="A722" s="2" t="str">
        <f>IFERROR(TRIM(Raw_Data!A722), "Review")</f>
        <v>EMP1720</v>
      </c>
      <c r="B722" s="2" t="str">
        <f>IFERROR(TRIM(Raw_Data!B722), "Review")</f>
        <v>Bob</v>
      </c>
      <c r="C722" s="2" t="str">
        <f>IFERROR(TRIM(Raw_Data!C722), "Review")</f>
        <v>Johnson</v>
      </c>
      <c r="D722" s="2">
        <f>IF(Raw_Data!D722="", "", IFERROR(VALUE(Raw_Data!D722), ""))</f>
        <v>35</v>
      </c>
      <c r="E722" s="2" t="str">
        <f>IFERROR(LEFT(Raw_Data!E722,SEARCH("-",Raw_Data!E722)-1),"Review")</f>
        <v>Finance</v>
      </c>
      <c r="F722" s="2" t="str">
        <f>IFERROR(_xlfn.TEXTAFTER(Raw_Data!E722,"-"),"Review")</f>
        <v>New York</v>
      </c>
      <c r="G722" s="2" t="str">
        <f>IFERROR(TRIM(Raw_Data!F722), "Review")</f>
        <v>Inactive</v>
      </c>
      <c r="H722" s="3" t="str">
        <f>IFERROR(TEXT(Raw_Data!G722, "YYYY-MM-DD"),"Review")</f>
        <v>2024-08-18</v>
      </c>
      <c r="I722" s="4">
        <f>IF(Raw_Data!H722="", "", IFERROR(VALUE(Raw_Data!H722), ""))</f>
        <v>112931.69</v>
      </c>
      <c r="J722" s="2" t="str">
        <f>IF(Raw_Data!I722="", "", IF(ISNUMBER(FIND("@", Raw_Data!I722)), Raw_Data!I722, "Review"))</f>
        <v>bob.johnson@example.com</v>
      </c>
      <c r="K722" s="5" t="str">
        <f>IFERROR(TEXT(ABS(Raw_Data!J722), "0"), "Review")</f>
        <v>878057214</v>
      </c>
      <c r="L722" s="2" t="str">
        <f>IFERROR(TRIM(Raw_Data!K722), "Review")</f>
        <v>Poor</v>
      </c>
      <c r="M722" s="2" t="b">
        <f>IF(Raw_Data!L722="", "",
    IF(ISLOGICAL(Raw_Data!L722), Raw_Data!L722,
        IF(OR(UPPER(Raw_Data!L722)="TRUE", UPPER(Raw_Data!L722)="YES", UPPER(Raw_Data!L722)="1"), TRUE,
            IF(OR(UPPER(Raw_Data!L722)="FALSE", UPPER(Raw_Data!L722)="NO", UPPER(Raw_Data!L722)="0"), FALSE, "Review")
        )
    )
)</f>
        <v>0</v>
      </c>
    </row>
    <row r="723" spans="1:13" x14ac:dyDescent="0.4">
      <c r="A723" s="2" t="str">
        <f>IFERROR(TRIM(Raw_Data!A723), "Review")</f>
        <v>EMP1721</v>
      </c>
      <c r="B723" s="2" t="str">
        <f>IFERROR(TRIM(Raw_Data!B723), "Review")</f>
        <v>Bob</v>
      </c>
      <c r="C723" s="2" t="str">
        <f>IFERROR(TRIM(Raw_Data!C723), "Review")</f>
        <v>Williams</v>
      </c>
      <c r="D723" s="2" t="str">
        <f>IF(Raw_Data!D723="", "", IFERROR(VALUE(Raw_Data!D723), ""))</f>
        <v/>
      </c>
      <c r="E723" s="2" t="str">
        <f>IFERROR(LEFT(Raw_Data!E723,SEARCH("-",Raw_Data!E723)-1),"Review")</f>
        <v>DevOps</v>
      </c>
      <c r="F723" s="2" t="str">
        <f>IFERROR(_xlfn.TEXTAFTER(Raw_Data!E723,"-"),"Review")</f>
        <v>California</v>
      </c>
      <c r="G723" s="2" t="str">
        <f>IFERROR(TRIM(Raw_Data!F723), "Review")</f>
        <v>Active</v>
      </c>
      <c r="H723" s="3" t="str">
        <f>IFERROR(TEXT(Raw_Data!G723, "YYYY-MM-DD"),"Review")</f>
        <v>2024-02-05</v>
      </c>
      <c r="I723" s="4">
        <f>IF(Raw_Data!H723="", "", IFERROR(VALUE(Raw_Data!H723), ""))</f>
        <v>106583.88</v>
      </c>
      <c r="J723" s="2" t="str">
        <f>IF(Raw_Data!I723="", "", IF(ISNUMBER(FIND("@", Raw_Data!I723)), Raw_Data!I723, "Review"))</f>
        <v>bob.williams@example.com</v>
      </c>
      <c r="K723" s="5" t="str">
        <f>IFERROR(TEXT(ABS(Raw_Data!J723), "0"), "Review")</f>
        <v>1494097625</v>
      </c>
      <c r="L723" s="2" t="str">
        <f>IFERROR(TRIM(Raw_Data!K723), "Review")</f>
        <v>Good</v>
      </c>
      <c r="M723" s="2" t="b">
        <f>IF(Raw_Data!L723="", "",
    IF(ISLOGICAL(Raw_Data!L723), Raw_Data!L723,
        IF(OR(UPPER(Raw_Data!L723)="TRUE", UPPER(Raw_Data!L723)="YES", UPPER(Raw_Data!L723)="1"), TRUE,
            IF(OR(UPPER(Raw_Data!L723)="FALSE", UPPER(Raw_Data!L723)="NO", UPPER(Raw_Data!L723)="0"), FALSE, "Review")
        )
    )
)</f>
        <v>1</v>
      </c>
    </row>
    <row r="724" spans="1:13" x14ac:dyDescent="0.4">
      <c r="A724" s="2" t="str">
        <f>IFERROR(TRIM(Raw_Data!A724), "Review")</f>
        <v>EMP1722</v>
      </c>
      <c r="B724" s="2" t="str">
        <f>IFERROR(TRIM(Raw_Data!B724), "Review")</f>
        <v>Alice</v>
      </c>
      <c r="C724" s="2" t="str">
        <f>IFERROR(TRIM(Raw_Data!C724), "Review")</f>
        <v>Brown</v>
      </c>
      <c r="D724" s="2">
        <f>IF(Raw_Data!D724="", "", IFERROR(VALUE(Raw_Data!D724), ""))</f>
        <v>35</v>
      </c>
      <c r="E724" s="2" t="str">
        <f>IFERROR(LEFT(Raw_Data!E724,SEARCH("-",Raw_Data!E724)-1),"Review")</f>
        <v>HR</v>
      </c>
      <c r="F724" s="2" t="str">
        <f>IFERROR(_xlfn.TEXTAFTER(Raw_Data!E724,"-"),"Review")</f>
        <v>Florida</v>
      </c>
      <c r="G724" s="2" t="str">
        <f>IFERROR(TRIM(Raw_Data!F724), "Review")</f>
        <v>Inactive</v>
      </c>
      <c r="H724" s="3" t="str">
        <f>IFERROR(TEXT(Raw_Data!G724, "YYYY-MM-DD"),"Review")</f>
        <v>2024-11-12</v>
      </c>
      <c r="I724" s="4">
        <f>IF(Raw_Data!H724="", "", IFERROR(VALUE(Raw_Data!H724), ""))</f>
        <v>58437.84</v>
      </c>
      <c r="J724" s="2" t="str">
        <f>IF(Raw_Data!I724="", "", IF(ISNUMBER(FIND("@", Raw_Data!I724)), Raw_Data!I724, "Review"))</f>
        <v>alice.brown@example.com</v>
      </c>
      <c r="K724" s="5" t="str">
        <f>IFERROR(TEXT(ABS(Raw_Data!J724), "0"), "Review")</f>
        <v>3748453985</v>
      </c>
      <c r="L724" s="2" t="str">
        <f>IFERROR(TRIM(Raw_Data!K724), "Review")</f>
        <v>Good</v>
      </c>
      <c r="M724" s="2" t="b">
        <f>IF(Raw_Data!L724="", "",
    IF(ISLOGICAL(Raw_Data!L724), Raw_Data!L724,
        IF(OR(UPPER(Raw_Data!L724)="TRUE", UPPER(Raw_Data!L724)="YES", UPPER(Raw_Data!L724)="1"), TRUE,
            IF(OR(UPPER(Raw_Data!L724)="FALSE", UPPER(Raw_Data!L724)="NO", UPPER(Raw_Data!L724)="0"), FALSE, "Review")
        )
    )
)</f>
        <v>1</v>
      </c>
    </row>
    <row r="725" spans="1:13" x14ac:dyDescent="0.4">
      <c r="A725" s="2" t="str">
        <f>IFERROR(TRIM(Raw_Data!A725), "Review")</f>
        <v>EMP1723</v>
      </c>
      <c r="B725" s="2" t="str">
        <f>IFERROR(TRIM(Raw_Data!B725), "Review")</f>
        <v>Alice</v>
      </c>
      <c r="C725" s="2" t="str">
        <f>IFERROR(TRIM(Raw_Data!C725), "Review")</f>
        <v>Smith</v>
      </c>
      <c r="D725" s="2">
        <f>IF(Raw_Data!D725="", "", IFERROR(VALUE(Raw_Data!D725), ""))</f>
        <v>40</v>
      </c>
      <c r="E725" s="2" t="str">
        <f>IFERROR(LEFT(Raw_Data!E725,SEARCH("-",Raw_Data!E725)-1),"Review")</f>
        <v>Cloud Tech</v>
      </c>
      <c r="F725" s="2" t="str">
        <f>IFERROR(_xlfn.TEXTAFTER(Raw_Data!E725,"-"),"Review")</f>
        <v>California</v>
      </c>
      <c r="G725" s="2" t="str">
        <f>IFERROR(TRIM(Raw_Data!F725), "Review")</f>
        <v>Pending</v>
      </c>
      <c r="H725" s="3" t="str">
        <f>IFERROR(TEXT(Raw_Data!G725, "YYYY-MM-DD"),"Review")</f>
        <v>2020-03-25</v>
      </c>
      <c r="I725" s="4">
        <f>IF(Raw_Data!H725="", "", IFERROR(VALUE(Raw_Data!H725), ""))</f>
        <v>72352.160000000003</v>
      </c>
      <c r="J725" s="2" t="str">
        <f>IF(Raw_Data!I725="", "", IF(ISNUMBER(FIND("@", Raw_Data!I725)), Raw_Data!I725, "Review"))</f>
        <v>alice.smith@example.com</v>
      </c>
      <c r="K725" s="5" t="str">
        <f>IFERROR(TEXT(ABS(Raw_Data!J725), "0"), "Review")</f>
        <v>2895090590</v>
      </c>
      <c r="L725" s="2" t="str">
        <f>IFERROR(TRIM(Raw_Data!K725), "Review")</f>
        <v>Average</v>
      </c>
      <c r="M725" s="2" t="b">
        <f>IF(Raw_Data!L725="", "",
    IF(ISLOGICAL(Raw_Data!L725), Raw_Data!L725,
        IF(OR(UPPER(Raw_Data!L725)="TRUE", UPPER(Raw_Data!L725)="YES", UPPER(Raw_Data!L725)="1"), TRUE,
            IF(OR(UPPER(Raw_Data!L725)="FALSE", UPPER(Raw_Data!L725)="NO", UPPER(Raw_Data!L725)="0"), FALSE, "Review")
        )
    )
)</f>
        <v>1</v>
      </c>
    </row>
    <row r="726" spans="1:13" x14ac:dyDescent="0.4">
      <c r="A726" s="2" t="str">
        <f>IFERROR(TRIM(Raw_Data!A726), "Review")</f>
        <v>EMP1724</v>
      </c>
      <c r="B726" s="2" t="str">
        <f>IFERROR(TRIM(Raw_Data!B726), "Review")</f>
        <v>Frank</v>
      </c>
      <c r="C726" s="2" t="str">
        <f>IFERROR(TRIM(Raw_Data!C726), "Review")</f>
        <v>Smith</v>
      </c>
      <c r="D726" s="2" t="str">
        <f>IF(Raw_Data!D726="", "", IFERROR(VALUE(Raw_Data!D726), ""))</f>
        <v/>
      </c>
      <c r="E726" s="2" t="str">
        <f>IFERROR(LEFT(Raw_Data!E726,SEARCH("-",Raw_Data!E726)-1),"Review")</f>
        <v>DevOps</v>
      </c>
      <c r="F726" s="2" t="str">
        <f>IFERROR(_xlfn.TEXTAFTER(Raw_Data!E726,"-"),"Review")</f>
        <v>New York</v>
      </c>
      <c r="G726" s="2" t="str">
        <f>IFERROR(TRIM(Raw_Data!F726), "Review")</f>
        <v>Active</v>
      </c>
      <c r="H726" s="3" t="str">
        <f>IFERROR(TEXT(Raw_Data!G726, "YYYY-MM-DD"),"Review")</f>
        <v>2020-04-13</v>
      </c>
      <c r="I726" s="4">
        <f>IF(Raw_Data!H726="", "", IFERROR(VALUE(Raw_Data!H726), ""))</f>
        <v>97154.47</v>
      </c>
      <c r="J726" s="2" t="str">
        <f>IF(Raw_Data!I726="", "", IF(ISNUMBER(FIND("@", Raw_Data!I726)), Raw_Data!I726, "Review"))</f>
        <v>frank.smith@example.com</v>
      </c>
      <c r="K726" s="5" t="str">
        <f>IFERROR(TEXT(ABS(Raw_Data!J726), "0"), "Review")</f>
        <v>1918623391</v>
      </c>
      <c r="L726" s="2" t="str">
        <f>IFERROR(TRIM(Raw_Data!K726), "Review")</f>
        <v>Good</v>
      </c>
      <c r="M726" s="2" t="b">
        <f>IF(Raw_Data!L726="", "",
    IF(ISLOGICAL(Raw_Data!L726), Raw_Data!L726,
        IF(OR(UPPER(Raw_Data!L726)="TRUE", UPPER(Raw_Data!L726)="YES", UPPER(Raw_Data!L726)="1"), TRUE,
            IF(OR(UPPER(Raw_Data!L726)="FALSE", UPPER(Raw_Data!L726)="NO", UPPER(Raw_Data!L726)="0"), FALSE, "Review")
        )
    )
)</f>
        <v>1</v>
      </c>
    </row>
    <row r="727" spans="1:13" x14ac:dyDescent="0.4">
      <c r="A727" s="2" t="str">
        <f>IFERROR(TRIM(Raw_Data!A727), "Review")</f>
        <v>EMP1725</v>
      </c>
      <c r="B727" s="2" t="str">
        <f>IFERROR(TRIM(Raw_Data!B727), "Review")</f>
        <v>Heidi</v>
      </c>
      <c r="C727" s="2" t="str">
        <f>IFERROR(TRIM(Raw_Data!C727), "Review")</f>
        <v>Jones</v>
      </c>
      <c r="D727" s="2" t="str">
        <f>IF(Raw_Data!D727="", "", IFERROR(VALUE(Raw_Data!D727), ""))</f>
        <v/>
      </c>
      <c r="E727" s="2" t="str">
        <f>IFERROR(LEFT(Raw_Data!E727,SEARCH("-",Raw_Data!E727)-1),"Review")</f>
        <v>Sales</v>
      </c>
      <c r="F727" s="2" t="str">
        <f>IFERROR(_xlfn.TEXTAFTER(Raw_Data!E727,"-"),"Review")</f>
        <v>Illinois</v>
      </c>
      <c r="G727" s="2" t="str">
        <f>IFERROR(TRIM(Raw_Data!F727), "Review")</f>
        <v>Active</v>
      </c>
      <c r="H727" s="3" t="str">
        <f>IFERROR(TEXT(Raw_Data!G727, "YYYY-MM-DD"),"Review")</f>
        <v>2021-03-30</v>
      </c>
      <c r="I727" s="4">
        <f>IF(Raw_Data!H727="", "", IFERROR(VALUE(Raw_Data!H727), ""))</f>
        <v>80235.5</v>
      </c>
      <c r="J727" s="2" t="str">
        <f>IF(Raw_Data!I727="", "", IF(ISNUMBER(FIND("@", Raw_Data!I727)), Raw_Data!I727, "Review"))</f>
        <v>heidi.jones@example.com</v>
      </c>
      <c r="K727" s="5" t="str">
        <f>IFERROR(TEXT(ABS(Raw_Data!J727), "0"), "Review")</f>
        <v>2071511695</v>
      </c>
      <c r="L727" s="2" t="str">
        <f>IFERROR(TRIM(Raw_Data!K727), "Review")</f>
        <v>Good</v>
      </c>
      <c r="M727" s="2" t="b">
        <f>IF(Raw_Data!L727="", "",
    IF(ISLOGICAL(Raw_Data!L727), Raw_Data!L727,
        IF(OR(UPPER(Raw_Data!L727)="TRUE", UPPER(Raw_Data!L727)="YES", UPPER(Raw_Data!L727)="1"), TRUE,
            IF(OR(UPPER(Raw_Data!L727)="FALSE", UPPER(Raw_Data!L727)="NO", UPPER(Raw_Data!L727)="0"), FALSE, "Review")
        )
    )
)</f>
        <v>0</v>
      </c>
    </row>
    <row r="728" spans="1:13" x14ac:dyDescent="0.4">
      <c r="A728" s="2" t="str">
        <f>IFERROR(TRIM(Raw_Data!A728), "Review")</f>
        <v>EMP1726</v>
      </c>
      <c r="B728" s="2" t="str">
        <f>IFERROR(TRIM(Raw_Data!B728), "Review")</f>
        <v>Charlie</v>
      </c>
      <c r="C728" s="2" t="str">
        <f>IFERROR(TRIM(Raw_Data!C728), "Review")</f>
        <v>Williams</v>
      </c>
      <c r="D728" s="2">
        <f>IF(Raw_Data!D728="", "", IFERROR(VALUE(Raw_Data!D728), ""))</f>
        <v>30</v>
      </c>
      <c r="E728" s="2" t="str">
        <f>IFERROR(LEFT(Raw_Data!E728,SEARCH("-",Raw_Data!E728)-1),"Review")</f>
        <v>HR</v>
      </c>
      <c r="F728" s="2" t="str">
        <f>IFERROR(_xlfn.TEXTAFTER(Raw_Data!E728,"-"),"Review")</f>
        <v>Texas</v>
      </c>
      <c r="G728" s="2" t="str">
        <f>IFERROR(TRIM(Raw_Data!F728), "Review")</f>
        <v>Inactive</v>
      </c>
      <c r="H728" s="3" t="str">
        <f>IFERROR(TEXT(Raw_Data!G728, "YYYY-MM-DD"),"Review")</f>
        <v>2023-03-16</v>
      </c>
      <c r="I728" s="4">
        <f>IF(Raw_Data!H728="", "", IFERROR(VALUE(Raw_Data!H728), ""))</f>
        <v>102172.05</v>
      </c>
      <c r="J728" s="2" t="str">
        <f>IF(Raw_Data!I728="", "", IF(ISNUMBER(FIND("@", Raw_Data!I728)), Raw_Data!I728, "Review"))</f>
        <v>charlie.williams@example.com</v>
      </c>
      <c r="K728" s="5" t="str">
        <f>IFERROR(TEXT(ABS(Raw_Data!J728), "0"), "Review")</f>
        <v>6672521451</v>
      </c>
      <c r="L728" s="2" t="str">
        <f>IFERROR(TRIM(Raw_Data!K728), "Review")</f>
        <v>Poor</v>
      </c>
      <c r="M728" s="2" t="b">
        <f>IF(Raw_Data!L728="", "",
    IF(ISLOGICAL(Raw_Data!L728), Raw_Data!L728,
        IF(OR(UPPER(Raw_Data!L728)="TRUE", UPPER(Raw_Data!L728)="YES", UPPER(Raw_Data!L728)="1"), TRUE,
            IF(OR(UPPER(Raw_Data!L728)="FALSE", UPPER(Raw_Data!L728)="NO", UPPER(Raw_Data!L728)="0"), FALSE, "Review")
        )
    )
)</f>
        <v>0</v>
      </c>
    </row>
    <row r="729" spans="1:13" x14ac:dyDescent="0.4">
      <c r="A729" s="2" t="str">
        <f>IFERROR(TRIM(Raw_Data!A729), "Review")</f>
        <v>EMP1727</v>
      </c>
      <c r="B729" s="2" t="str">
        <f>IFERROR(TRIM(Raw_Data!B729), "Review")</f>
        <v>Eva</v>
      </c>
      <c r="C729" s="2" t="str">
        <f>IFERROR(TRIM(Raw_Data!C729), "Review")</f>
        <v>Williams</v>
      </c>
      <c r="D729" s="2">
        <f>IF(Raw_Data!D729="", "", IFERROR(VALUE(Raw_Data!D729), ""))</f>
        <v>25</v>
      </c>
      <c r="E729" s="2" t="str">
        <f>IFERROR(LEFT(Raw_Data!E729,SEARCH("-",Raw_Data!E729)-1),"Review")</f>
        <v>Finance</v>
      </c>
      <c r="F729" s="2" t="str">
        <f>IFERROR(_xlfn.TEXTAFTER(Raw_Data!E729,"-"),"Review")</f>
        <v>Illinois</v>
      </c>
      <c r="G729" s="2" t="str">
        <f>IFERROR(TRIM(Raw_Data!F729), "Review")</f>
        <v>Inactive</v>
      </c>
      <c r="H729" s="3" t="str">
        <f>IFERROR(TEXT(Raw_Data!G729, "YYYY-MM-DD"),"Review")</f>
        <v>2024-05-03</v>
      </c>
      <c r="I729" s="4">
        <f>IF(Raw_Data!H729="", "", IFERROR(VALUE(Raw_Data!H729), ""))</f>
        <v>98850.94</v>
      </c>
      <c r="J729" s="2" t="str">
        <f>IF(Raw_Data!I729="", "", IF(ISNUMBER(FIND("@", Raw_Data!I729)), Raw_Data!I729, "Review"))</f>
        <v>eva.williams@example.com</v>
      </c>
      <c r="K729" s="5" t="str">
        <f>IFERROR(TEXT(ABS(Raw_Data!J729), "0"), "Review")</f>
        <v>6471246334</v>
      </c>
      <c r="L729" s="2" t="str">
        <f>IFERROR(TRIM(Raw_Data!K729), "Review")</f>
        <v>Excellent</v>
      </c>
      <c r="M729" s="2" t="b">
        <f>IF(Raw_Data!L729="", "",
    IF(ISLOGICAL(Raw_Data!L729), Raw_Data!L729,
        IF(OR(UPPER(Raw_Data!L729)="TRUE", UPPER(Raw_Data!L729)="YES", UPPER(Raw_Data!L729)="1"), TRUE,
            IF(OR(UPPER(Raw_Data!L729)="FALSE", UPPER(Raw_Data!L729)="NO", UPPER(Raw_Data!L729)="0"), FALSE, "Review")
        )
    )
)</f>
        <v>1</v>
      </c>
    </row>
    <row r="730" spans="1:13" x14ac:dyDescent="0.4">
      <c r="A730" s="2" t="str">
        <f>IFERROR(TRIM(Raw_Data!A730), "Review")</f>
        <v>EMP1728</v>
      </c>
      <c r="B730" s="2" t="str">
        <f>IFERROR(TRIM(Raw_Data!B730), "Review")</f>
        <v>Heidi</v>
      </c>
      <c r="C730" s="2" t="str">
        <f>IFERROR(TRIM(Raw_Data!C730), "Review")</f>
        <v>Jones</v>
      </c>
      <c r="D730" s="2" t="str">
        <f>IF(Raw_Data!D730="", "", IFERROR(VALUE(Raw_Data!D730), ""))</f>
        <v/>
      </c>
      <c r="E730" s="2" t="str">
        <f>IFERROR(LEFT(Raw_Data!E730,SEARCH("-",Raw_Data!E730)-1),"Review")</f>
        <v>Admin</v>
      </c>
      <c r="F730" s="2" t="str">
        <f>IFERROR(_xlfn.TEXTAFTER(Raw_Data!E730,"-"),"Review")</f>
        <v>Florida</v>
      </c>
      <c r="G730" s="2" t="str">
        <f>IFERROR(TRIM(Raw_Data!F730), "Review")</f>
        <v>Inactive</v>
      </c>
      <c r="H730" s="3" t="str">
        <f>IFERROR(TEXT(Raw_Data!G730, "YYYY-MM-DD"),"Review")</f>
        <v>2023-08-28</v>
      </c>
      <c r="I730" s="4">
        <f>IF(Raw_Data!H730="", "", IFERROR(VALUE(Raw_Data!H730), ""))</f>
        <v>89993.15</v>
      </c>
      <c r="J730" s="2" t="str">
        <f>IF(Raw_Data!I730="", "", IF(ISNUMBER(FIND("@", Raw_Data!I730)), Raw_Data!I730, "Review"))</f>
        <v>heidi.jones@example.com</v>
      </c>
      <c r="K730" s="5" t="str">
        <f>IFERROR(TEXT(ABS(Raw_Data!J730), "0"), "Review")</f>
        <v>1571840907</v>
      </c>
      <c r="L730" s="2" t="str">
        <f>IFERROR(TRIM(Raw_Data!K730), "Review")</f>
        <v>Average</v>
      </c>
      <c r="M730" s="2" t="b">
        <f>IF(Raw_Data!L730="", "",
    IF(ISLOGICAL(Raw_Data!L730), Raw_Data!L730,
        IF(OR(UPPER(Raw_Data!L730)="TRUE", UPPER(Raw_Data!L730)="YES", UPPER(Raw_Data!L730)="1"), TRUE,
            IF(OR(UPPER(Raw_Data!L730)="FALSE", UPPER(Raw_Data!L730)="NO", UPPER(Raw_Data!L730)="0"), FALSE, "Review")
        )
    )
)</f>
        <v>1</v>
      </c>
    </row>
    <row r="731" spans="1:13" x14ac:dyDescent="0.4">
      <c r="A731" s="2" t="str">
        <f>IFERROR(TRIM(Raw_Data!A731), "Review")</f>
        <v>EMP1729</v>
      </c>
      <c r="B731" s="2" t="str">
        <f>IFERROR(TRIM(Raw_Data!B731), "Review")</f>
        <v>David</v>
      </c>
      <c r="C731" s="2" t="str">
        <f>IFERROR(TRIM(Raw_Data!C731), "Review")</f>
        <v>Brown</v>
      </c>
      <c r="D731" s="2">
        <f>IF(Raw_Data!D731="", "", IFERROR(VALUE(Raw_Data!D731), ""))</f>
        <v>30</v>
      </c>
      <c r="E731" s="2" t="str">
        <f>IFERROR(LEFT(Raw_Data!E731,SEARCH("-",Raw_Data!E731)-1),"Review")</f>
        <v>Cloud Tech</v>
      </c>
      <c r="F731" s="2" t="str">
        <f>IFERROR(_xlfn.TEXTAFTER(Raw_Data!E731,"-"),"Review")</f>
        <v>California</v>
      </c>
      <c r="G731" s="2" t="str">
        <f>IFERROR(TRIM(Raw_Data!F731), "Review")</f>
        <v>Inactive</v>
      </c>
      <c r="H731" s="3" t="str">
        <f>IFERROR(TEXT(Raw_Data!G731, "YYYY-MM-DD"),"Review")</f>
        <v>2021-10-24</v>
      </c>
      <c r="I731" s="4">
        <f>IF(Raw_Data!H731="", "", IFERROR(VALUE(Raw_Data!H731), ""))</f>
        <v>97931.66</v>
      </c>
      <c r="J731" s="2" t="str">
        <f>IF(Raw_Data!I731="", "", IF(ISNUMBER(FIND("@", Raw_Data!I731)), Raw_Data!I731, "Review"))</f>
        <v>david.brown@example.com</v>
      </c>
      <c r="K731" s="5" t="str">
        <f>IFERROR(TEXT(ABS(Raw_Data!J731), "0"), "Review")</f>
        <v>512080055</v>
      </c>
      <c r="L731" s="2" t="str">
        <f>IFERROR(TRIM(Raw_Data!K731), "Review")</f>
        <v>Average</v>
      </c>
      <c r="M731" s="2" t="b">
        <f>IF(Raw_Data!L731="", "",
    IF(ISLOGICAL(Raw_Data!L731), Raw_Data!L731,
        IF(OR(UPPER(Raw_Data!L731)="TRUE", UPPER(Raw_Data!L731)="YES", UPPER(Raw_Data!L731)="1"), TRUE,
            IF(OR(UPPER(Raw_Data!L731)="FALSE", UPPER(Raw_Data!L731)="NO", UPPER(Raw_Data!L731)="0"), FALSE, "Review")
        )
    )
)</f>
        <v>1</v>
      </c>
    </row>
    <row r="732" spans="1:13" x14ac:dyDescent="0.4">
      <c r="A732" s="2" t="str">
        <f>IFERROR(TRIM(Raw_Data!A732), "Review")</f>
        <v>EMP1730</v>
      </c>
      <c r="B732" s="2" t="str">
        <f>IFERROR(TRIM(Raw_Data!B732), "Review")</f>
        <v>Bob</v>
      </c>
      <c r="C732" s="2" t="str">
        <f>IFERROR(TRIM(Raw_Data!C732), "Review")</f>
        <v>Williams</v>
      </c>
      <c r="D732" s="2">
        <f>IF(Raw_Data!D732="", "", IFERROR(VALUE(Raw_Data!D732), ""))</f>
        <v>40</v>
      </c>
      <c r="E732" s="2" t="str">
        <f>IFERROR(LEFT(Raw_Data!E732,SEARCH("-",Raw_Data!E732)-1),"Review")</f>
        <v>Finance</v>
      </c>
      <c r="F732" s="2" t="str">
        <f>IFERROR(_xlfn.TEXTAFTER(Raw_Data!E732,"-"),"Review")</f>
        <v>California</v>
      </c>
      <c r="G732" s="2" t="str">
        <f>IFERROR(TRIM(Raw_Data!F732), "Review")</f>
        <v>Inactive</v>
      </c>
      <c r="H732" s="3" t="str">
        <f>IFERROR(TEXT(Raw_Data!G732, "YYYY-MM-DD"),"Review")</f>
        <v>2021-01-25</v>
      </c>
      <c r="I732" s="4">
        <f>IF(Raw_Data!H732="", "", IFERROR(VALUE(Raw_Data!H732), ""))</f>
        <v>72451.69</v>
      </c>
      <c r="J732" s="2" t="str">
        <f>IF(Raw_Data!I732="", "", IF(ISNUMBER(FIND("@", Raw_Data!I732)), Raw_Data!I732, "Review"))</f>
        <v>bob.williams@example.com</v>
      </c>
      <c r="K732" s="5" t="str">
        <f>IFERROR(TEXT(ABS(Raw_Data!J732), "0"), "Review")</f>
        <v>4099512396</v>
      </c>
      <c r="L732" s="2" t="str">
        <f>IFERROR(TRIM(Raw_Data!K732), "Review")</f>
        <v>Poor</v>
      </c>
      <c r="M732" s="2" t="b">
        <f>IF(Raw_Data!L732="", "",
    IF(ISLOGICAL(Raw_Data!L732), Raw_Data!L732,
        IF(OR(UPPER(Raw_Data!L732)="TRUE", UPPER(Raw_Data!L732)="YES", UPPER(Raw_Data!L732)="1"), TRUE,
            IF(OR(UPPER(Raw_Data!L732)="FALSE", UPPER(Raw_Data!L732)="NO", UPPER(Raw_Data!L732)="0"), FALSE, "Review")
        )
    )
)</f>
        <v>1</v>
      </c>
    </row>
    <row r="733" spans="1:13" x14ac:dyDescent="0.4">
      <c r="A733" s="2" t="str">
        <f>IFERROR(TRIM(Raw_Data!A733), "Review")</f>
        <v>EMP1731</v>
      </c>
      <c r="B733" s="2" t="str">
        <f>IFERROR(TRIM(Raw_Data!B733), "Review")</f>
        <v>Alice</v>
      </c>
      <c r="C733" s="2" t="str">
        <f>IFERROR(TRIM(Raw_Data!C733), "Review")</f>
        <v>Smith</v>
      </c>
      <c r="D733" s="2">
        <f>IF(Raw_Data!D733="", "", IFERROR(VALUE(Raw_Data!D733), ""))</f>
        <v>35</v>
      </c>
      <c r="E733" s="2" t="str">
        <f>IFERROR(LEFT(Raw_Data!E733,SEARCH("-",Raw_Data!E733)-1),"Review")</f>
        <v>Admin</v>
      </c>
      <c r="F733" s="2" t="str">
        <f>IFERROR(_xlfn.TEXTAFTER(Raw_Data!E733,"-"),"Review")</f>
        <v>California</v>
      </c>
      <c r="G733" s="2" t="str">
        <f>IFERROR(TRIM(Raw_Data!F733), "Review")</f>
        <v>Pending</v>
      </c>
      <c r="H733" s="3" t="str">
        <f>IFERROR(TEXT(Raw_Data!G733, "YYYY-MM-DD"),"Review")</f>
        <v>2024-08-09</v>
      </c>
      <c r="I733" s="4">
        <f>IF(Raw_Data!H733="", "", IFERROR(VALUE(Raw_Data!H733), ""))</f>
        <v>119311.14</v>
      </c>
      <c r="J733" s="2" t="str">
        <f>IF(Raw_Data!I733="", "", IF(ISNUMBER(FIND("@", Raw_Data!I733)), Raw_Data!I733, "Review"))</f>
        <v>alice.smith@example.com</v>
      </c>
      <c r="K733" s="5" t="str">
        <f>IFERROR(TEXT(ABS(Raw_Data!J733), "0"), "Review")</f>
        <v>2835129591</v>
      </c>
      <c r="L733" s="2" t="str">
        <f>IFERROR(TRIM(Raw_Data!K733), "Review")</f>
        <v>Poor</v>
      </c>
      <c r="M733" s="2" t="b">
        <f>IF(Raw_Data!L733="", "",
    IF(ISLOGICAL(Raw_Data!L733), Raw_Data!L733,
        IF(OR(UPPER(Raw_Data!L733)="TRUE", UPPER(Raw_Data!L733)="YES", UPPER(Raw_Data!L733)="1"), TRUE,
            IF(OR(UPPER(Raw_Data!L733)="FALSE", UPPER(Raw_Data!L733)="NO", UPPER(Raw_Data!L733)="0"), FALSE, "Review")
        )
    )
)</f>
        <v>1</v>
      </c>
    </row>
    <row r="734" spans="1:13" x14ac:dyDescent="0.4">
      <c r="A734" s="2" t="str">
        <f>IFERROR(TRIM(Raw_Data!A734), "Review")</f>
        <v>EMP1732</v>
      </c>
      <c r="B734" s="2" t="str">
        <f>IFERROR(TRIM(Raw_Data!B734), "Review")</f>
        <v>Charlie</v>
      </c>
      <c r="C734" s="2" t="str">
        <f>IFERROR(TRIM(Raw_Data!C734), "Review")</f>
        <v>Smith</v>
      </c>
      <c r="D734" s="2">
        <f>IF(Raw_Data!D734="", "", IFERROR(VALUE(Raw_Data!D734), ""))</f>
        <v>40</v>
      </c>
      <c r="E734" s="2" t="str">
        <f>IFERROR(LEFT(Raw_Data!E734,SEARCH("-",Raw_Data!E734)-1),"Review")</f>
        <v>Cloud Tech</v>
      </c>
      <c r="F734" s="2" t="str">
        <f>IFERROR(_xlfn.TEXTAFTER(Raw_Data!E734,"-"),"Review")</f>
        <v>New York</v>
      </c>
      <c r="G734" s="2" t="str">
        <f>IFERROR(TRIM(Raw_Data!F734), "Review")</f>
        <v>Active</v>
      </c>
      <c r="H734" s="3" t="str">
        <f>IFERROR(TEXT(Raw_Data!G734, "YYYY-MM-DD"),"Review")</f>
        <v>2023-11-04</v>
      </c>
      <c r="I734" s="4">
        <f>IF(Raw_Data!H734="", "", IFERROR(VALUE(Raw_Data!H734), ""))</f>
        <v>76167.460000000006</v>
      </c>
      <c r="J734" s="2" t="str">
        <f>IF(Raw_Data!I734="", "", IF(ISNUMBER(FIND("@", Raw_Data!I734)), Raw_Data!I734, "Review"))</f>
        <v>charlie.smith@example.com</v>
      </c>
      <c r="K734" s="5" t="str">
        <f>IFERROR(TEXT(ABS(Raw_Data!J734), "0"), "Review")</f>
        <v>7282709080</v>
      </c>
      <c r="L734" s="2" t="str">
        <f>IFERROR(TRIM(Raw_Data!K734), "Review")</f>
        <v>Good</v>
      </c>
      <c r="M734" s="2" t="b">
        <f>IF(Raw_Data!L734="", "",
    IF(ISLOGICAL(Raw_Data!L734), Raw_Data!L734,
        IF(OR(UPPER(Raw_Data!L734)="TRUE", UPPER(Raw_Data!L734)="YES", UPPER(Raw_Data!L734)="1"), TRUE,
            IF(OR(UPPER(Raw_Data!L734)="FALSE", UPPER(Raw_Data!L734)="NO", UPPER(Raw_Data!L734)="0"), FALSE, "Review")
        )
    )
)</f>
        <v>0</v>
      </c>
    </row>
    <row r="735" spans="1:13" x14ac:dyDescent="0.4">
      <c r="A735" s="2" t="str">
        <f>IFERROR(TRIM(Raw_Data!A735), "Review")</f>
        <v>EMP1733</v>
      </c>
      <c r="B735" s="2" t="str">
        <f>IFERROR(TRIM(Raw_Data!B735), "Review")</f>
        <v>Bob</v>
      </c>
      <c r="C735" s="2" t="str">
        <f>IFERROR(TRIM(Raw_Data!C735), "Review")</f>
        <v>Garcia</v>
      </c>
      <c r="D735" s="2">
        <f>IF(Raw_Data!D735="", "", IFERROR(VALUE(Raw_Data!D735), ""))</f>
        <v>25</v>
      </c>
      <c r="E735" s="2" t="str">
        <f>IFERROR(LEFT(Raw_Data!E735,SEARCH("-",Raw_Data!E735)-1),"Review")</f>
        <v>DevOps</v>
      </c>
      <c r="F735" s="2" t="str">
        <f>IFERROR(_xlfn.TEXTAFTER(Raw_Data!E735,"-"),"Review")</f>
        <v>Texas</v>
      </c>
      <c r="G735" s="2" t="str">
        <f>IFERROR(TRIM(Raw_Data!F735), "Review")</f>
        <v>Active</v>
      </c>
      <c r="H735" s="3" t="str">
        <f>IFERROR(TEXT(Raw_Data!G735, "YYYY-MM-DD"),"Review")</f>
        <v>2023-06-25</v>
      </c>
      <c r="I735" s="4">
        <f>IF(Raw_Data!H735="", "", IFERROR(VALUE(Raw_Data!H735), ""))</f>
        <v>114871.08</v>
      </c>
      <c r="J735" s="2" t="str">
        <f>IF(Raw_Data!I735="", "", IF(ISNUMBER(FIND("@", Raw_Data!I735)), Raw_Data!I735, "Review"))</f>
        <v>bob.garcia@example.com</v>
      </c>
      <c r="K735" s="5" t="str">
        <f>IFERROR(TEXT(ABS(Raw_Data!J735), "0"), "Review")</f>
        <v>4415298216</v>
      </c>
      <c r="L735" s="2" t="str">
        <f>IFERROR(TRIM(Raw_Data!K735), "Review")</f>
        <v>Average</v>
      </c>
      <c r="M735" s="2" t="b">
        <f>IF(Raw_Data!L735="", "",
    IF(ISLOGICAL(Raw_Data!L735), Raw_Data!L735,
        IF(OR(UPPER(Raw_Data!L735)="TRUE", UPPER(Raw_Data!L735)="YES", UPPER(Raw_Data!L735)="1"), TRUE,
            IF(OR(UPPER(Raw_Data!L735)="FALSE", UPPER(Raw_Data!L735)="NO", UPPER(Raw_Data!L735)="0"), FALSE, "Review")
        )
    )
)</f>
        <v>0</v>
      </c>
    </row>
    <row r="736" spans="1:13" x14ac:dyDescent="0.4">
      <c r="A736" s="2" t="str">
        <f>IFERROR(TRIM(Raw_Data!A736), "Review")</f>
        <v>EMP1734</v>
      </c>
      <c r="B736" s="2" t="str">
        <f>IFERROR(TRIM(Raw_Data!B736), "Review")</f>
        <v>Eva</v>
      </c>
      <c r="C736" s="2" t="str">
        <f>IFERROR(TRIM(Raw_Data!C736), "Review")</f>
        <v>Johnson</v>
      </c>
      <c r="D736" s="2">
        <f>IF(Raw_Data!D736="", "", IFERROR(VALUE(Raw_Data!D736), ""))</f>
        <v>25</v>
      </c>
      <c r="E736" s="2" t="str">
        <f>IFERROR(LEFT(Raw_Data!E736,SEARCH("-",Raw_Data!E736)-1),"Review")</f>
        <v>HR</v>
      </c>
      <c r="F736" s="2" t="str">
        <f>IFERROR(_xlfn.TEXTAFTER(Raw_Data!E736,"-"),"Review")</f>
        <v>Nevada</v>
      </c>
      <c r="G736" s="2" t="str">
        <f>IFERROR(TRIM(Raw_Data!F736), "Review")</f>
        <v>Active</v>
      </c>
      <c r="H736" s="3" t="str">
        <f>IFERROR(TEXT(Raw_Data!G736, "YYYY-MM-DD"),"Review")</f>
        <v>2021-09-16</v>
      </c>
      <c r="I736" s="4">
        <f>IF(Raw_Data!H736="", "", IFERROR(VALUE(Raw_Data!H736), ""))</f>
        <v>81504.31</v>
      </c>
      <c r="J736" s="2" t="str">
        <f>IF(Raw_Data!I736="", "", IF(ISNUMBER(FIND("@", Raw_Data!I736)), Raw_Data!I736, "Review"))</f>
        <v>eva.johnson@example.com</v>
      </c>
      <c r="K736" s="5" t="str">
        <f>IFERROR(TEXT(ABS(Raw_Data!J736), "0"), "Review")</f>
        <v>3929578670</v>
      </c>
      <c r="L736" s="2" t="str">
        <f>IFERROR(TRIM(Raw_Data!K736), "Review")</f>
        <v>Excellent</v>
      </c>
      <c r="M736" s="2" t="b">
        <f>IF(Raw_Data!L736="", "",
    IF(ISLOGICAL(Raw_Data!L736), Raw_Data!L736,
        IF(OR(UPPER(Raw_Data!L736)="TRUE", UPPER(Raw_Data!L736)="YES", UPPER(Raw_Data!L736)="1"), TRUE,
            IF(OR(UPPER(Raw_Data!L736)="FALSE", UPPER(Raw_Data!L736)="NO", UPPER(Raw_Data!L736)="0"), FALSE, "Review")
        )
    )
)</f>
        <v>0</v>
      </c>
    </row>
    <row r="737" spans="1:13" x14ac:dyDescent="0.4">
      <c r="A737" s="2" t="str">
        <f>IFERROR(TRIM(Raw_Data!A737), "Review")</f>
        <v>EMP1735</v>
      </c>
      <c r="B737" s="2" t="str">
        <f>IFERROR(TRIM(Raw_Data!B737), "Review")</f>
        <v>David</v>
      </c>
      <c r="C737" s="2" t="str">
        <f>IFERROR(TRIM(Raw_Data!C737), "Review")</f>
        <v>Williams</v>
      </c>
      <c r="D737" s="2" t="str">
        <f>IF(Raw_Data!D737="", "", IFERROR(VALUE(Raw_Data!D737), ""))</f>
        <v/>
      </c>
      <c r="E737" s="2" t="str">
        <f>IFERROR(LEFT(Raw_Data!E737,SEARCH("-",Raw_Data!E737)-1),"Review")</f>
        <v>Admin</v>
      </c>
      <c r="F737" s="2" t="str">
        <f>IFERROR(_xlfn.TEXTAFTER(Raw_Data!E737,"-"),"Review")</f>
        <v>New York</v>
      </c>
      <c r="G737" s="2" t="str">
        <f>IFERROR(TRIM(Raw_Data!F737), "Review")</f>
        <v>Pending</v>
      </c>
      <c r="H737" s="3" t="str">
        <f>IFERROR(TEXT(Raw_Data!G737, "YYYY-MM-DD"),"Review")</f>
        <v>2022-12-07</v>
      </c>
      <c r="I737" s="4">
        <f>IF(Raw_Data!H737="", "", IFERROR(VALUE(Raw_Data!H737), ""))</f>
        <v>102524.86</v>
      </c>
      <c r="J737" s="2" t="str">
        <f>IF(Raw_Data!I737="", "", IF(ISNUMBER(FIND("@", Raw_Data!I737)), Raw_Data!I737, "Review"))</f>
        <v>david.williams@example.com</v>
      </c>
      <c r="K737" s="5" t="str">
        <f>IFERROR(TEXT(ABS(Raw_Data!J737), "0"), "Review")</f>
        <v>8153523735</v>
      </c>
      <c r="L737" s="2" t="str">
        <f>IFERROR(TRIM(Raw_Data!K737), "Review")</f>
        <v>Poor</v>
      </c>
      <c r="M737" s="2" t="b">
        <f>IF(Raw_Data!L737="", "",
    IF(ISLOGICAL(Raw_Data!L737), Raw_Data!L737,
        IF(OR(UPPER(Raw_Data!L737)="TRUE", UPPER(Raw_Data!L737)="YES", UPPER(Raw_Data!L737)="1"), TRUE,
            IF(OR(UPPER(Raw_Data!L737)="FALSE", UPPER(Raw_Data!L737)="NO", UPPER(Raw_Data!L737)="0"), FALSE, "Review")
        )
    )
)</f>
        <v>0</v>
      </c>
    </row>
    <row r="738" spans="1:13" x14ac:dyDescent="0.4">
      <c r="A738" s="2" t="str">
        <f>IFERROR(TRIM(Raw_Data!A738), "Review")</f>
        <v>EMP1736</v>
      </c>
      <c r="B738" s="2" t="str">
        <f>IFERROR(TRIM(Raw_Data!B738), "Review")</f>
        <v>Charlie</v>
      </c>
      <c r="C738" s="2" t="str">
        <f>IFERROR(TRIM(Raw_Data!C738), "Review")</f>
        <v>Brown</v>
      </c>
      <c r="D738" s="2">
        <f>IF(Raw_Data!D738="", "", IFERROR(VALUE(Raw_Data!D738), ""))</f>
        <v>25</v>
      </c>
      <c r="E738" s="2" t="str">
        <f>IFERROR(LEFT(Raw_Data!E738,SEARCH("-",Raw_Data!E738)-1),"Review")</f>
        <v>Finance</v>
      </c>
      <c r="F738" s="2" t="str">
        <f>IFERROR(_xlfn.TEXTAFTER(Raw_Data!E738,"-"),"Review")</f>
        <v>Illinois</v>
      </c>
      <c r="G738" s="2" t="str">
        <f>IFERROR(TRIM(Raw_Data!F738), "Review")</f>
        <v>Pending</v>
      </c>
      <c r="H738" s="3" t="str">
        <f>IFERROR(TEXT(Raw_Data!G738, "YYYY-MM-DD"),"Review")</f>
        <v>2022-12-14</v>
      </c>
      <c r="I738" s="4">
        <f>IF(Raw_Data!H738="", "", IFERROR(VALUE(Raw_Data!H738), ""))</f>
        <v>53043.74</v>
      </c>
      <c r="J738" s="2" t="str">
        <f>IF(Raw_Data!I738="", "", IF(ISNUMBER(FIND("@", Raw_Data!I738)), Raw_Data!I738, "Review"))</f>
        <v>charlie.brown@example.com</v>
      </c>
      <c r="K738" s="5" t="str">
        <f>IFERROR(TEXT(ABS(Raw_Data!J738), "0"), "Review")</f>
        <v>507918157</v>
      </c>
      <c r="L738" s="2" t="str">
        <f>IFERROR(TRIM(Raw_Data!K738), "Review")</f>
        <v>Excellent</v>
      </c>
      <c r="M738" s="2" t="b">
        <f>IF(Raw_Data!L738="", "",
    IF(ISLOGICAL(Raw_Data!L738), Raw_Data!L738,
        IF(OR(UPPER(Raw_Data!L738)="TRUE", UPPER(Raw_Data!L738)="YES", UPPER(Raw_Data!L738)="1"), TRUE,
            IF(OR(UPPER(Raw_Data!L738)="FALSE", UPPER(Raw_Data!L738)="NO", UPPER(Raw_Data!L738)="0"), FALSE, "Review")
        )
    )
)</f>
        <v>1</v>
      </c>
    </row>
    <row r="739" spans="1:13" x14ac:dyDescent="0.4">
      <c r="A739" s="2" t="str">
        <f>IFERROR(TRIM(Raw_Data!A739), "Review")</f>
        <v>EMP1737</v>
      </c>
      <c r="B739" s="2" t="str">
        <f>IFERROR(TRIM(Raw_Data!B739), "Review")</f>
        <v>Eva</v>
      </c>
      <c r="C739" s="2" t="str">
        <f>IFERROR(TRIM(Raw_Data!C739), "Review")</f>
        <v>Jones</v>
      </c>
      <c r="D739" s="2">
        <f>IF(Raw_Data!D739="", "", IFERROR(VALUE(Raw_Data!D739), ""))</f>
        <v>30</v>
      </c>
      <c r="E739" s="2" t="str">
        <f>IFERROR(LEFT(Raw_Data!E739,SEARCH("-",Raw_Data!E739)-1),"Review")</f>
        <v>DevOps</v>
      </c>
      <c r="F739" s="2" t="str">
        <f>IFERROR(_xlfn.TEXTAFTER(Raw_Data!E739,"-"),"Review")</f>
        <v>Illinois</v>
      </c>
      <c r="G739" s="2" t="str">
        <f>IFERROR(TRIM(Raw_Data!F739), "Review")</f>
        <v>Inactive</v>
      </c>
      <c r="H739" s="3" t="str">
        <f>IFERROR(TEXT(Raw_Data!G739, "YYYY-MM-DD"),"Review")</f>
        <v>2020-04-18</v>
      </c>
      <c r="I739" s="4">
        <f>IF(Raw_Data!H739="", "", IFERROR(VALUE(Raw_Data!H739), ""))</f>
        <v>82547.259999999995</v>
      </c>
      <c r="J739" s="2" t="str">
        <f>IF(Raw_Data!I739="", "", IF(ISNUMBER(FIND("@", Raw_Data!I739)), Raw_Data!I739, "Review"))</f>
        <v>eva.jones@example.com</v>
      </c>
      <c r="K739" s="5" t="str">
        <f>IFERROR(TEXT(ABS(Raw_Data!J739), "0"), "Review")</f>
        <v>9988683451</v>
      </c>
      <c r="L739" s="2" t="str">
        <f>IFERROR(TRIM(Raw_Data!K739), "Review")</f>
        <v>Excellent</v>
      </c>
      <c r="M739" s="2" t="b">
        <f>IF(Raw_Data!L739="", "",
    IF(ISLOGICAL(Raw_Data!L739), Raw_Data!L739,
        IF(OR(UPPER(Raw_Data!L739)="TRUE", UPPER(Raw_Data!L739)="YES", UPPER(Raw_Data!L739)="1"), TRUE,
            IF(OR(UPPER(Raw_Data!L739)="FALSE", UPPER(Raw_Data!L739)="NO", UPPER(Raw_Data!L739)="0"), FALSE, "Review")
        )
    )
)</f>
        <v>1</v>
      </c>
    </row>
    <row r="740" spans="1:13" x14ac:dyDescent="0.4">
      <c r="A740" s="2" t="str">
        <f>IFERROR(TRIM(Raw_Data!A740), "Review")</f>
        <v>EMP1738</v>
      </c>
      <c r="B740" s="2" t="str">
        <f>IFERROR(TRIM(Raw_Data!B740), "Review")</f>
        <v>Bob</v>
      </c>
      <c r="C740" s="2" t="str">
        <f>IFERROR(TRIM(Raw_Data!C740), "Review")</f>
        <v>Jones</v>
      </c>
      <c r="D740" s="2">
        <f>IF(Raw_Data!D740="", "", IFERROR(VALUE(Raw_Data!D740), ""))</f>
        <v>40</v>
      </c>
      <c r="E740" s="2" t="str">
        <f>IFERROR(LEFT(Raw_Data!E740,SEARCH("-",Raw_Data!E740)-1),"Review")</f>
        <v>DevOps</v>
      </c>
      <c r="F740" s="2" t="str">
        <f>IFERROR(_xlfn.TEXTAFTER(Raw_Data!E740,"-"),"Review")</f>
        <v>California</v>
      </c>
      <c r="G740" s="2" t="str">
        <f>IFERROR(TRIM(Raw_Data!F740), "Review")</f>
        <v>Pending</v>
      </c>
      <c r="H740" s="3" t="str">
        <f>IFERROR(TEXT(Raw_Data!G740, "YYYY-MM-DD"),"Review")</f>
        <v>2024-10-11</v>
      </c>
      <c r="I740" s="4">
        <f>IF(Raw_Data!H740="", "", IFERROR(VALUE(Raw_Data!H740), ""))</f>
        <v>113900.81</v>
      </c>
      <c r="J740" s="2" t="str">
        <f>IF(Raw_Data!I740="", "", IF(ISNUMBER(FIND("@", Raw_Data!I740)), Raw_Data!I740, "Review"))</f>
        <v>bob.jones@example.com</v>
      </c>
      <c r="K740" s="5" t="str">
        <f>IFERROR(TEXT(ABS(Raw_Data!J740), "0"), "Review")</f>
        <v>7346666169</v>
      </c>
      <c r="L740" s="2" t="str">
        <f>IFERROR(TRIM(Raw_Data!K740), "Review")</f>
        <v>Average</v>
      </c>
      <c r="M740" s="2" t="b">
        <f>IF(Raw_Data!L740="", "",
    IF(ISLOGICAL(Raw_Data!L740), Raw_Data!L740,
        IF(OR(UPPER(Raw_Data!L740)="TRUE", UPPER(Raw_Data!L740)="YES", UPPER(Raw_Data!L740)="1"), TRUE,
            IF(OR(UPPER(Raw_Data!L740)="FALSE", UPPER(Raw_Data!L740)="NO", UPPER(Raw_Data!L740)="0"), FALSE, "Review")
        )
    )
)</f>
        <v>1</v>
      </c>
    </row>
    <row r="741" spans="1:13" x14ac:dyDescent="0.4">
      <c r="A741" s="2" t="str">
        <f>IFERROR(TRIM(Raw_Data!A741), "Review")</f>
        <v>EMP1739</v>
      </c>
      <c r="B741" s="2" t="str">
        <f>IFERROR(TRIM(Raw_Data!B741), "Review")</f>
        <v>Bob</v>
      </c>
      <c r="C741" s="2" t="str">
        <f>IFERROR(TRIM(Raw_Data!C741), "Review")</f>
        <v>Brown</v>
      </c>
      <c r="D741" s="2">
        <f>IF(Raw_Data!D741="", "", IFERROR(VALUE(Raw_Data!D741), ""))</f>
        <v>25</v>
      </c>
      <c r="E741" s="2" t="str">
        <f>IFERROR(LEFT(Raw_Data!E741,SEARCH("-",Raw_Data!E741)-1),"Review")</f>
        <v>HR</v>
      </c>
      <c r="F741" s="2" t="str">
        <f>IFERROR(_xlfn.TEXTAFTER(Raw_Data!E741,"-"),"Review")</f>
        <v>Nevada</v>
      </c>
      <c r="G741" s="2" t="str">
        <f>IFERROR(TRIM(Raw_Data!F741), "Review")</f>
        <v>Inactive</v>
      </c>
      <c r="H741" s="3" t="str">
        <f>IFERROR(TEXT(Raw_Data!G741, "YYYY-MM-DD"),"Review")</f>
        <v>2021-04-18</v>
      </c>
      <c r="I741" s="4">
        <f>IF(Raw_Data!H741="", "", IFERROR(VALUE(Raw_Data!H741), ""))</f>
        <v>118585.5</v>
      </c>
      <c r="J741" s="2" t="str">
        <f>IF(Raw_Data!I741="", "", IF(ISNUMBER(FIND("@", Raw_Data!I741)), Raw_Data!I741, "Review"))</f>
        <v>bob.brown@example.com</v>
      </c>
      <c r="K741" s="5" t="str">
        <f>IFERROR(TEXT(ABS(Raw_Data!J741), "0"), "Review")</f>
        <v>7158796473</v>
      </c>
      <c r="L741" s="2" t="str">
        <f>IFERROR(TRIM(Raw_Data!K741), "Review")</f>
        <v>Average</v>
      </c>
      <c r="M741" s="2" t="b">
        <f>IF(Raw_Data!L741="", "",
    IF(ISLOGICAL(Raw_Data!L741), Raw_Data!L741,
        IF(OR(UPPER(Raw_Data!L741)="TRUE", UPPER(Raw_Data!L741)="YES", UPPER(Raw_Data!L741)="1"), TRUE,
            IF(OR(UPPER(Raw_Data!L741)="FALSE", UPPER(Raw_Data!L741)="NO", UPPER(Raw_Data!L741)="0"), FALSE, "Review")
        )
    )
)</f>
        <v>1</v>
      </c>
    </row>
    <row r="742" spans="1:13" x14ac:dyDescent="0.4">
      <c r="A742" s="2" t="str">
        <f>IFERROR(TRIM(Raw_Data!A742), "Review")</f>
        <v>EMP1740</v>
      </c>
      <c r="B742" s="2" t="str">
        <f>IFERROR(TRIM(Raw_Data!B742), "Review")</f>
        <v>Bob</v>
      </c>
      <c r="C742" s="2" t="str">
        <f>IFERROR(TRIM(Raw_Data!C742), "Review")</f>
        <v>Davis</v>
      </c>
      <c r="D742" s="2">
        <f>IF(Raw_Data!D742="", "", IFERROR(VALUE(Raw_Data!D742), ""))</f>
        <v>35</v>
      </c>
      <c r="E742" s="2" t="str">
        <f>IFERROR(LEFT(Raw_Data!E742,SEARCH("-",Raw_Data!E742)-1),"Review")</f>
        <v>Finance</v>
      </c>
      <c r="F742" s="2" t="str">
        <f>IFERROR(_xlfn.TEXTAFTER(Raw_Data!E742,"-"),"Review")</f>
        <v>Illinois</v>
      </c>
      <c r="G742" s="2" t="str">
        <f>IFERROR(TRIM(Raw_Data!F742), "Review")</f>
        <v>Pending</v>
      </c>
      <c r="H742" s="3" t="str">
        <f>IFERROR(TEXT(Raw_Data!G742, "YYYY-MM-DD"),"Review")</f>
        <v>2020-06-29</v>
      </c>
      <c r="I742" s="4">
        <f>IF(Raw_Data!H742="", "", IFERROR(VALUE(Raw_Data!H742), ""))</f>
        <v>63049.22</v>
      </c>
      <c r="J742" s="2" t="str">
        <f>IF(Raw_Data!I742="", "", IF(ISNUMBER(FIND("@", Raw_Data!I742)), Raw_Data!I742, "Review"))</f>
        <v>bob.davis@example.com</v>
      </c>
      <c r="K742" s="5" t="str">
        <f>IFERROR(TEXT(ABS(Raw_Data!J742), "0"), "Review")</f>
        <v>803149981</v>
      </c>
      <c r="L742" s="2" t="str">
        <f>IFERROR(TRIM(Raw_Data!K742), "Review")</f>
        <v>Poor</v>
      </c>
      <c r="M742" s="2" t="b">
        <f>IF(Raw_Data!L742="", "",
    IF(ISLOGICAL(Raw_Data!L742), Raw_Data!L742,
        IF(OR(UPPER(Raw_Data!L742)="TRUE", UPPER(Raw_Data!L742)="YES", UPPER(Raw_Data!L742)="1"), TRUE,
            IF(OR(UPPER(Raw_Data!L742)="FALSE", UPPER(Raw_Data!L742)="NO", UPPER(Raw_Data!L742)="0"), FALSE, "Review")
        )
    )
)</f>
        <v>1</v>
      </c>
    </row>
    <row r="743" spans="1:13" x14ac:dyDescent="0.4">
      <c r="A743" s="2" t="str">
        <f>IFERROR(TRIM(Raw_Data!A743), "Review")</f>
        <v>EMP1741</v>
      </c>
      <c r="B743" s="2" t="str">
        <f>IFERROR(TRIM(Raw_Data!B743), "Review")</f>
        <v>Heidi</v>
      </c>
      <c r="C743" s="2" t="str">
        <f>IFERROR(TRIM(Raw_Data!C743), "Review")</f>
        <v>Miller</v>
      </c>
      <c r="D743" s="2" t="str">
        <f>IF(Raw_Data!D743="", "", IFERROR(VALUE(Raw_Data!D743), ""))</f>
        <v/>
      </c>
      <c r="E743" s="2" t="str">
        <f>IFERROR(LEFT(Raw_Data!E743,SEARCH("-",Raw_Data!E743)-1),"Review")</f>
        <v>DevOps</v>
      </c>
      <c r="F743" s="2" t="str">
        <f>IFERROR(_xlfn.TEXTAFTER(Raw_Data!E743,"-"),"Review")</f>
        <v>Texas</v>
      </c>
      <c r="G743" s="2" t="str">
        <f>IFERROR(TRIM(Raw_Data!F743), "Review")</f>
        <v>Active</v>
      </c>
      <c r="H743" s="3" t="str">
        <f>IFERROR(TEXT(Raw_Data!G743, "YYYY-MM-DD"),"Review")</f>
        <v>2021-05-21</v>
      </c>
      <c r="I743" s="4">
        <f>IF(Raw_Data!H743="", "", IFERROR(VALUE(Raw_Data!H743), ""))</f>
        <v>114558.91</v>
      </c>
      <c r="J743" s="2" t="str">
        <f>IF(Raw_Data!I743="", "", IF(ISNUMBER(FIND("@", Raw_Data!I743)), Raw_Data!I743, "Review"))</f>
        <v>heidi.miller@example.com</v>
      </c>
      <c r="K743" s="5" t="str">
        <f>IFERROR(TEXT(ABS(Raw_Data!J743), "0"), "Review")</f>
        <v>5080046357</v>
      </c>
      <c r="L743" s="2" t="str">
        <f>IFERROR(TRIM(Raw_Data!K743), "Review")</f>
        <v>Average</v>
      </c>
      <c r="M743" s="2" t="b">
        <f>IF(Raw_Data!L743="", "",
    IF(ISLOGICAL(Raw_Data!L743), Raw_Data!L743,
        IF(OR(UPPER(Raw_Data!L743)="TRUE", UPPER(Raw_Data!L743)="YES", UPPER(Raw_Data!L743)="1"), TRUE,
            IF(OR(UPPER(Raw_Data!L743)="FALSE", UPPER(Raw_Data!L743)="NO", UPPER(Raw_Data!L743)="0"), FALSE, "Review")
        )
    )
)</f>
        <v>0</v>
      </c>
    </row>
    <row r="744" spans="1:13" x14ac:dyDescent="0.4">
      <c r="A744" s="2" t="str">
        <f>IFERROR(TRIM(Raw_Data!A744), "Review")</f>
        <v>EMP1742</v>
      </c>
      <c r="B744" s="2" t="str">
        <f>IFERROR(TRIM(Raw_Data!B744), "Review")</f>
        <v>Heidi</v>
      </c>
      <c r="C744" s="2" t="str">
        <f>IFERROR(TRIM(Raw_Data!C744), "Review")</f>
        <v>Johnson</v>
      </c>
      <c r="D744" s="2">
        <f>IF(Raw_Data!D744="", "", IFERROR(VALUE(Raw_Data!D744), ""))</f>
        <v>40</v>
      </c>
      <c r="E744" s="2" t="str">
        <f>IFERROR(LEFT(Raw_Data!E744,SEARCH("-",Raw_Data!E744)-1),"Review")</f>
        <v>DevOps</v>
      </c>
      <c r="F744" s="2" t="str">
        <f>IFERROR(_xlfn.TEXTAFTER(Raw_Data!E744,"-"),"Review")</f>
        <v>New York</v>
      </c>
      <c r="G744" s="2" t="str">
        <f>IFERROR(TRIM(Raw_Data!F744), "Review")</f>
        <v>Active</v>
      </c>
      <c r="H744" s="3" t="str">
        <f>IFERROR(TEXT(Raw_Data!G744, "YYYY-MM-DD"),"Review")</f>
        <v>2021-12-11</v>
      </c>
      <c r="I744" s="4">
        <f>IF(Raw_Data!H744="", "", IFERROR(VALUE(Raw_Data!H744), ""))</f>
        <v>97901.79</v>
      </c>
      <c r="J744" s="2" t="str">
        <f>IF(Raw_Data!I744="", "", IF(ISNUMBER(FIND("@", Raw_Data!I744)), Raw_Data!I744, "Review"))</f>
        <v>heidi.johnson@example.com</v>
      </c>
      <c r="K744" s="5" t="str">
        <f>IFERROR(TEXT(ABS(Raw_Data!J744), "0"), "Review")</f>
        <v>688285030</v>
      </c>
      <c r="L744" s="2" t="str">
        <f>IFERROR(TRIM(Raw_Data!K744), "Review")</f>
        <v>Average</v>
      </c>
      <c r="M744" s="2" t="b">
        <f>IF(Raw_Data!L744="", "",
    IF(ISLOGICAL(Raw_Data!L744), Raw_Data!L744,
        IF(OR(UPPER(Raw_Data!L744)="TRUE", UPPER(Raw_Data!L744)="YES", UPPER(Raw_Data!L744)="1"), TRUE,
            IF(OR(UPPER(Raw_Data!L744)="FALSE", UPPER(Raw_Data!L744)="NO", UPPER(Raw_Data!L744)="0"), FALSE, "Review")
        )
    )
)</f>
        <v>1</v>
      </c>
    </row>
    <row r="745" spans="1:13" x14ac:dyDescent="0.4">
      <c r="A745" s="2" t="str">
        <f>IFERROR(TRIM(Raw_Data!A745), "Review")</f>
        <v>EMP1743</v>
      </c>
      <c r="B745" s="2" t="str">
        <f>IFERROR(TRIM(Raw_Data!B745), "Review")</f>
        <v>Eva</v>
      </c>
      <c r="C745" s="2" t="str">
        <f>IFERROR(TRIM(Raw_Data!C745), "Review")</f>
        <v>Jones</v>
      </c>
      <c r="D745" s="2">
        <f>IF(Raw_Data!D745="", "", IFERROR(VALUE(Raw_Data!D745), ""))</f>
        <v>30</v>
      </c>
      <c r="E745" s="2" t="str">
        <f>IFERROR(LEFT(Raw_Data!E745,SEARCH("-",Raw_Data!E745)-1),"Review")</f>
        <v>Sales</v>
      </c>
      <c r="F745" s="2" t="str">
        <f>IFERROR(_xlfn.TEXTAFTER(Raw_Data!E745,"-"),"Review")</f>
        <v>California</v>
      </c>
      <c r="G745" s="2" t="str">
        <f>IFERROR(TRIM(Raw_Data!F745), "Review")</f>
        <v>Active</v>
      </c>
      <c r="H745" s="3" t="str">
        <f>IFERROR(TEXT(Raw_Data!G745, "YYYY-MM-DD"),"Review")</f>
        <v>2023-07-05</v>
      </c>
      <c r="I745" s="4">
        <f>IF(Raw_Data!H745="", "", IFERROR(VALUE(Raw_Data!H745), ""))</f>
        <v>68037.56</v>
      </c>
      <c r="J745" s="2" t="str">
        <f>IF(Raw_Data!I745="", "", IF(ISNUMBER(FIND("@", Raw_Data!I745)), Raw_Data!I745, "Review"))</f>
        <v>eva.jones@example.com</v>
      </c>
      <c r="K745" s="5" t="str">
        <f>IFERROR(TEXT(ABS(Raw_Data!J745), "0"), "Review")</f>
        <v>7235137398</v>
      </c>
      <c r="L745" s="2" t="str">
        <f>IFERROR(TRIM(Raw_Data!K745), "Review")</f>
        <v>Average</v>
      </c>
      <c r="M745" s="2" t="b">
        <f>IF(Raw_Data!L745="", "",
    IF(ISLOGICAL(Raw_Data!L745), Raw_Data!L745,
        IF(OR(UPPER(Raw_Data!L745)="TRUE", UPPER(Raw_Data!L745)="YES", UPPER(Raw_Data!L745)="1"), TRUE,
            IF(OR(UPPER(Raw_Data!L745)="FALSE", UPPER(Raw_Data!L745)="NO", UPPER(Raw_Data!L745)="0"), FALSE, "Review")
        )
    )
)</f>
        <v>0</v>
      </c>
    </row>
    <row r="746" spans="1:13" x14ac:dyDescent="0.4">
      <c r="A746" s="2" t="str">
        <f>IFERROR(TRIM(Raw_Data!A746), "Review")</f>
        <v>EMP1744</v>
      </c>
      <c r="B746" s="2" t="str">
        <f>IFERROR(TRIM(Raw_Data!B746), "Review")</f>
        <v>Alice</v>
      </c>
      <c r="C746" s="2" t="str">
        <f>IFERROR(TRIM(Raw_Data!C746), "Review")</f>
        <v>Williams</v>
      </c>
      <c r="D746" s="2" t="str">
        <f>IF(Raw_Data!D746="", "", IFERROR(VALUE(Raw_Data!D746), ""))</f>
        <v/>
      </c>
      <c r="E746" s="2" t="str">
        <f>IFERROR(LEFT(Raw_Data!E746,SEARCH("-",Raw_Data!E746)-1),"Review")</f>
        <v>HR</v>
      </c>
      <c r="F746" s="2" t="str">
        <f>IFERROR(_xlfn.TEXTAFTER(Raw_Data!E746,"-"),"Review")</f>
        <v>New York</v>
      </c>
      <c r="G746" s="2" t="str">
        <f>IFERROR(TRIM(Raw_Data!F746), "Review")</f>
        <v>Active</v>
      </c>
      <c r="H746" s="3" t="str">
        <f>IFERROR(TEXT(Raw_Data!G746, "YYYY-MM-DD"),"Review")</f>
        <v>2021-11-30</v>
      </c>
      <c r="I746" s="4">
        <f>IF(Raw_Data!H746="", "", IFERROR(VALUE(Raw_Data!H746), ""))</f>
        <v>112802.27</v>
      </c>
      <c r="J746" s="2" t="str">
        <f>IF(Raw_Data!I746="", "", IF(ISNUMBER(FIND("@", Raw_Data!I746)), Raw_Data!I746, "Review"))</f>
        <v>alice.williams@example.com</v>
      </c>
      <c r="K746" s="5" t="str">
        <f>IFERROR(TEXT(ABS(Raw_Data!J746), "0"), "Review")</f>
        <v>63140351</v>
      </c>
      <c r="L746" s="2" t="str">
        <f>IFERROR(TRIM(Raw_Data!K746), "Review")</f>
        <v>Excellent</v>
      </c>
      <c r="M746" s="2" t="b">
        <f>IF(Raw_Data!L746="", "",
    IF(ISLOGICAL(Raw_Data!L746), Raw_Data!L746,
        IF(OR(UPPER(Raw_Data!L746)="TRUE", UPPER(Raw_Data!L746)="YES", UPPER(Raw_Data!L746)="1"), TRUE,
            IF(OR(UPPER(Raw_Data!L746)="FALSE", UPPER(Raw_Data!L746)="NO", UPPER(Raw_Data!L746)="0"), FALSE, "Review")
        )
    )
)</f>
        <v>0</v>
      </c>
    </row>
    <row r="747" spans="1:13" x14ac:dyDescent="0.4">
      <c r="A747" s="2" t="str">
        <f>IFERROR(TRIM(Raw_Data!A747), "Review")</f>
        <v>EMP1745</v>
      </c>
      <c r="B747" s="2" t="str">
        <f>IFERROR(TRIM(Raw_Data!B747), "Review")</f>
        <v>Bob</v>
      </c>
      <c r="C747" s="2" t="str">
        <f>IFERROR(TRIM(Raw_Data!C747), "Review")</f>
        <v>Johnson</v>
      </c>
      <c r="D747" s="2">
        <f>IF(Raw_Data!D747="", "", IFERROR(VALUE(Raw_Data!D747), ""))</f>
        <v>40</v>
      </c>
      <c r="E747" s="2" t="str">
        <f>IFERROR(LEFT(Raw_Data!E747,SEARCH("-",Raw_Data!E747)-1),"Review")</f>
        <v>Sales</v>
      </c>
      <c r="F747" s="2" t="str">
        <f>IFERROR(_xlfn.TEXTAFTER(Raw_Data!E747,"-"),"Review")</f>
        <v>Nevada</v>
      </c>
      <c r="G747" s="2" t="str">
        <f>IFERROR(TRIM(Raw_Data!F747), "Review")</f>
        <v>Pending</v>
      </c>
      <c r="H747" s="3" t="str">
        <f>IFERROR(TEXT(Raw_Data!G747, "YYYY-MM-DD"),"Review")</f>
        <v>2024-11-22</v>
      </c>
      <c r="I747" s="4">
        <f>IF(Raw_Data!H747="", "", IFERROR(VALUE(Raw_Data!H747), ""))</f>
        <v>93786.72</v>
      </c>
      <c r="J747" s="2" t="str">
        <f>IF(Raw_Data!I747="", "", IF(ISNUMBER(FIND("@", Raw_Data!I747)), Raw_Data!I747, "Review"))</f>
        <v>bob.johnson@example.com</v>
      </c>
      <c r="K747" s="5" t="str">
        <f>IFERROR(TEXT(ABS(Raw_Data!J747), "0"), "Review")</f>
        <v>6356022938</v>
      </c>
      <c r="L747" s="2" t="str">
        <f>IFERROR(TRIM(Raw_Data!K747), "Review")</f>
        <v>Poor</v>
      </c>
      <c r="M747" s="2" t="b">
        <f>IF(Raw_Data!L747="", "",
    IF(ISLOGICAL(Raw_Data!L747), Raw_Data!L747,
        IF(OR(UPPER(Raw_Data!L747)="TRUE", UPPER(Raw_Data!L747)="YES", UPPER(Raw_Data!L747)="1"), TRUE,
            IF(OR(UPPER(Raw_Data!L747)="FALSE", UPPER(Raw_Data!L747)="NO", UPPER(Raw_Data!L747)="0"), FALSE, "Review")
        )
    )
)</f>
        <v>0</v>
      </c>
    </row>
    <row r="748" spans="1:13" x14ac:dyDescent="0.4">
      <c r="A748" s="2" t="str">
        <f>IFERROR(TRIM(Raw_Data!A748), "Review")</f>
        <v>EMP1746</v>
      </c>
      <c r="B748" s="2" t="str">
        <f>IFERROR(TRIM(Raw_Data!B748), "Review")</f>
        <v>David</v>
      </c>
      <c r="C748" s="2" t="str">
        <f>IFERROR(TRIM(Raw_Data!C748), "Review")</f>
        <v>Williams</v>
      </c>
      <c r="D748" s="2" t="str">
        <f>IF(Raw_Data!D748="", "", IFERROR(VALUE(Raw_Data!D748), ""))</f>
        <v/>
      </c>
      <c r="E748" s="2" t="str">
        <f>IFERROR(LEFT(Raw_Data!E748,SEARCH("-",Raw_Data!E748)-1),"Review")</f>
        <v>Admin</v>
      </c>
      <c r="F748" s="2" t="str">
        <f>IFERROR(_xlfn.TEXTAFTER(Raw_Data!E748,"-"),"Review")</f>
        <v>Florida</v>
      </c>
      <c r="G748" s="2" t="str">
        <f>IFERROR(TRIM(Raw_Data!F748), "Review")</f>
        <v>Inactive</v>
      </c>
      <c r="H748" s="3" t="str">
        <f>IFERROR(TEXT(Raw_Data!G748, "YYYY-MM-DD"),"Review")</f>
        <v>2023-05-24</v>
      </c>
      <c r="I748" s="4">
        <f>IF(Raw_Data!H748="", "", IFERROR(VALUE(Raw_Data!H748), ""))</f>
        <v>73049.929999999993</v>
      </c>
      <c r="J748" s="2" t="str">
        <f>IF(Raw_Data!I748="", "", IF(ISNUMBER(FIND("@", Raw_Data!I748)), Raw_Data!I748, "Review"))</f>
        <v>david.williams@example.com</v>
      </c>
      <c r="K748" s="5" t="str">
        <f>IFERROR(TEXT(ABS(Raw_Data!J748), "0"), "Review")</f>
        <v>4694346065</v>
      </c>
      <c r="L748" s="2" t="str">
        <f>IFERROR(TRIM(Raw_Data!K748), "Review")</f>
        <v>Good</v>
      </c>
      <c r="M748" s="2" t="b">
        <f>IF(Raw_Data!L748="", "",
    IF(ISLOGICAL(Raw_Data!L748), Raw_Data!L748,
        IF(OR(UPPER(Raw_Data!L748)="TRUE", UPPER(Raw_Data!L748)="YES", UPPER(Raw_Data!L748)="1"), TRUE,
            IF(OR(UPPER(Raw_Data!L748)="FALSE", UPPER(Raw_Data!L748)="NO", UPPER(Raw_Data!L748)="0"), FALSE, "Review")
        )
    )
)</f>
        <v>0</v>
      </c>
    </row>
    <row r="749" spans="1:13" x14ac:dyDescent="0.4">
      <c r="A749" s="2" t="str">
        <f>IFERROR(TRIM(Raw_Data!A749), "Review")</f>
        <v>EMP1747</v>
      </c>
      <c r="B749" s="2" t="str">
        <f>IFERROR(TRIM(Raw_Data!B749), "Review")</f>
        <v>David</v>
      </c>
      <c r="C749" s="2" t="str">
        <f>IFERROR(TRIM(Raw_Data!C749), "Review")</f>
        <v>Davis</v>
      </c>
      <c r="D749" s="2">
        <f>IF(Raw_Data!D749="", "", IFERROR(VALUE(Raw_Data!D749), ""))</f>
        <v>30</v>
      </c>
      <c r="E749" s="2" t="str">
        <f>IFERROR(LEFT(Raw_Data!E749,SEARCH("-",Raw_Data!E749)-1),"Review")</f>
        <v>Sales</v>
      </c>
      <c r="F749" s="2" t="str">
        <f>IFERROR(_xlfn.TEXTAFTER(Raw_Data!E749,"-"),"Review")</f>
        <v>Illinois</v>
      </c>
      <c r="G749" s="2" t="str">
        <f>IFERROR(TRIM(Raw_Data!F749), "Review")</f>
        <v>Pending</v>
      </c>
      <c r="H749" s="3" t="str">
        <f>IFERROR(TEXT(Raw_Data!G749, "YYYY-MM-DD"),"Review")</f>
        <v>2024-06-26</v>
      </c>
      <c r="I749" s="4">
        <f>IF(Raw_Data!H749="", "", IFERROR(VALUE(Raw_Data!H749), ""))</f>
        <v>64161.72</v>
      </c>
      <c r="J749" s="2" t="str">
        <f>IF(Raw_Data!I749="", "", IF(ISNUMBER(FIND("@", Raw_Data!I749)), Raw_Data!I749, "Review"))</f>
        <v>david.davis@example.com</v>
      </c>
      <c r="K749" s="5" t="str">
        <f>IFERROR(TEXT(ABS(Raw_Data!J749), "0"), "Review")</f>
        <v>6437490606</v>
      </c>
      <c r="L749" s="2" t="str">
        <f>IFERROR(TRIM(Raw_Data!K749), "Review")</f>
        <v>Excellent</v>
      </c>
      <c r="M749" s="2" t="b">
        <f>IF(Raw_Data!L749="", "",
    IF(ISLOGICAL(Raw_Data!L749), Raw_Data!L749,
        IF(OR(UPPER(Raw_Data!L749)="TRUE", UPPER(Raw_Data!L749)="YES", UPPER(Raw_Data!L749)="1"), TRUE,
            IF(OR(UPPER(Raw_Data!L749)="FALSE", UPPER(Raw_Data!L749)="NO", UPPER(Raw_Data!L749)="0"), FALSE, "Review")
        )
    )
)</f>
        <v>1</v>
      </c>
    </row>
    <row r="750" spans="1:13" x14ac:dyDescent="0.4">
      <c r="A750" s="2" t="str">
        <f>IFERROR(TRIM(Raw_Data!A750), "Review")</f>
        <v>EMP1748</v>
      </c>
      <c r="B750" s="2" t="str">
        <f>IFERROR(TRIM(Raw_Data!B750), "Review")</f>
        <v>Charlie</v>
      </c>
      <c r="C750" s="2" t="str">
        <f>IFERROR(TRIM(Raw_Data!C750), "Review")</f>
        <v>Smith</v>
      </c>
      <c r="D750" s="2">
        <f>IF(Raw_Data!D750="", "", IFERROR(VALUE(Raw_Data!D750), ""))</f>
        <v>40</v>
      </c>
      <c r="E750" s="2" t="str">
        <f>IFERROR(LEFT(Raw_Data!E750,SEARCH("-",Raw_Data!E750)-1),"Review")</f>
        <v>Admin</v>
      </c>
      <c r="F750" s="2" t="str">
        <f>IFERROR(_xlfn.TEXTAFTER(Raw_Data!E750,"-"),"Review")</f>
        <v>Nevada</v>
      </c>
      <c r="G750" s="2" t="str">
        <f>IFERROR(TRIM(Raw_Data!F750), "Review")</f>
        <v>Pending</v>
      </c>
      <c r="H750" s="3" t="str">
        <f>IFERROR(TEXT(Raw_Data!G750, "YYYY-MM-DD"),"Review")</f>
        <v>2020-11-19</v>
      </c>
      <c r="I750" s="4">
        <f>IF(Raw_Data!H750="", "", IFERROR(VALUE(Raw_Data!H750), ""))</f>
        <v>72224.73</v>
      </c>
      <c r="J750" s="2" t="str">
        <f>IF(Raw_Data!I750="", "", IF(ISNUMBER(FIND("@", Raw_Data!I750)), Raw_Data!I750, "Review"))</f>
        <v>charlie.smith@example.com</v>
      </c>
      <c r="K750" s="5" t="str">
        <f>IFERROR(TEXT(ABS(Raw_Data!J750), "0"), "Review")</f>
        <v>2311127127</v>
      </c>
      <c r="L750" s="2" t="str">
        <f>IFERROR(TRIM(Raw_Data!K750), "Review")</f>
        <v>Average</v>
      </c>
      <c r="M750" s="2" t="b">
        <f>IF(Raw_Data!L750="", "",
    IF(ISLOGICAL(Raw_Data!L750), Raw_Data!L750,
        IF(OR(UPPER(Raw_Data!L750)="TRUE", UPPER(Raw_Data!L750)="YES", UPPER(Raw_Data!L750)="1"), TRUE,
            IF(OR(UPPER(Raw_Data!L750)="FALSE", UPPER(Raw_Data!L750)="NO", UPPER(Raw_Data!L750)="0"), FALSE, "Review")
        )
    )
)</f>
        <v>0</v>
      </c>
    </row>
    <row r="751" spans="1:13" x14ac:dyDescent="0.4">
      <c r="A751" s="2" t="str">
        <f>IFERROR(TRIM(Raw_Data!A751), "Review")</f>
        <v>EMP1749</v>
      </c>
      <c r="B751" s="2" t="str">
        <f>IFERROR(TRIM(Raw_Data!B751), "Review")</f>
        <v>Bob</v>
      </c>
      <c r="C751" s="2" t="str">
        <f>IFERROR(TRIM(Raw_Data!C751), "Review")</f>
        <v>Johnson</v>
      </c>
      <c r="D751" s="2">
        <f>IF(Raw_Data!D751="", "", IFERROR(VALUE(Raw_Data!D751), ""))</f>
        <v>30</v>
      </c>
      <c r="E751" s="2" t="str">
        <f>IFERROR(LEFT(Raw_Data!E751,SEARCH("-",Raw_Data!E751)-1),"Review")</f>
        <v>HR</v>
      </c>
      <c r="F751" s="2" t="str">
        <f>IFERROR(_xlfn.TEXTAFTER(Raw_Data!E751,"-"),"Review")</f>
        <v>New York</v>
      </c>
      <c r="G751" s="2" t="str">
        <f>IFERROR(TRIM(Raw_Data!F751), "Review")</f>
        <v>Pending</v>
      </c>
      <c r="H751" s="3" t="str">
        <f>IFERROR(TEXT(Raw_Data!G751, "YYYY-MM-DD"),"Review")</f>
        <v>2020-03-01</v>
      </c>
      <c r="I751" s="4">
        <f>IF(Raw_Data!H751="", "", IFERROR(VALUE(Raw_Data!H751), ""))</f>
        <v>103580.45</v>
      </c>
      <c r="J751" s="2" t="str">
        <f>IF(Raw_Data!I751="", "", IF(ISNUMBER(FIND("@", Raw_Data!I751)), Raw_Data!I751, "Review"))</f>
        <v>bob.johnson@example.com</v>
      </c>
      <c r="K751" s="5" t="str">
        <f>IFERROR(TEXT(ABS(Raw_Data!J751), "0"), "Review")</f>
        <v>5246484493</v>
      </c>
      <c r="L751" s="2" t="str">
        <f>IFERROR(TRIM(Raw_Data!K751), "Review")</f>
        <v>Excellent</v>
      </c>
      <c r="M751" s="2" t="b">
        <f>IF(Raw_Data!L751="", "",
    IF(ISLOGICAL(Raw_Data!L751), Raw_Data!L751,
        IF(OR(UPPER(Raw_Data!L751)="TRUE", UPPER(Raw_Data!L751)="YES", UPPER(Raw_Data!L751)="1"), TRUE,
            IF(OR(UPPER(Raw_Data!L751)="FALSE", UPPER(Raw_Data!L751)="NO", UPPER(Raw_Data!L751)="0"), FALSE, "Review")
        )
    )
)</f>
        <v>0</v>
      </c>
    </row>
    <row r="752" spans="1:13" x14ac:dyDescent="0.4">
      <c r="A752" s="2" t="str">
        <f>IFERROR(TRIM(Raw_Data!A752), "Review")</f>
        <v>EMP1750</v>
      </c>
      <c r="B752" s="2" t="str">
        <f>IFERROR(TRIM(Raw_Data!B752), "Review")</f>
        <v>Grace</v>
      </c>
      <c r="C752" s="2" t="str">
        <f>IFERROR(TRIM(Raw_Data!C752), "Review")</f>
        <v>Garcia</v>
      </c>
      <c r="D752" s="2">
        <f>IF(Raw_Data!D752="", "", IFERROR(VALUE(Raw_Data!D752), ""))</f>
        <v>40</v>
      </c>
      <c r="E752" s="2" t="str">
        <f>IFERROR(LEFT(Raw_Data!E752,SEARCH("-",Raw_Data!E752)-1),"Review")</f>
        <v>HR</v>
      </c>
      <c r="F752" s="2" t="str">
        <f>IFERROR(_xlfn.TEXTAFTER(Raw_Data!E752,"-"),"Review")</f>
        <v>Florida</v>
      </c>
      <c r="G752" s="2" t="str">
        <f>IFERROR(TRIM(Raw_Data!F752), "Review")</f>
        <v>Pending</v>
      </c>
      <c r="H752" s="3" t="str">
        <f>IFERROR(TEXT(Raw_Data!G752, "YYYY-MM-DD"),"Review")</f>
        <v>2024-08-09</v>
      </c>
      <c r="I752" s="4">
        <f>IF(Raw_Data!H752="", "", IFERROR(VALUE(Raw_Data!H752), ""))</f>
        <v>112589.11</v>
      </c>
      <c r="J752" s="2" t="str">
        <f>IF(Raw_Data!I752="", "", IF(ISNUMBER(FIND("@", Raw_Data!I752)), Raw_Data!I752, "Review"))</f>
        <v>grace.garcia@example.com</v>
      </c>
      <c r="K752" s="5" t="str">
        <f>IFERROR(TEXT(ABS(Raw_Data!J752), "0"), "Review")</f>
        <v>1163187327</v>
      </c>
      <c r="L752" s="2" t="str">
        <f>IFERROR(TRIM(Raw_Data!K752), "Review")</f>
        <v>Average</v>
      </c>
      <c r="M752" s="2" t="b">
        <f>IF(Raw_Data!L752="", "",
    IF(ISLOGICAL(Raw_Data!L752), Raw_Data!L752,
        IF(OR(UPPER(Raw_Data!L752)="TRUE", UPPER(Raw_Data!L752)="YES", UPPER(Raw_Data!L752)="1"), TRUE,
            IF(OR(UPPER(Raw_Data!L752)="FALSE", UPPER(Raw_Data!L752)="NO", UPPER(Raw_Data!L752)="0"), FALSE, "Review")
        )
    )
)</f>
        <v>0</v>
      </c>
    </row>
    <row r="753" spans="1:13" x14ac:dyDescent="0.4">
      <c r="A753" s="2" t="str">
        <f>IFERROR(TRIM(Raw_Data!A753), "Review")</f>
        <v>EMP1751</v>
      </c>
      <c r="B753" s="2" t="str">
        <f>IFERROR(TRIM(Raw_Data!B753), "Review")</f>
        <v>Eva</v>
      </c>
      <c r="C753" s="2" t="str">
        <f>IFERROR(TRIM(Raw_Data!C753), "Review")</f>
        <v>Jones</v>
      </c>
      <c r="D753" s="2">
        <f>IF(Raw_Data!D753="", "", IFERROR(VALUE(Raw_Data!D753), ""))</f>
        <v>30</v>
      </c>
      <c r="E753" s="2" t="str">
        <f>IFERROR(LEFT(Raw_Data!E753,SEARCH("-",Raw_Data!E753)-1),"Review")</f>
        <v>Admin</v>
      </c>
      <c r="F753" s="2" t="str">
        <f>IFERROR(_xlfn.TEXTAFTER(Raw_Data!E753,"-"),"Review")</f>
        <v>Texas</v>
      </c>
      <c r="G753" s="2" t="str">
        <f>IFERROR(TRIM(Raw_Data!F753), "Review")</f>
        <v>Active</v>
      </c>
      <c r="H753" s="3" t="str">
        <f>IFERROR(TEXT(Raw_Data!G753, "YYYY-MM-DD"),"Review")</f>
        <v>2021-01-13</v>
      </c>
      <c r="I753" s="4">
        <f>IF(Raw_Data!H753="", "", IFERROR(VALUE(Raw_Data!H753), ""))</f>
        <v>51833.88</v>
      </c>
      <c r="J753" s="2" t="str">
        <f>IF(Raw_Data!I753="", "", IF(ISNUMBER(FIND("@", Raw_Data!I753)), Raw_Data!I753, "Review"))</f>
        <v>eva.jones@example.com</v>
      </c>
      <c r="K753" s="5" t="str">
        <f>IFERROR(TEXT(ABS(Raw_Data!J753), "0"), "Review")</f>
        <v>771130620</v>
      </c>
      <c r="L753" s="2" t="str">
        <f>IFERROR(TRIM(Raw_Data!K753), "Review")</f>
        <v>Average</v>
      </c>
      <c r="M753" s="2" t="b">
        <f>IF(Raw_Data!L753="", "",
    IF(ISLOGICAL(Raw_Data!L753), Raw_Data!L753,
        IF(OR(UPPER(Raw_Data!L753)="TRUE", UPPER(Raw_Data!L753)="YES", UPPER(Raw_Data!L753)="1"), TRUE,
            IF(OR(UPPER(Raw_Data!L753)="FALSE", UPPER(Raw_Data!L753)="NO", UPPER(Raw_Data!L753)="0"), FALSE, "Review")
        )
    )
)</f>
        <v>1</v>
      </c>
    </row>
    <row r="754" spans="1:13" x14ac:dyDescent="0.4">
      <c r="A754" s="2" t="str">
        <f>IFERROR(TRIM(Raw_Data!A754), "Review")</f>
        <v>EMP1752</v>
      </c>
      <c r="B754" s="2" t="str">
        <f>IFERROR(TRIM(Raw_Data!B754), "Review")</f>
        <v>Eva</v>
      </c>
      <c r="C754" s="2" t="str">
        <f>IFERROR(TRIM(Raw_Data!C754), "Review")</f>
        <v>Johnson</v>
      </c>
      <c r="D754" s="2" t="str">
        <f>IF(Raw_Data!D754="", "", IFERROR(VALUE(Raw_Data!D754), ""))</f>
        <v/>
      </c>
      <c r="E754" s="2" t="str">
        <f>IFERROR(LEFT(Raw_Data!E754,SEARCH("-",Raw_Data!E754)-1),"Review")</f>
        <v>Sales</v>
      </c>
      <c r="F754" s="2" t="str">
        <f>IFERROR(_xlfn.TEXTAFTER(Raw_Data!E754,"-"),"Review")</f>
        <v>Illinois</v>
      </c>
      <c r="G754" s="2" t="str">
        <f>IFERROR(TRIM(Raw_Data!F754), "Review")</f>
        <v>Active</v>
      </c>
      <c r="H754" s="3" t="str">
        <f>IFERROR(TEXT(Raw_Data!G754, "YYYY-MM-DD"),"Review")</f>
        <v>2023-05-06</v>
      </c>
      <c r="I754" s="4">
        <f>IF(Raw_Data!H754="", "", IFERROR(VALUE(Raw_Data!H754), ""))</f>
        <v>66252.78</v>
      </c>
      <c r="J754" s="2" t="str">
        <f>IF(Raw_Data!I754="", "", IF(ISNUMBER(FIND("@", Raw_Data!I754)), Raw_Data!I754, "Review"))</f>
        <v>eva.johnson@example.com</v>
      </c>
      <c r="K754" s="5" t="str">
        <f>IFERROR(TEXT(ABS(Raw_Data!J754), "0"), "Review")</f>
        <v>1369572789</v>
      </c>
      <c r="L754" s="2" t="str">
        <f>IFERROR(TRIM(Raw_Data!K754), "Review")</f>
        <v>Excellent</v>
      </c>
      <c r="M754" s="2" t="b">
        <f>IF(Raw_Data!L754="", "",
    IF(ISLOGICAL(Raw_Data!L754), Raw_Data!L754,
        IF(OR(UPPER(Raw_Data!L754)="TRUE", UPPER(Raw_Data!L754)="YES", UPPER(Raw_Data!L754)="1"), TRUE,
            IF(OR(UPPER(Raw_Data!L754)="FALSE", UPPER(Raw_Data!L754)="NO", UPPER(Raw_Data!L754)="0"), FALSE, "Review")
        )
    )
)</f>
        <v>1</v>
      </c>
    </row>
    <row r="755" spans="1:13" x14ac:dyDescent="0.4">
      <c r="A755" s="2" t="str">
        <f>IFERROR(TRIM(Raw_Data!A755), "Review")</f>
        <v>EMP1753</v>
      </c>
      <c r="B755" s="2" t="str">
        <f>IFERROR(TRIM(Raw_Data!B755), "Review")</f>
        <v>Frank</v>
      </c>
      <c r="C755" s="2" t="str">
        <f>IFERROR(TRIM(Raw_Data!C755), "Review")</f>
        <v>Johnson</v>
      </c>
      <c r="D755" s="2">
        <f>IF(Raw_Data!D755="", "", IFERROR(VALUE(Raw_Data!D755), ""))</f>
        <v>25</v>
      </c>
      <c r="E755" s="2" t="str">
        <f>IFERROR(LEFT(Raw_Data!E755,SEARCH("-",Raw_Data!E755)-1),"Review")</f>
        <v>DevOps</v>
      </c>
      <c r="F755" s="2" t="str">
        <f>IFERROR(_xlfn.TEXTAFTER(Raw_Data!E755,"-"),"Review")</f>
        <v>Florida</v>
      </c>
      <c r="G755" s="2" t="str">
        <f>IFERROR(TRIM(Raw_Data!F755), "Review")</f>
        <v>Active</v>
      </c>
      <c r="H755" s="3" t="str">
        <f>IFERROR(TEXT(Raw_Data!G755, "YYYY-MM-DD"),"Review")</f>
        <v>2022-10-25</v>
      </c>
      <c r="I755" s="4">
        <f>IF(Raw_Data!H755="", "", IFERROR(VALUE(Raw_Data!H755), ""))</f>
        <v>109229.68</v>
      </c>
      <c r="J755" s="2" t="str">
        <f>IF(Raw_Data!I755="", "", IF(ISNUMBER(FIND("@", Raw_Data!I755)), Raw_Data!I755, "Review"))</f>
        <v>frank.johnson@example.com</v>
      </c>
      <c r="K755" s="5" t="str">
        <f>IFERROR(TEXT(ABS(Raw_Data!J755), "0"), "Review")</f>
        <v>8335090253</v>
      </c>
      <c r="L755" s="2" t="str">
        <f>IFERROR(TRIM(Raw_Data!K755), "Review")</f>
        <v>Poor</v>
      </c>
      <c r="M755" s="2" t="b">
        <f>IF(Raw_Data!L755="", "",
    IF(ISLOGICAL(Raw_Data!L755), Raw_Data!L755,
        IF(OR(UPPER(Raw_Data!L755)="TRUE", UPPER(Raw_Data!L755)="YES", UPPER(Raw_Data!L755)="1"), TRUE,
            IF(OR(UPPER(Raw_Data!L755)="FALSE", UPPER(Raw_Data!L755)="NO", UPPER(Raw_Data!L755)="0"), FALSE, "Review")
        )
    )
)</f>
        <v>1</v>
      </c>
    </row>
    <row r="756" spans="1:13" x14ac:dyDescent="0.4">
      <c r="A756" s="2" t="str">
        <f>IFERROR(TRIM(Raw_Data!A756), "Review")</f>
        <v>EMP1754</v>
      </c>
      <c r="B756" s="2" t="str">
        <f>IFERROR(TRIM(Raw_Data!B756), "Review")</f>
        <v>Frank</v>
      </c>
      <c r="C756" s="2" t="str">
        <f>IFERROR(TRIM(Raw_Data!C756), "Review")</f>
        <v>Johnson</v>
      </c>
      <c r="D756" s="2">
        <f>IF(Raw_Data!D756="", "", IFERROR(VALUE(Raw_Data!D756), ""))</f>
        <v>30</v>
      </c>
      <c r="E756" s="2" t="str">
        <f>IFERROR(LEFT(Raw_Data!E756,SEARCH("-",Raw_Data!E756)-1),"Review")</f>
        <v>Finance</v>
      </c>
      <c r="F756" s="2" t="str">
        <f>IFERROR(_xlfn.TEXTAFTER(Raw_Data!E756,"-"),"Review")</f>
        <v>Florida</v>
      </c>
      <c r="G756" s="2" t="str">
        <f>IFERROR(TRIM(Raw_Data!F756), "Review")</f>
        <v>Inactive</v>
      </c>
      <c r="H756" s="3" t="str">
        <f>IFERROR(TEXT(Raw_Data!G756, "YYYY-MM-DD"),"Review")</f>
        <v>2020-10-08</v>
      </c>
      <c r="I756" s="4">
        <f>IF(Raw_Data!H756="", "", IFERROR(VALUE(Raw_Data!H756), ""))</f>
        <v>61465.05</v>
      </c>
      <c r="J756" s="2" t="str">
        <f>IF(Raw_Data!I756="", "", IF(ISNUMBER(FIND("@", Raw_Data!I756)), Raw_Data!I756, "Review"))</f>
        <v>frank.johnson@example.com</v>
      </c>
      <c r="K756" s="5" t="str">
        <f>IFERROR(TEXT(ABS(Raw_Data!J756), "0"), "Review")</f>
        <v>2573066247</v>
      </c>
      <c r="L756" s="2" t="str">
        <f>IFERROR(TRIM(Raw_Data!K756), "Review")</f>
        <v>Average</v>
      </c>
      <c r="M756" s="2" t="b">
        <f>IF(Raw_Data!L756="", "",
    IF(ISLOGICAL(Raw_Data!L756), Raw_Data!L756,
        IF(OR(UPPER(Raw_Data!L756)="TRUE", UPPER(Raw_Data!L756)="YES", UPPER(Raw_Data!L756)="1"), TRUE,
            IF(OR(UPPER(Raw_Data!L756)="FALSE", UPPER(Raw_Data!L756)="NO", UPPER(Raw_Data!L756)="0"), FALSE, "Review")
        )
    )
)</f>
        <v>0</v>
      </c>
    </row>
    <row r="757" spans="1:13" x14ac:dyDescent="0.4">
      <c r="A757" s="2" t="str">
        <f>IFERROR(TRIM(Raw_Data!A757), "Review")</f>
        <v>EMP1755</v>
      </c>
      <c r="B757" s="2" t="str">
        <f>IFERROR(TRIM(Raw_Data!B757), "Review")</f>
        <v>Grace</v>
      </c>
      <c r="C757" s="2" t="str">
        <f>IFERROR(TRIM(Raw_Data!C757), "Review")</f>
        <v>Miller</v>
      </c>
      <c r="D757" s="2">
        <f>IF(Raw_Data!D757="", "", IFERROR(VALUE(Raw_Data!D757), ""))</f>
        <v>25</v>
      </c>
      <c r="E757" s="2" t="str">
        <f>IFERROR(LEFT(Raw_Data!E757,SEARCH("-",Raw_Data!E757)-1),"Review")</f>
        <v>HR</v>
      </c>
      <c r="F757" s="2" t="str">
        <f>IFERROR(_xlfn.TEXTAFTER(Raw_Data!E757,"-"),"Review")</f>
        <v>Florida</v>
      </c>
      <c r="G757" s="2" t="str">
        <f>IFERROR(TRIM(Raw_Data!F757), "Review")</f>
        <v>Active</v>
      </c>
      <c r="H757" s="3" t="str">
        <f>IFERROR(TEXT(Raw_Data!G757, "YYYY-MM-DD"),"Review")</f>
        <v>2024-02-29</v>
      </c>
      <c r="I757" s="4">
        <f>IF(Raw_Data!H757="", "", IFERROR(VALUE(Raw_Data!H757), ""))</f>
        <v>96993.74</v>
      </c>
      <c r="J757" s="2" t="str">
        <f>IF(Raw_Data!I757="", "", IF(ISNUMBER(FIND("@", Raw_Data!I757)), Raw_Data!I757, "Review"))</f>
        <v>grace.miller@example.com</v>
      </c>
      <c r="K757" s="5" t="str">
        <f>IFERROR(TEXT(ABS(Raw_Data!J757), "0"), "Review")</f>
        <v>1323570712</v>
      </c>
      <c r="L757" s="2" t="str">
        <f>IFERROR(TRIM(Raw_Data!K757), "Review")</f>
        <v>Poor</v>
      </c>
      <c r="M757" s="2" t="b">
        <f>IF(Raw_Data!L757="", "",
    IF(ISLOGICAL(Raw_Data!L757), Raw_Data!L757,
        IF(OR(UPPER(Raw_Data!L757)="TRUE", UPPER(Raw_Data!L757)="YES", UPPER(Raw_Data!L757)="1"), TRUE,
            IF(OR(UPPER(Raw_Data!L757)="FALSE", UPPER(Raw_Data!L757)="NO", UPPER(Raw_Data!L757)="0"), FALSE, "Review")
        )
    )
)</f>
        <v>0</v>
      </c>
    </row>
    <row r="758" spans="1:13" x14ac:dyDescent="0.4">
      <c r="A758" s="2" t="str">
        <f>IFERROR(TRIM(Raw_Data!A758), "Review")</f>
        <v>EMP1756</v>
      </c>
      <c r="B758" s="2" t="str">
        <f>IFERROR(TRIM(Raw_Data!B758), "Review")</f>
        <v>David</v>
      </c>
      <c r="C758" s="2" t="str">
        <f>IFERROR(TRIM(Raw_Data!C758), "Review")</f>
        <v>Johnson</v>
      </c>
      <c r="D758" s="2">
        <f>IF(Raw_Data!D758="", "", IFERROR(VALUE(Raw_Data!D758), ""))</f>
        <v>25</v>
      </c>
      <c r="E758" s="2" t="str">
        <f>IFERROR(LEFT(Raw_Data!E758,SEARCH("-",Raw_Data!E758)-1),"Review")</f>
        <v>Admin</v>
      </c>
      <c r="F758" s="2" t="str">
        <f>IFERROR(_xlfn.TEXTAFTER(Raw_Data!E758,"-"),"Review")</f>
        <v>Florida</v>
      </c>
      <c r="G758" s="2" t="str">
        <f>IFERROR(TRIM(Raw_Data!F758), "Review")</f>
        <v>Pending</v>
      </c>
      <c r="H758" s="3" t="str">
        <f>IFERROR(TEXT(Raw_Data!G758, "YYYY-MM-DD"),"Review")</f>
        <v>2022-09-30</v>
      </c>
      <c r="I758" s="4">
        <f>IF(Raw_Data!H758="", "", IFERROR(VALUE(Raw_Data!H758), ""))</f>
        <v>98150.39</v>
      </c>
      <c r="J758" s="2" t="str">
        <f>IF(Raw_Data!I758="", "", IF(ISNUMBER(FIND("@", Raw_Data!I758)), Raw_Data!I758, "Review"))</f>
        <v>david.johnson@example.com</v>
      </c>
      <c r="K758" s="5" t="str">
        <f>IFERROR(TEXT(ABS(Raw_Data!J758), "0"), "Review")</f>
        <v>9848228500</v>
      </c>
      <c r="L758" s="2" t="str">
        <f>IFERROR(TRIM(Raw_Data!K758), "Review")</f>
        <v>Good</v>
      </c>
      <c r="M758" s="2" t="b">
        <f>IF(Raw_Data!L758="", "",
    IF(ISLOGICAL(Raw_Data!L758), Raw_Data!L758,
        IF(OR(UPPER(Raw_Data!L758)="TRUE", UPPER(Raw_Data!L758)="YES", UPPER(Raw_Data!L758)="1"), TRUE,
            IF(OR(UPPER(Raw_Data!L758)="FALSE", UPPER(Raw_Data!L758)="NO", UPPER(Raw_Data!L758)="0"), FALSE, "Review")
        )
    )
)</f>
        <v>1</v>
      </c>
    </row>
    <row r="759" spans="1:13" x14ac:dyDescent="0.4">
      <c r="A759" s="2" t="str">
        <f>IFERROR(TRIM(Raw_Data!A759), "Review")</f>
        <v>EMP1757</v>
      </c>
      <c r="B759" s="2" t="str">
        <f>IFERROR(TRIM(Raw_Data!B759), "Review")</f>
        <v>David</v>
      </c>
      <c r="C759" s="2" t="str">
        <f>IFERROR(TRIM(Raw_Data!C759), "Review")</f>
        <v>Williams</v>
      </c>
      <c r="D759" s="2">
        <f>IF(Raw_Data!D759="", "", IFERROR(VALUE(Raw_Data!D759), ""))</f>
        <v>40</v>
      </c>
      <c r="E759" s="2" t="str">
        <f>IFERROR(LEFT(Raw_Data!E759,SEARCH("-",Raw_Data!E759)-1),"Review")</f>
        <v>Finance</v>
      </c>
      <c r="F759" s="2" t="str">
        <f>IFERROR(_xlfn.TEXTAFTER(Raw_Data!E759,"-"),"Review")</f>
        <v>Texas</v>
      </c>
      <c r="G759" s="2" t="str">
        <f>IFERROR(TRIM(Raw_Data!F759), "Review")</f>
        <v>Pending</v>
      </c>
      <c r="H759" s="3" t="str">
        <f>IFERROR(TEXT(Raw_Data!G759, "YYYY-MM-DD"),"Review")</f>
        <v>2024-02-14</v>
      </c>
      <c r="I759" s="4">
        <f>IF(Raw_Data!H759="", "", IFERROR(VALUE(Raw_Data!H759), ""))</f>
        <v>107703</v>
      </c>
      <c r="J759" s="2" t="str">
        <f>IF(Raw_Data!I759="", "", IF(ISNUMBER(FIND("@", Raw_Data!I759)), Raw_Data!I759, "Review"))</f>
        <v>david.williams@example.com</v>
      </c>
      <c r="K759" s="5" t="str">
        <f>IFERROR(TEXT(ABS(Raw_Data!J759), "0"), "Review")</f>
        <v>1688092549</v>
      </c>
      <c r="L759" s="2" t="str">
        <f>IFERROR(TRIM(Raw_Data!K759), "Review")</f>
        <v>Average</v>
      </c>
      <c r="M759" s="2" t="b">
        <f>IF(Raw_Data!L759="", "",
    IF(ISLOGICAL(Raw_Data!L759), Raw_Data!L759,
        IF(OR(UPPER(Raw_Data!L759)="TRUE", UPPER(Raw_Data!L759)="YES", UPPER(Raw_Data!L759)="1"), TRUE,
            IF(OR(UPPER(Raw_Data!L759)="FALSE", UPPER(Raw_Data!L759)="NO", UPPER(Raw_Data!L759)="0"), FALSE, "Review")
        )
    )
)</f>
        <v>0</v>
      </c>
    </row>
    <row r="760" spans="1:13" x14ac:dyDescent="0.4">
      <c r="A760" s="2" t="str">
        <f>IFERROR(TRIM(Raw_Data!A760), "Review")</f>
        <v>EMP1758</v>
      </c>
      <c r="B760" s="2" t="str">
        <f>IFERROR(TRIM(Raw_Data!B760), "Review")</f>
        <v>Grace</v>
      </c>
      <c r="C760" s="2" t="str">
        <f>IFERROR(TRIM(Raw_Data!C760), "Review")</f>
        <v>Smith</v>
      </c>
      <c r="D760" s="2" t="str">
        <f>IF(Raw_Data!D760="", "", IFERROR(VALUE(Raw_Data!D760), ""))</f>
        <v/>
      </c>
      <c r="E760" s="2" t="str">
        <f>IFERROR(LEFT(Raw_Data!E760,SEARCH("-",Raw_Data!E760)-1),"Review")</f>
        <v>DevOps</v>
      </c>
      <c r="F760" s="2" t="str">
        <f>IFERROR(_xlfn.TEXTAFTER(Raw_Data!E760,"-"),"Review")</f>
        <v>Illinois</v>
      </c>
      <c r="G760" s="2" t="str">
        <f>IFERROR(TRIM(Raw_Data!F760), "Review")</f>
        <v>Pending</v>
      </c>
      <c r="H760" s="3" t="str">
        <f>IFERROR(TEXT(Raw_Data!G760, "YYYY-MM-DD"),"Review")</f>
        <v>2023-01-03</v>
      </c>
      <c r="I760" s="4">
        <f>IF(Raw_Data!H760="", "", IFERROR(VALUE(Raw_Data!H760), ""))</f>
        <v>86766.14</v>
      </c>
      <c r="J760" s="2" t="str">
        <f>IF(Raw_Data!I760="", "", IF(ISNUMBER(FIND("@", Raw_Data!I760)), Raw_Data!I760, "Review"))</f>
        <v>grace.smith@example.com</v>
      </c>
      <c r="K760" s="5" t="str">
        <f>IFERROR(TEXT(ABS(Raw_Data!J760), "0"), "Review")</f>
        <v>2130609068</v>
      </c>
      <c r="L760" s="2" t="str">
        <f>IFERROR(TRIM(Raw_Data!K760), "Review")</f>
        <v>Poor</v>
      </c>
      <c r="M760" s="2" t="b">
        <f>IF(Raw_Data!L760="", "",
    IF(ISLOGICAL(Raw_Data!L760), Raw_Data!L760,
        IF(OR(UPPER(Raw_Data!L760)="TRUE", UPPER(Raw_Data!L760)="YES", UPPER(Raw_Data!L760)="1"), TRUE,
            IF(OR(UPPER(Raw_Data!L760)="FALSE", UPPER(Raw_Data!L760)="NO", UPPER(Raw_Data!L760)="0"), FALSE, "Review")
        )
    )
)</f>
        <v>1</v>
      </c>
    </row>
    <row r="761" spans="1:13" x14ac:dyDescent="0.4">
      <c r="A761" s="2" t="str">
        <f>IFERROR(TRIM(Raw_Data!A761), "Review")</f>
        <v>EMP1759</v>
      </c>
      <c r="B761" s="2" t="str">
        <f>IFERROR(TRIM(Raw_Data!B761), "Review")</f>
        <v>Alice</v>
      </c>
      <c r="C761" s="2" t="str">
        <f>IFERROR(TRIM(Raw_Data!C761), "Review")</f>
        <v>Davis</v>
      </c>
      <c r="D761" s="2" t="str">
        <f>IF(Raw_Data!D761="", "", IFERROR(VALUE(Raw_Data!D761), ""))</f>
        <v/>
      </c>
      <c r="E761" s="2" t="str">
        <f>IFERROR(LEFT(Raw_Data!E761,SEARCH("-",Raw_Data!E761)-1),"Review")</f>
        <v>Cloud Tech</v>
      </c>
      <c r="F761" s="2" t="str">
        <f>IFERROR(_xlfn.TEXTAFTER(Raw_Data!E761,"-"),"Review")</f>
        <v>Florida</v>
      </c>
      <c r="G761" s="2" t="str">
        <f>IFERROR(TRIM(Raw_Data!F761), "Review")</f>
        <v>Inactive</v>
      </c>
      <c r="H761" s="3" t="str">
        <f>IFERROR(TEXT(Raw_Data!G761, "YYYY-MM-DD"),"Review")</f>
        <v>2024-08-20</v>
      </c>
      <c r="I761" s="4">
        <f>IF(Raw_Data!H761="", "", IFERROR(VALUE(Raw_Data!H761), ""))</f>
        <v>111443.69</v>
      </c>
      <c r="J761" s="2" t="str">
        <f>IF(Raw_Data!I761="", "", IF(ISNUMBER(FIND("@", Raw_Data!I761)), Raw_Data!I761, "Review"))</f>
        <v>alice.davis@example.com</v>
      </c>
      <c r="K761" s="5" t="str">
        <f>IFERROR(TEXT(ABS(Raw_Data!J761), "0"), "Review")</f>
        <v>1309810795</v>
      </c>
      <c r="L761" s="2" t="str">
        <f>IFERROR(TRIM(Raw_Data!K761), "Review")</f>
        <v>Poor</v>
      </c>
      <c r="M761" s="2" t="b">
        <f>IF(Raw_Data!L761="", "",
    IF(ISLOGICAL(Raw_Data!L761), Raw_Data!L761,
        IF(OR(UPPER(Raw_Data!L761)="TRUE", UPPER(Raw_Data!L761)="YES", UPPER(Raw_Data!L761)="1"), TRUE,
            IF(OR(UPPER(Raw_Data!L761)="FALSE", UPPER(Raw_Data!L761)="NO", UPPER(Raw_Data!L761)="0"), FALSE, "Review")
        )
    )
)</f>
        <v>1</v>
      </c>
    </row>
    <row r="762" spans="1:13" x14ac:dyDescent="0.4">
      <c r="A762" s="2" t="str">
        <f>IFERROR(TRIM(Raw_Data!A762), "Review")</f>
        <v>EMP1760</v>
      </c>
      <c r="B762" s="2" t="str">
        <f>IFERROR(TRIM(Raw_Data!B762), "Review")</f>
        <v>David</v>
      </c>
      <c r="C762" s="2" t="str">
        <f>IFERROR(TRIM(Raw_Data!C762), "Review")</f>
        <v>Brown</v>
      </c>
      <c r="D762" s="2" t="str">
        <f>IF(Raw_Data!D762="", "", IFERROR(VALUE(Raw_Data!D762), ""))</f>
        <v/>
      </c>
      <c r="E762" s="2" t="str">
        <f>IFERROR(LEFT(Raw_Data!E762,SEARCH("-",Raw_Data!E762)-1),"Review")</f>
        <v>Sales</v>
      </c>
      <c r="F762" s="2" t="str">
        <f>IFERROR(_xlfn.TEXTAFTER(Raw_Data!E762,"-"),"Review")</f>
        <v>Florida</v>
      </c>
      <c r="G762" s="2" t="str">
        <f>IFERROR(TRIM(Raw_Data!F762), "Review")</f>
        <v>Pending</v>
      </c>
      <c r="H762" s="3" t="str">
        <f>IFERROR(TEXT(Raw_Data!G762, "YYYY-MM-DD"),"Review")</f>
        <v>2020-03-21</v>
      </c>
      <c r="I762" s="4">
        <f>IF(Raw_Data!H762="", "", IFERROR(VALUE(Raw_Data!H762), ""))</f>
        <v>89039.07</v>
      </c>
      <c r="J762" s="2" t="str">
        <f>IF(Raw_Data!I762="", "", IF(ISNUMBER(FIND("@", Raw_Data!I762)), Raw_Data!I762, "Review"))</f>
        <v>david.brown@example.com</v>
      </c>
      <c r="K762" s="5" t="str">
        <f>IFERROR(TEXT(ABS(Raw_Data!J762), "0"), "Review")</f>
        <v>4967379456</v>
      </c>
      <c r="L762" s="2" t="str">
        <f>IFERROR(TRIM(Raw_Data!K762), "Review")</f>
        <v>Good</v>
      </c>
      <c r="M762" s="2" t="b">
        <f>IF(Raw_Data!L762="", "",
    IF(ISLOGICAL(Raw_Data!L762), Raw_Data!L762,
        IF(OR(UPPER(Raw_Data!L762)="TRUE", UPPER(Raw_Data!L762)="YES", UPPER(Raw_Data!L762)="1"), TRUE,
            IF(OR(UPPER(Raw_Data!L762)="FALSE", UPPER(Raw_Data!L762)="NO", UPPER(Raw_Data!L762)="0"), FALSE, "Review")
        )
    )
)</f>
        <v>0</v>
      </c>
    </row>
    <row r="763" spans="1:13" x14ac:dyDescent="0.4">
      <c r="A763" s="2" t="str">
        <f>IFERROR(TRIM(Raw_Data!A763), "Review")</f>
        <v>EMP1761</v>
      </c>
      <c r="B763" s="2" t="str">
        <f>IFERROR(TRIM(Raw_Data!B763), "Review")</f>
        <v>Alice</v>
      </c>
      <c r="C763" s="2" t="str">
        <f>IFERROR(TRIM(Raw_Data!C763), "Review")</f>
        <v>Johnson</v>
      </c>
      <c r="D763" s="2">
        <f>IF(Raw_Data!D763="", "", IFERROR(VALUE(Raw_Data!D763), ""))</f>
        <v>30</v>
      </c>
      <c r="E763" s="2" t="str">
        <f>IFERROR(LEFT(Raw_Data!E763,SEARCH("-",Raw_Data!E763)-1),"Review")</f>
        <v>HR</v>
      </c>
      <c r="F763" s="2" t="str">
        <f>IFERROR(_xlfn.TEXTAFTER(Raw_Data!E763,"-"),"Review")</f>
        <v>Florida</v>
      </c>
      <c r="G763" s="2" t="str">
        <f>IFERROR(TRIM(Raw_Data!F763), "Review")</f>
        <v>Inactive</v>
      </c>
      <c r="H763" s="3" t="str">
        <f>IFERROR(TEXT(Raw_Data!G763, "YYYY-MM-DD"),"Review")</f>
        <v>2024-12-16</v>
      </c>
      <c r="I763" s="4">
        <f>IF(Raw_Data!H763="", "", IFERROR(VALUE(Raw_Data!H763), ""))</f>
        <v>71318.789999999994</v>
      </c>
      <c r="J763" s="2" t="str">
        <f>IF(Raw_Data!I763="", "", IF(ISNUMBER(FIND("@", Raw_Data!I763)), Raw_Data!I763, "Review"))</f>
        <v>alice.johnson@example.com</v>
      </c>
      <c r="K763" s="5" t="str">
        <f>IFERROR(TEXT(ABS(Raw_Data!J763), "0"), "Review")</f>
        <v>7278532425</v>
      </c>
      <c r="L763" s="2" t="str">
        <f>IFERROR(TRIM(Raw_Data!K763), "Review")</f>
        <v>Poor</v>
      </c>
      <c r="M763" s="2" t="b">
        <f>IF(Raw_Data!L763="", "",
    IF(ISLOGICAL(Raw_Data!L763), Raw_Data!L763,
        IF(OR(UPPER(Raw_Data!L763)="TRUE", UPPER(Raw_Data!L763)="YES", UPPER(Raw_Data!L763)="1"), TRUE,
            IF(OR(UPPER(Raw_Data!L763)="FALSE", UPPER(Raw_Data!L763)="NO", UPPER(Raw_Data!L763)="0"), FALSE, "Review")
        )
    )
)</f>
        <v>0</v>
      </c>
    </row>
    <row r="764" spans="1:13" x14ac:dyDescent="0.4">
      <c r="A764" s="2" t="str">
        <f>IFERROR(TRIM(Raw_Data!A764), "Review")</f>
        <v>EMP1762</v>
      </c>
      <c r="B764" s="2" t="str">
        <f>IFERROR(TRIM(Raw_Data!B764), "Review")</f>
        <v>Heidi</v>
      </c>
      <c r="C764" s="2" t="str">
        <f>IFERROR(TRIM(Raw_Data!C764), "Review")</f>
        <v>Jones</v>
      </c>
      <c r="D764" s="2">
        <f>IF(Raw_Data!D764="", "", IFERROR(VALUE(Raw_Data!D764), ""))</f>
        <v>30</v>
      </c>
      <c r="E764" s="2" t="str">
        <f>IFERROR(LEFT(Raw_Data!E764,SEARCH("-",Raw_Data!E764)-1),"Review")</f>
        <v>Finance</v>
      </c>
      <c r="F764" s="2" t="str">
        <f>IFERROR(_xlfn.TEXTAFTER(Raw_Data!E764,"-"),"Review")</f>
        <v>California</v>
      </c>
      <c r="G764" s="2" t="str">
        <f>IFERROR(TRIM(Raw_Data!F764), "Review")</f>
        <v>Pending</v>
      </c>
      <c r="H764" s="3" t="str">
        <f>IFERROR(TEXT(Raw_Data!G764, "YYYY-MM-DD"),"Review")</f>
        <v>2020-04-21</v>
      </c>
      <c r="I764" s="4">
        <f>IF(Raw_Data!H764="", "", IFERROR(VALUE(Raw_Data!H764), ""))</f>
        <v>98296.71</v>
      </c>
      <c r="J764" s="2" t="str">
        <f>IF(Raw_Data!I764="", "", IF(ISNUMBER(FIND("@", Raw_Data!I764)), Raw_Data!I764, "Review"))</f>
        <v>heidi.jones@example.com</v>
      </c>
      <c r="K764" s="5" t="str">
        <f>IFERROR(TEXT(ABS(Raw_Data!J764), "0"), "Review")</f>
        <v>4250642075</v>
      </c>
      <c r="L764" s="2" t="str">
        <f>IFERROR(TRIM(Raw_Data!K764), "Review")</f>
        <v>Poor</v>
      </c>
      <c r="M764" s="2" t="b">
        <f>IF(Raw_Data!L764="", "",
    IF(ISLOGICAL(Raw_Data!L764), Raw_Data!L764,
        IF(OR(UPPER(Raw_Data!L764)="TRUE", UPPER(Raw_Data!L764)="YES", UPPER(Raw_Data!L764)="1"), TRUE,
            IF(OR(UPPER(Raw_Data!L764)="FALSE", UPPER(Raw_Data!L764)="NO", UPPER(Raw_Data!L764)="0"), FALSE, "Review")
        )
    )
)</f>
        <v>0</v>
      </c>
    </row>
    <row r="765" spans="1:13" x14ac:dyDescent="0.4">
      <c r="A765" s="2" t="str">
        <f>IFERROR(TRIM(Raw_Data!A765), "Review")</f>
        <v>EMP1763</v>
      </c>
      <c r="B765" s="2" t="str">
        <f>IFERROR(TRIM(Raw_Data!B765), "Review")</f>
        <v>Heidi</v>
      </c>
      <c r="C765" s="2" t="str">
        <f>IFERROR(TRIM(Raw_Data!C765), "Review")</f>
        <v>Johnson</v>
      </c>
      <c r="D765" s="2">
        <f>IF(Raw_Data!D765="", "", IFERROR(VALUE(Raw_Data!D765), ""))</f>
        <v>40</v>
      </c>
      <c r="E765" s="2" t="str">
        <f>IFERROR(LEFT(Raw_Data!E765,SEARCH("-",Raw_Data!E765)-1),"Review")</f>
        <v>Cloud Tech</v>
      </c>
      <c r="F765" s="2" t="str">
        <f>IFERROR(_xlfn.TEXTAFTER(Raw_Data!E765,"-"),"Review")</f>
        <v>Nevada</v>
      </c>
      <c r="G765" s="2" t="str">
        <f>IFERROR(TRIM(Raw_Data!F765), "Review")</f>
        <v>Pending</v>
      </c>
      <c r="H765" s="3" t="str">
        <f>IFERROR(TEXT(Raw_Data!G765, "YYYY-MM-DD"),"Review")</f>
        <v>2020-08-19</v>
      </c>
      <c r="I765" s="4">
        <f>IF(Raw_Data!H765="", "", IFERROR(VALUE(Raw_Data!H765), ""))</f>
        <v>62584</v>
      </c>
      <c r="J765" s="2" t="str">
        <f>IF(Raw_Data!I765="", "", IF(ISNUMBER(FIND("@", Raw_Data!I765)), Raw_Data!I765, "Review"))</f>
        <v>heidi.johnson@example.com</v>
      </c>
      <c r="K765" s="5" t="str">
        <f>IFERROR(TEXT(ABS(Raw_Data!J765), "0"), "Review")</f>
        <v>8362536666</v>
      </c>
      <c r="L765" s="2" t="str">
        <f>IFERROR(TRIM(Raw_Data!K765), "Review")</f>
        <v>Good</v>
      </c>
      <c r="M765" s="2" t="b">
        <f>IF(Raw_Data!L765="", "",
    IF(ISLOGICAL(Raw_Data!L765), Raw_Data!L765,
        IF(OR(UPPER(Raw_Data!L765)="TRUE", UPPER(Raw_Data!L765)="YES", UPPER(Raw_Data!L765)="1"), TRUE,
            IF(OR(UPPER(Raw_Data!L765)="FALSE", UPPER(Raw_Data!L765)="NO", UPPER(Raw_Data!L765)="0"), FALSE, "Review")
        )
    )
)</f>
        <v>0</v>
      </c>
    </row>
    <row r="766" spans="1:13" x14ac:dyDescent="0.4">
      <c r="A766" s="2" t="str">
        <f>IFERROR(TRIM(Raw_Data!A766), "Review")</f>
        <v>EMP1764</v>
      </c>
      <c r="B766" s="2" t="str">
        <f>IFERROR(TRIM(Raw_Data!B766), "Review")</f>
        <v>Charlie</v>
      </c>
      <c r="C766" s="2" t="str">
        <f>IFERROR(TRIM(Raw_Data!C766), "Review")</f>
        <v>Jones</v>
      </c>
      <c r="D766" s="2">
        <f>IF(Raw_Data!D766="", "", IFERROR(VALUE(Raw_Data!D766), ""))</f>
        <v>40</v>
      </c>
      <c r="E766" s="2" t="str">
        <f>IFERROR(LEFT(Raw_Data!E766,SEARCH("-",Raw_Data!E766)-1),"Review")</f>
        <v>Finance</v>
      </c>
      <c r="F766" s="2" t="str">
        <f>IFERROR(_xlfn.TEXTAFTER(Raw_Data!E766,"-"),"Review")</f>
        <v>California</v>
      </c>
      <c r="G766" s="2" t="str">
        <f>IFERROR(TRIM(Raw_Data!F766), "Review")</f>
        <v>Inactive</v>
      </c>
      <c r="H766" s="3" t="str">
        <f>IFERROR(TEXT(Raw_Data!G766, "YYYY-MM-DD"),"Review")</f>
        <v>2020-02-21</v>
      </c>
      <c r="I766" s="4">
        <f>IF(Raw_Data!H766="", "", IFERROR(VALUE(Raw_Data!H766), ""))</f>
        <v>62521.5</v>
      </c>
      <c r="J766" s="2" t="str">
        <f>IF(Raw_Data!I766="", "", IF(ISNUMBER(FIND("@", Raw_Data!I766)), Raw_Data!I766, "Review"))</f>
        <v>charlie.jones@example.com</v>
      </c>
      <c r="K766" s="5" t="str">
        <f>IFERROR(TEXT(ABS(Raw_Data!J766), "0"), "Review")</f>
        <v>7767555627</v>
      </c>
      <c r="L766" s="2" t="str">
        <f>IFERROR(TRIM(Raw_Data!K766), "Review")</f>
        <v>Average</v>
      </c>
      <c r="M766" s="2" t="b">
        <f>IF(Raw_Data!L766="", "",
    IF(ISLOGICAL(Raw_Data!L766), Raw_Data!L766,
        IF(OR(UPPER(Raw_Data!L766)="TRUE", UPPER(Raw_Data!L766)="YES", UPPER(Raw_Data!L766)="1"), TRUE,
            IF(OR(UPPER(Raw_Data!L766)="FALSE", UPPER(Raw_Data!L766)="NO", UPPER(Raw_Data!L766)="0"), FALSE, "Review")
        )
    )
)</f>
        <v>1</v>
      </c>
    </row>
    <row r="767" spans="1:13" x14ac:dyDescent="0.4">
      <c r="A767" s="2" t="str">
        <f>IFERROR(TRIM(Raw_Data!A767), "Review")</f>
        <v>EMP1765</v>
      </c>
      <c r="B767" s="2" t="str">
        <f>IFERROR(TRIM(Raw_Data!B767), "Review")</f>
        <v>David</v>
      </c>
      <c r="C767" s="2" t="str">
        <f>IFERROR(TRIM(Raw_Data!C767), "Review")</f>
        <v>Williams</v>
      </c>
      <c r="D767" s="2">
        <f>IF(Raw_Data!D767="", "", IFERROR(VALUE(Raw_Data!D767), ""))</f>
        <v>40</v>
      </c>
      <c r="E767" s="2" t="str">
        <f>IFERROR(LEFT(Raw_Data!E767,SEARCH("-",Raw_Data!E767)-1),"Review")</f>
        <v>Cloud Tech</v>
      </c>
      <c r="F767" s="2" t="str">
        <f>IFERROR(_xlfn.TEXTAFTER(Raw_Data!E767,"-"),"Review")</f>
        <v>California</v>
      </c>
      <c r="G767" s="2" t="str">
        <f>IFERROR(TRIM(Raw_Data!F767), "Review")</f>
        <v>Inactive</v>
      </c>
      <c r="H767" s="3" t="str">
        <f>IFERROR(TEXT(Raw_Data!G767, "YYYY-MM-DD"),"Review")</f>
        <v>2023-11-17</v>
      </c>
      <c r="I767" s="4">
        <f>IF(Raw_Data!H767="", "", IFERROR(VALUE(Raw_Data!H767), ""))</f>
        <v>95400.35</v>
      </c>
      <c r="J767" s="2" t="str">
        <f>IF(Raw_Data!I767="", "", IF(ISNUMBER(FIND("@", Raw_Data!I767)), Raw_Data!I767, "Review"))</f>
        <v>david.williams@example.com</v>
      </c>
      <c r="K767" s="5" t="str">
        <f>IFERROR(TEXT(ABS(Raw_Data!J767), "0"), "Review")</f>
        <v>3333939577</v>
      </c>
      <c r="L767" s="2" t="str">
        <f>IFERROR(TRIM(Raw_Data!K767), "Review")</f>
        <v>Poor</v>
      </c>
      <c r="M767" s="2" t="b">
        <f>IF(Raw_Data!L767="", "",
    IF(ISLOGICAL(Raw_Data!L767), Raw_Data!L767,
        IF(OR(UPPER(Raw_Data!L767)="TRUE", UPPER(Raw_Data!L767)="YES", UPPER(Raw_Data!L767)="1"), TRUE,
            IF(OR(UPPER(Raw_Data!L767)="FALSE", UPPER(Raw_Data!L767)="NO", UPPER(Raw_Data!L767)="0"), FALSE, "Review")
        )
    )
)</f>
        <v>1</v>
      </c>
    </row>
    <row r="768" spans="1:13" x14ac:dyDescent="0.4">
      <c r="A768" s="2" t="str">
        <f>IFERROR(TRIM(Raw_Data!A768), "Review")</f>
        <v>EMP1766</v>
      </c>
      <c r="B768" s="2" t="str">
        <f>IFERROR(TRIM(Raw_Data!B768), "Review")</f>
        <v>Charlie</v>
      </c>
      <c r="C768" s="2" t="str">
        <f>IFERROR(TRIM(Raw_Data!C768), "Review")</f>
        <v>Jones</v>
      </c>
      <c r="D768" s="2">
        <f>IF(Raw_Data!D768="", "", IFERROR(VALUE(Raw_Data!D768), ""))</f>
        <v>25</v>
      </c>
      <c r="E768" s="2" t="str">
        <f>IFERROR(LEFT(Raw_Data!E768,SEARCH("-",Raw_Data!E768)-1),"Review")</f>
        <v>Cloud Tech</v>
      </c>
      <c r="F768" s="2" t="str">
        <f>IFERROR(_xlfn.TEXTAFTER(Raw_Data!E768,"-"),"Review")</f>
        <v>Texas</v>
      </c>
      <c r="G768" s="2" t="str">
        <f>IFERROR(TRIM(Raw_Data!F768), "Review")</f>
        <v>Pending</v>
      </c>
      <c r="H768" s="3" t="str">
        <f>IFERROR(TEXT(Raw_Data!G768, "YYYY-MM-DD"),"Review")</f>
        <v>2022-07-09</v>
      </c>
      <c r="I768" s="4">
        <f>IF(Raw_Data!H768="", "", IFERROR(VALUE(Raw_Data!H768), ""))</f>
        <v>94385.07</v>
      </c>
      <c r="J768" s="2" t="str">
        <f>IF(Raw_Data!I768="", "", IF(ISNUMBER(FIND("@", Raw_Data!I768)), Raw_Data!I768, "Review"))</f>
        <v>charlie.jones@example.com</v>
      </c>
      <c r="K768" s="5" t="str">
        <f>IFERROR(TEXT(ABS(Raw_Data!J768), "0"), "Review")</f>
        <v>6543627186</v>
      </c>
      <c r="L768" s="2" t="str">
        <f>IFERROR(TRIM(Raw_Data!K768), "Review")</f>
        <v>Poor</v>
      </c>
      <c r="M768" s="2" t="b">
        <f>IF(Raw_Data!L768="", "",
    IF(ISLOGICAL(Raw_Data!L768), Raw_Data!L768,
        IF(OR(UPPER(Raw_Data!L768)="TRUE", UPPER(Raw_Data!L768)="YES", UPPER(Raw_Data!L768)="1"), TRUE,
            IF(OR(UPPER(Raw_Data!L768)="FALSE", UPPER(Raw_Data!L768)="NO", UPPER(Raw_Data!L768)="0"), FALSE, "Review")
        )
    )
)</f>
        <v>1</v>
      </c>
    </row>
    <row r="769" spans="1:13" x14ac:dyDescent="0.4">
      <c r="A769" s="2" t="str">
        <f>IFERROR(TRIM(Raw_Data!A769), "Review")</f>
        <v>EMP1767</v>
      </c>
      <c r="B769" s="2" t="str">
        <f>IFERROR(TRIM(Raw_Data!B769), "Review")</f>
        <v>Grace</v>
      </c>
      <c r="C769" s="2" t="str">
        <f>IFERROR(TRIM(Raw_Data!C769), "Review")</f>
        <v>Garcia</v>
      </c>
      <c r="D769" s="2" t="str">
        <f>IF(Raw_Data!D769="", "", IFERROR(VALUE(Raw_Data!D769), ""))</f>
        <v/>
      </c>
      <c r="E769" s="2" t="str">
        <f>IFERROR(LEFT(Raw_Data!E769,SEARCH("-",Raw_Data!E769)-1),"Review")</f>
        <v>Sales</v>
      </c>
      <c r="F769" s="2" t="str">
        <f>IFERROR(_xlfn.TEXTAFTER(Raw_Data!E769,"-"),"Review")</f>
        <v>New York</v>
      </c>
      <c r="G769" s="2" t="str">
        <f>IFERROR(TRIM(Raw_Data!F769), "Review")</f>
        <v>Inactive</v>
      </c>
      <c r="H769" s="3" t="str">
        <f>IFERROR(TEXT(Raw_Data!G769, "YYYY-MM-DD"),"Review")</f>
        <v>2023-02-01</v>
      </c>
      <c r="I769" s="4">
        <f>IF(Raw_Data!H769="", "", IFERROR(VALUE(Raw_Data!H769), ""))</f>
        <v>76642.490000000005</v>
      </c>
      <c r="J769" s="2" t="str">
        <f>IF(Raw_Data!I769="", "", IF(ISNUMBER(FIND("@", Raw_Data!I769)), Raw_Data!I769, "Review"))</f>
        <v>grace.garcia@example.com</v>
      </c>
      <c r="K769" s="5" t="str">
        <f>IFERROR(TEXT(ABS(Raw_Data!J769), "0"), "Review")</f>
        <v>4960335825</v>
      </c>
      <c r="L769" s="2" t="str">
        <f>IFERROR(TRIM(Raw_Data!K769), "Review")</f>
        <v>Poor</v>
      </c>
      <c r="M769" s="2" t="b">
        <f>IF(Raw_Data!L769="", "",
    IF(ISLOGICAL(Raw_Data!L769), Raw_Data!L769,
        IF(OR(UPPER(Raw_Data!L769)="TRUE", UPPER(Raw_Data!L769)="YES", UPPER(Raw_Data!L769)="1"), TRUE,
            IF(OR(UPPER(Raw_Data!L769)="FALSE", UPPER(Raw_Data!L769)="NO", UPPER(Raw_Data!L769)="0"), FALSE, "Review")
        )
    )
)</f>
        <v>1</v>
      </c>
    </row>
    <row r="770" spans="1:13" x14ac:dyDescent="0.4">
      <c r="A770" s="2" t="str">
        <f>IFERROR(TRIM(Raw_Data!A770), "Review")</f>
        <v>EMP1768</v>
      </c>
      <c r="B770" s="2" t="str">
        <f>IFERROR(TRIM(Raw_Data!B770), "Review")</f>
        <v>Frank</v>
      </c>
      <c r="C770" s="2" t="str">
        <f>IFERROR(TRIM(Raw_Data!C770), "Review")</f>
        <v>Brown</v>
      </c>
      <c r="D770" s="2" t="str">
        <f>IF(Raw_Data!D770="", "", IFERROR(VALUE(Raw_Data!D770), ""))</f>
        <v/>
      </c>
      <c r="E770" s="2" t="str">
        <f>IFERROR(LEFT(Raw_Data!E770,SEARCH("-",Raw_Data!E770)-1),"Review")</f>
        <v>DevOps</v>
      </c>
      <c r="F770" s="2" t="str">
        <f>IFERROR(_xlfn.TEXTAFTER(Raw_Data!E770,"-"),"Review")</f>
        <v>New York</v>
      </c>
      <c r="G770" s="2" t="str">
        <f>IFERROR(TRIM(Raw_Data!F770), "Review")</f>
        <v>Active</v>
      </c>
      <c r="H770" s="3" t="str">
        <f>IFERROR(TEXT(Raw_Data!G770, "YYYY-MM-DD"),"Review")</f>
        <v>2024-11-14</v>
      </c>
      <c r="I770" s="4">
        <f>IF(Raw_Data!H770="", "", IFERROR(VALUE(Raw_Data!H770), ""))</f>
        <v>60122.52</v>
      </c>
      <c r="J770" s="2" t="str">
        <f>IF(Raw_Data!I770="", "", IF(ISNUMBER(FIND("@", Raw_Data!I770)), Raw_Data!I770, "Review"))</f>
        <v>frank.brown@example.com</v>
      </c>
      <c r="K770" s="5" t="str">
        <f>IFERROR(TEXT(ABS(Raw_Data!J770), "0"), "Review")</f>
        <v>8627036923</v>
      </c>
      <c r="L770" s="2" t="str">
        <f>IFERROR(TRIM(Raw_Data!K770), "Review")</f>
        <v>Excellent</v>
      </c>
      <c r="M770" s="2" t="b">
        <f>IF(Raw_Data!L770="", "",
    IF(ISLOGICAL(Raw_Data!L770), Raw_Data!L770,
        IF(OR(UPPER(Raw_Data!L770)="TRUE", UPPER(Raw_Data!L770)="YES", UPPER(Raw_Data!L770)="1"), TRUE,
            IF(OR(UPPER(Raw_Data!L770)="FALSE", UPPER(Raw_Data!L770)="NO", UPPER(Raw_Data!L770)="0"), FALSE, "Review")
        )
    )
)</f>
        <v>1</v>
      </c>
    </row>
    <row r="771" spans="1:13" x14ac:dyDescent="0.4">
      <c r="A771" s="2" t="str">
        <f>IFERROR(TRIM(Raw_Data!A771), "Review")</f>
        <v>EMP1769</v>
      </c>
      <c r="B771" s="2" t="str">
        <f>IFERROR(TRIM(Raw_Data!B771), "Review")</f>
        <v>Alice</v>
      </c>
      <c r="C771" s="2" t="str">
        <f>IFERROR(TRIM(Raw_Data!C771), "Review")</f>
        <v>Smith</v>
      </c>
      <c r="D771" s="2">
        <f>IF(Raw_Data!D771="", "", IFERROR(VALUE(Raw_Data!D771), ""))</f>
        <v>40</v>
      </c>
      <c r="E771" s="2" t="str">
        <f>IFERROR(LEFT(Raw_Data!E771,SEARCH("-",Raw_Data!E771)-1),"Review")</f>
        <v>HR</v>
      </c>
      <c r="F771" s="2" t="str">
        <f>IFERROR(_xlfn.TEXTAFTER(Raw_Data!E771,"-"),"Review")</f>
        <v>California</v>
      </c>
      <c r="G771" s="2" t="str">
        <f>IFERROR(TRIM(Raw_Data!F771), "Review")</f>
        <v>Pending</v>
      </c>
      <c r="H771" s="3" t="str">
        <f>IFERROR(TEXT(Raw_Data!G771, "YYYY-MM-DD"),"Review")</f>
        <v>2024-04-23</v>
      </c>
      <c r="I771" s="4">
        <f>IF(Raw_Data!H771="", "", IFERROR(VALUE(Raw_Data!H771), ""))</f>
        <v>117267.63</v>
      </c>
      <c r="J771" s="2" t="str">
        <f>IF(Raw_Data!I771="", "", IF(ISNUMBER(FIND("@", Raw_Data!I771)), Raw_Data!I771, "Review"))</f>
        <v>alice.smith@example.com</v>
      </c>
      <c r="K771" s="5" t="str">
        <f>IFERROR(TEXT(ABS(Raw_Data!J771), "0"), "Review")</f>
        <v>9269326572</v>
      </c>
      <c r="L771" s="2" t="str">
        <f>IFERROR(TRIM(Raw_Data!K771), "Review")</f>
        <v>Good</v>
      </c>
      <c r="M771" s="2" t="b">
        <f>IF(Raw_Data!L771="", "",
    IF(ISLOGICAL(Raw_Data!L771), Raw_Data!L771,
        IF(OR(UPPER(Raw_Data!L771)="TRUE", UPPER(Raw_Data!L771)="YES", UPPER(Raw_Data!L771)="1"), TRUE,
            IF(OR(UPPER(Raw_Data!L771)="FALSE", UPPER(Raw_Data!L771)="NO", UPPER(Raw_Data!L771)="0"), FALSE, "Review")
        )
    )
)</f>
        <v>0</v>
      </c>
    </row>
    <row r="772" spans="1:13" x14ac:dyDescent="0.4">
      <c r="A772" s="2" t="str">
        <f>IFERROR(TRIM(Raw_Data!A772), "Review")</f>
        <v>EMP1770</v>
      </c>
      <c r="B772" s="2" t="str">
        <f>IFERROR(TRIM(Raw_Data!B772), "Review")</f>
        <v>Charlie</v>
      </c>
      <c r="C772" s="2" t="str">
        <f>IFERROR(TRIM(Raw_Data!C772), "Review")</f>
        <v>Jones</v>
      </c>
      <c r="D772" s="2">
        <f>IF(Raw_Data!D772="", "", IFERROR(VALUE(Raw_Data!D772), ""))</f>
        <v>25</v>
      </c>
      <c r="E772" s="2" t="str">
        <f>IFERROR(LEFT(Raw_Data!E772,SEARCH("-",Raw_Data!E772)-1),"Review")</f>
        <v>Admin</v>
      </c>
      <c r="F772" s="2" t="str">
        <f>IFERROR(_xlfn.TEXTAFTER(Raw_Data!E772,"-"),"Review")</f>
        <v>New York</v>
      </c>
      <c r="G772" s="2" t="str">
        <f>IFERROR(TRIM(Raw_Data!F772), "Review")</f>
        <v>Active</v>
      </c>
      <c r="H772" s="3" t="str">
        <f>IFERROR(TEXT(Raw_Data!G772, "YYYY-MM-DD"),"Review")</f>
        <v>2023-06-29</v>
      </c>
      <c r="I772" s="4" t="str">
        <f>IF(Raw_Data!H772="", "", IFERROR(VALUE(Raw_Data!H772), ""))</f>
        <v/>
      </c>
      <c r="J772" s="2" t="str">
        <f>IF(Raw_Data!I772="", "", IF(ISNUMBER(FIND("@", Raw_Data!I772)), Raw_Data!I772, "Review"))</f>
        <v>charlie.jones@example.com</v>
      </c>
      <c r="K772" s="5" t="str">
        <f>IFERROR(TEXT(ABS(Raw_Data!J772), "0"), "Review")</f>
        <v>2759980110</v>
      </c>
      <c r="L772" s="2" t="str">
        <f>IFERROR(TRIM(Raw_Data!K772), "Review")</f>
        <v>Excellent</v>
      </c>
      <c r="M772" s="2" t="b">
        <f>IF(Raw_Data!L772="", "",
    IF(ISLOGICAL(Raw_Data!L772), Raw_Data!L772,
        IF(OR(UPPER(Raw_Data!L772)="TRUE", UPPER(Raw_Data!L772)="YES", UPPER(Raw_Data!L772)="1"), TRUE,
            IF(OR(UPPER(Raw_Data!L772)="FALSE", UPPER(Raw_Data!L772)="NO", UPPER(Raw_Data!L772)="0"), FALSE, "Review")
        )
    )
)</f>
        <v>1</v>
      </c>
    </row>
    <row r="773" spans="1:13" x14ac:dyDescent="0.4">
      <c r="A773" s="2" t="str">
        <f>IFERROR(TRIM(Raw_Data!A773), "Review")</f>
        <v>EMP1771</v>
      </c>
      <c r="B773" s="2" t="str">
        <f>IFERROR(TRIM(Raw_Data!B773), "Review")</f>
        <v>Heidi</v>
      </c>
      <c r="C773" s="2" t="str">
        <f>IFERROR(TRIM(Raw_Data!C773), "Review")</f>
        <v>Jones</v>
      </c>
      <c r="D773" s="2">
        <f>IF(Raw_Data!D773="", "", IFERROR(VALUE(Raw_Data!D773), ""))</f>
        <v>40</v>
      </c>
      <c r="E773" s="2" t="str">
        <f>IFERROR(LEFT(Raw_Data!E773,SEARCH("-",Raw_Data!E773)-1),"Review")</f>
        <v>Sales</v>
      </c>
      <c r="F773" s="2" t="str">
        <f>IFERROR(_xlfn.TEXTAFTER(Raw_Data!E773,"-"),"Review")</f>
        <v>Texas</v>
      </c>
      <c r="G773" s="2" t="str">
        <f>IFERROR(TRIM(Raw_Data!F773), "Review")</f>
        <v>Pending</v>
      </c>
      <c r="H773" s="3" t="str">
        <f>IFERROR(TEXT(Raw_Data!G773, "YYYY-MM-DD"),"Review")</f>
        <v>2024-12-12</v>
      </c>
      <c r="I773" s="4">
        <f>IF(Raw_Data!H773="", "", IFERROR(VALUE(Raw_Data!H773), ""))</f>
        <v>84542.68</v>
      </c>
      <c r="J773" s="2" t="str">
        <f>IF(Raw_Data!I773="", "", IF(ISNUMBER(FIND("@", Raw_Data!I773)), Raw_Data!I773, "Review"))</f>
        <v>heidi.jones@example.com</v>
      </c>
      <c r="K773" s="5" t="str">
        <f>IFERROR(TEXT(ABS(Raw_Data!J773), "0"), "Review")</f>
        <v>5155322</v>
      </c>
      <c r="L773" s="2" t="str">
        <f>IFERROR(TRIM(Raw_Data!K773), "Review")</f>
        <v>Good</v>
      </c>
      <c r="M773" s="2" t="b">
        <f>IF(Raw_Data!L773="", "",
    IF(ISLOGICAL(Raw_Data!L773), Raw_Data!L773,
        IF(OR(UPPER(Raw_Data!L773)="TRUE", UPPER(Raw_Data!L773)="YES", UPPER(Raw_Data!L773)="1"), TRUE,
            IF(OR(UPPER(Raw_Data!L773)="FALSE", UPPER(Raw_Data!L773)="NO", UPPER(Raw_Data!L773)="0"), FALSE, "Review")
        )
    )
)</f>
        <v>1</v>
      </c>
    </row>
    <row r="774" spans="1:13" x14ac:dyDescent="0.4">
      <c r="A774" s="2" t="str">
        <f>IFERROR(TRIM(Raw_Data!A774), "Review")</f>
        <v>EMP1772</v>
      </c>
      <c r="B774" s="2" t="str">
        <f>IFERROR(TRIM(Raw_Data!B774), "Review")</f>
        <v>Heidi</v>
      </c>
      <c r="C774" s="2" t="str">
        <f>IFERROR(TRIM(Raw_Data!C774), "Review")</f>
        <v>Smith</v>
      </c>
      <c r="D774" s="2">
        <f>IF(Raw_Data!D774="", "", IFERROR(VALUE(Raw_Data!D774), ""))</f>
        <v>40</v>
      </c>
      <c r="E774" s="2" t="str">
        <f>IFERROR(LEFT(Raw_Data!E774,SEARCH("-",Raw_Data!E774)-1),"Review")</f>
        <v>Finance</v>
      </c>
      <c r="F774" s="2" t="str">
        <f>IFERROR(_xlfn.TEXTAFTER(Raw_Data!E774,"-"),"Review")</f>
        <v>Florida</v>
      </c>
      <c r="G774" s="2" t="str">
        <f>IFERROR(TRIM(Raw_Data!F774), "Review")</f>
        <v>Active</v>
      </c>
      <c r="H774" s="3" t="str">
        <f>IFERROR(TEXT(Raw_Data!G774, "YYYY-MM-DD"),"Review")</f>
        <v>2023-05-16</v>
      </c>
      <c r="I774" s="4">
        <f>IF(Raw_Data!H774="", "", IFERROR(VALUE(Raw_Data!H774), ""))</f>
        <v>92007.15</v>
      </c>
      <c r="J774" s="2" t="str">
        <f>IF(Raw_Data!I774="", "", IF(ISNUMBER(FIND("@", Raw_Data!I774)), Raw_Data!I774, "Review"))</f>
        <v>heidi.smith@example.com</v>
      </c>
      <c r="K774" s="5" t="str">
        <f>IFERROR(TEXT(ABS(Raw_Data!J774), "0"), "Review")</f>
        <v>4159597751</v>
      </c>
      <c r="L774" s="2" t="str">
        <f>IFERROR(TRIM(Raw_Data!K774), "Review")</f>
        <v>Average</v>
      </c>
      <c r="M774" s="2" t="b">
        <f>IF(Raw_Data!L774="", "",
    IF(ISLOGICAL(Raw_Data!L774), Raw_Data!L774,
        IF(OR(UPPER(Raw_Data!L774)="TRUE", UPPER(Raw_Data!L774)="YES", UPPER(Raw_Data!L774)="1"), TRUE,
            IF(OR(UPPER(Raw_Data!L774)="FALSE", UPPER(Raw_Data!L774)="NO", UPPER(Raw_Data!L774)="0"), FALSE, "Review")
        )
    )
)</f>
        <v>1</v>
      </c>
    </row>
    <row r="775" spans="1:13" x14ac:dyDescent="0.4">
      <c r="A775" s="2" t="str">
        <f>IFERROR(TRIM(Raw_Data!A775), "Review")</f>
        <v>EMP1773</v>
      </c>
      <c r="B775" s="2" t="str">
        <f>IFERROR(TRIM(Raw_Data!B775), "Review")</f>
        <v>Eva</v>
      </c>
      <c r="C775" s="2" t="str">
        <f>IFERROR(TRIM(Raw_Data!C775), "Review")</f>
        <v>Brown</v>
      </c>
      <c r="D775" s="2" t="str">
        <f>IF(Raw_Data!D775="", "", IFERROR(VALUE(Raw_Data!D775), ""))</f>
        <v/>
      </c>
      <c r="E775" s="2" t="str">
        <f>IFERROR(LEFT(Raw_Data!E775,SEARCH("-",Raw_Data!E775)-1),"Review")</f>
        <v>DevOps</v>
      </c>
      <c r="F775" s="2" t="str">
        <f>IFERROR(_xlfn.TEXTAFTER(Raw_Data!E775,"-"),"Review")</f>
        <v>Illinois</v>
      </c>
      <c r="G775" s="2" t="str">
        <f>IFERROR(TRIM(Raw_Data!F775), "Review")</f>
        <v>Active</v>
      </c>
      <c r="H775" s="3" t="str">
        <f>IFERROR(TEXT(Raw_Data!G775, "YYYY-MM-DD"),"Review")</f>
        <v>2020-04-10</v>
      </c>
      <c r="I775" s="4">
        <f>IF(Raw_Data!H775="", "", IFERROR(VALUE(Raw_Data!H775), ""))</f>
        <v>62938.8</v>
      </c>
      <c r="J775" s="2" t="str">
        <f>IF(Raw_Data!I775="", "", IF(ISNUMBER(FIND("@", Raw_Data!I775)), Raw_Data!I775, "Review"))</f>
        <v>eva.brown@example.com</v>
      </c>
      <c r="K775" s="5" t="str">
        <f>IFERROR(TEXT(ABS(Raw_Data!J775), "0"), "Review")</f>
        <v>4418222617</v>
      </c>
      <c r="L775" s="2" t="str">
        <f>IFERROR(TRIM(Raw_Data!K775), "Review")</f>
        <v>Average</v>
      </c>
      <c r="M775" s="2" t="b">
        <f>IF(Raw_Data!L775="", "",
    IF(ISLOGICAL(Raw_Data!L775), Raw_Data!L775,
        IF(OR(UPPER(Raw_Data!L775)="TRUE", UPPER(Raw_Data!L775)="YES", UPPER(Raw_Data!L775)="1"), TRUE,
            IF(OR(UPPER(Raw_Data!L775)="FALSE", UPPER(Raw_Data!L775)="NO", UPPER(Raw_Data!L775)="0"), FALSE, "Review")
        )
    )
)</f>
        <v>0</v>
      </c>
    </row>
    <row r="776" spans="1:13" x14ac:dyDescent="0.4">
      <c r="A776" s="2" t="str">
        <f>IFERROR(TRIM(Raw_Data!A776), "Review")</f>
        <v>EMP1774</v>
      </c>
      <c r="B776" s="2" t="str">
        <f>IFERROR(TRIM(Raw_Data!B776), "Review")</f>
        <v>Frank</v>
      </c>
      <c r="C776" s="2" t="str">
        <f>IFERROR(TRIM(Raw_Data!C776), "Review")</f>
        <v>Johnson</v>
      </c>
      <c r="D776" s="2">
        <f>IF(Raw_Data!D776="", "", IFERROR(VALUE(Raw_Data!D776), ""))</f>
        <v>25</v>
      </c>
      <c r="E776" s="2" t="str">
        <f>IFERROR(LEFT(Raw_Data!E776,SEARCH("-",Raw_Data!E776)-1),"Review")</f>
        <v>Admin</v>
      </c>
      <c r="F776" s="2" t="str">
        <f>IFERROR(_xlfn.TEXTAFTER(Raw_Data!E776,"-"),"Review")</f>
        <v>Texas</v>
      </c>
      <c r="G776" s="2" t="str">
        <f>IFERROR(TRIM(Raw_Data!F776), "Review")</f>
        <v>Pending</v>
      </c>
      <c r="H776" s="3" t="str">
        <f>IFERROR(TEXT(Raw_Data!G776, "YYYY-MM-DD"),"Review")</f>
        <v>2023-03-29</v>
      </c>
      <c r="I776" s="4">
        <f>IF(Raw_Data!H776="", "", IFERROR(VALUE(Raw_Data!H776), ""))</f>
        <v>108661.01</v>
      </c>
      <c r="J776" s="2" t="str">
        <f>IF(Raw_Data!I776="", "", IF(ISNUMBER(FIND("@", Raw_Data!I776)), Raw_Data!I776, "Review"))</f>
        <v>frank.johnson@example.com</v>
      </c>
      <c r="K776" s="5" t="str">
        <f>IFERROR(TEXT(ABS(Raw_Data!J776), "0"), "Review")</f>
        <v>9628874311</v>
      </c>
      <c r="L776" s="2" t="str">
        <f>IFERROR(TRIM(Raw_Data!K776), "Review")</f>
        <v>Poor</v>
      </c>
      <c r="M776" s="2" t="b">
        <f>IF(Raw_Data!L776="", "",
    IF(ISLOGICAL(Raw_Data!L776), Raw_Data!L776,
        IF(OR(UPPER(Raw_Data!L776)="TRUE", UPPER(Raw_Data!L776)="YES", UPPER(Raw_Data!L776)="1"), TRUE,
            IF(OR(UPPER(Raw_Data!L776)="FALSE", UPPER(Raw_Data!L776)="NO", UPPER(Raw_Data!L776)="0"), FALSE, "Review")
        )
    )
)</f>
        <v>0</v>
      </c>
    </row>
    <row r="777" spans="1:13" x14ac:dyDescent="0.4">
      <c r="A777" s="2" t="str">
        <f>IFERROR(TRIM(Raw_Data!A777), "Review")</f>
        <v>EMP1775</v>
      </c>
      <c r="B777" s="2" t="str">
        <f>IFERROR(TRIM(Raw_Data!B777), "Review")</f>
        <v>Bob</v>
      </c>
      <c r="C777" s="2" t="str">
        <f>IFERROR(TRIM(Raw_Data!C777), "Review")</f>
        <v>Jones</v>
      </c>
      <c r="D777" s="2">
        <f>IF(Raw_Data!D777="", "", IFERROR(VALUE(Raw_Data!D777), ""))</f>
        <v>25</v>
      </c>
      <c r="E777" s="2" t="str">
        <f>IFERROR(LEFT(Raw_Data!E777,SEARCH("-",Raw_Data!E777)-1),"Review")</f>
        <v>Cloud Tech</v>
      </c>
      <c r="F777" s="2" t="str">
        <f>IFERROR(_xlfn.TEXTAFTER(Raw_Data!E777,"-"),"Review")</f>
        <v>Florida</v>
      </c>
      <c r="G777" s="2" t="str">
        <f>IFERROR(TRIM(Raw_Data!F777), "Review")</f>
        <v>Active</v>
      </c>
      <c r="H777" s="3" t="str">
        <f>IFERROR(TEXT(Raw_Data!G777, "YYYY-MM-DD"),"Review")</f>
        <v>2020-11-26</v>
      </c>
      <c r="I777" s="4">
        <f>IF(Raw_Data!H777="", "", IFERROR(VALUE(Raw_Data!H777), ""))</f>
        <v>97046.33</v>
      </c>
      <c r="J777" s="2" t="str">
        <f>IF(Raw_Data!I777="", "", IF(ISNUMBER(FIND("@", Raw_Data!I777)), Raw_Data!I777, "Review"))</f>
        <v>bob.jones@example.com</v>
      </c>
      <c r="K777" s="5" t="str">
        <f>IFERROR(TEXT(ABS(Raw_Data!J777), "0"), "Review")</f>
        <v>7102676719</v>
      </c>
      <c r="L777" s="2" t="str">
        <f>IFERROR(TRIM(Raw_Data!K777), "Review")</f>
        <v>Good</v>
      </c>
      <c r="M777" s="2" t="b">
        <f>IF(Raw_Data!L777="", "",
    IF(ISLOGICAL(Raw_Data!L777), Raw_Data!L777,
        IF(OR(UPPER(Raw_Data!L777)="TRUE", UPPER(Raw_Data!L777)="YES", UPPER(Raw_Data!L777)="1"), TRUE,
            IF(OR(UPPER(Raw_Data!L777)="FALSE", UPPER(Raw_Data!L777)="NO", UPPER(Raw_Data!L777)="0"), FALSE, "Review")
        )
    )
)</f>
        <v>0</v>
      </c>
    </row>
    <row r="778" spans="1:13" x14ac:dyDescent="0.4">
      <c r="A778" s="2" t="str">
        <f>IFERROR(TRIM(Raw_Data!A778), "Review")</f>
        <v>EMP1776</v>
      </c>
      <c r="B778" s="2" t="str">
        <f>IFERROR(TRIM(Raw_Data!B778), "Review")</f>
        <v>Charlie</v>
      </c>
      <c r="C778" s="2" t="str">
        <f>IFERROR(TRIM(Raw_Data!C778), "Review")</f>
        <v>Smith</v>
      </c>
      <c r="D778" s="2">
        <f>IF(Raw_Data!D778="", "", IFERROR(VALUE(Raw_Data!D778), ""))</f>
        <v>40</v>
      </c>
      <c r="E778" s="2" t="str">
        <f>IFERROR(LEFT(Raw_Data!E778,SEARCH("-",Raw_Data!E778)-1),"Review")</f>
        <v>DevOps</v>
      </c>
      <c r="F778" s="2" t="str">
        <f>IFERROR(_xlfn.TEXTAFTER(Raw_Data!E778,"-"),"Review")</f>
        <v>Illinois</v>
      </c>
      <c r="G778" s="2" t="str">
        <f>IFERROR(TRIM(Raw_Data!F778), "Review")</f>
        <v>Inactive</v>
      </c>
      <c r="H778" s="3" t="str">
        <f>IFERROR(TEXT(Raw_Data!G778, "YYYY-MM-DD"),"Review")</f>
        <v>2020-03-14</v>
      </c>
      <c r="I778" s="4">
        <f>IF(Raw_Data!H778="", "", IFERROR(VALUE(Raw_Data!H778), ""))</f>
        <v>56518.84</v>
      </c>
      <c r="J778" s="2" t="str">
        <f>IF(Raw_Data!I778="", "", IF(ISNUMBER(FIND("@", Raw_Data!I778)), Raw_Data!I778, "Review"))</f>
        <v>charlie.smith@example.com</v>
      </c>
      <c r="K778" s="5" t="str">
        <f>IFERROR(TEXT(ABS(Raw_Data!J778), "0"), "Review")</f>
        <v>9579927078</v>
      </c>
      <c r="L778" s="2" t="str">
        <f>IFERROR(TRIM(Raw_Data!K778), "Review")</f>
        <v>Average</v>
      </c>
      <c r="M778" s="2" t="b">
        <f>IF(Raw_Data!L778="", "",
    IF(ISLOGICAL(Raw_Data!L778), Raw_Data!L778,
        IF(OR(UPPER(Raw_Data!L778)="TRUE", UPPER(Raw_Data!L778)="YES", UPPER(Raw_Data!L778)="1"), TRUE,
            IF(OR(UPPER(Raw_Data!L778)="FALSE", UPPER(Raw_Data!L778)="NO", UPPER(Raw_Data!L778)="0"), FALSE, "Review")
        )
    )
)</f>
        <v>0</v>
      </c>
    </row>
    <row r="779" spans="1:13" x14ac:dyDescent="0.4">
      <c r="A779" s="2" t="str">
        <f>IFERROR(TRIM(Raw_Data!A779), "Review")</f>
        <v>EMP1777</v>
      </c>
      <c r="B779" s="2" t="str">
        <f>IFERROR(TRIM(Raw_Data!B779), "Review")</f>
        <v>Frank</v>
      </c>
      <c r="C779" s="2" t="str">
        <f>IFERROR(TRIM(Raw_Data!C779), "Review")</f>
        <v>Garcia</v>
      </c>
      <c r="D779" s="2">
        <f>IF(Raw_Data!D779="", "", IFERROR(VALUE(Raw_Data!D779), ""))</f>
        <v>40</v>
      </c>
      <c r="E779" s="2" t="str">
        <f>IFERROR(LEFT(Raw_Data!E779,SEARCH("-",Raw_Data!E779)-1),"Review")</f>
        <v>Cloud Tech</v>
      </c>
      <c r="F779" s="2" t="str">
        <f>IFERROR(_xlfn.TEXTAFTER(Raw_Data!E779,"-"),"Review")</f>
        <v>Florida</v>
      </c>
      <c r="G779" s="2" t="str">
        <f>IFERROR(TRIM(Raw_Data!F779), "Review")</f>
        <v>Pending</v>
      </c>
      <c r="H779" s="3" t="str">
        <f>IFERROR(TEXT(Raw_Data!G779, "YYYY-MM-DD"),"Review")</f>
        <v>2020-05-12</v>
      </c>
      <c r="I779" s="4">
        <f>IF(Raw_Data!H779="", "", IFERROR(VALUE(Raw_Data!H779), ""))</f>
        <v>70498.289999999994</v>
      </c>
      <c r="J779" s="2" t="str">
        <f>IF(Raw_Data!I779="", "", IF(ISNUMBER(FIND("@", Raw_Data!I779)), Raw_Data!I779, "Review"))</f>
        <v>frank.garcia@example.com</v>
      </c>
      <c r="K779" s="5" t="str">
        <f>IFERROR(TEXT(ABS(Raw_Data!J779), "0"), "Review")</f>
        <v>5515122945</v>
      </c>
      <c r="L779" s="2" t="str">
        <f>IFERROR(TRIM(Raw_Data!K779), "Review")</f>
        <v>Good</v>
      </c>
      <c r="M779" s="2" t="b">
        <f>IF(Raw_Data!L779="", "",
    IF(ISLOGICAL(Raw_Data!L779), Raw_Data!L779,
        IF(OR(UPPER(Raw_Data!L779)="TRUE", UPPER(Raw_Data!L779)="YES", UPPER(Raw_Data!L779)="1"), TRUE,
            IF(OR(UPPER(Raw_Data!L779)="FALSE", UPPER(Raw_Data!L779)="NO", UPPER(Raw_Data!L779)="0"), FALSE, "Review")
        )
    )
)</f>
        <v>1</v>
      </c>
    </row>
    <row r="780" spans="1:13" x14ac:dyDescent="0.4">
      <c r="A780" s="2" t="str">
        <f>IFERROR(TRIM(Raw_Data!A780), "Review")</f>
        <v>EMP1778</v>
      </c>
      <c r="B780" s="2" t="str">
        <f>IFERROR(TRIM(Raw_Data!B780), "Review")</f>
        <v>Eva</v>
      </c>
      <c r="C780" s="2" t="str">
        <f>IFERROR(TRIM(Raw_Data!C780), "Review")</f>
        <v>Garcia</v>
      </c>
      <c r="D780" s="2">
        <f>IF(Raw_Data!D780="", "", IFERROR(VALUE(Raw_Data!D780), ""))</f>
        <v>35</v>
      </c>
      <c r="E780" s="2" t="str">
        <f>IFERROR(LEFT(Raw_Data!E780,SEARCH("-",Raw_Data!E780)-1),"Review")</f>
        <v>Sales</v>
      </c>
      <c r="F780" s="2" t="str">
        <f>IFERROR(_xlfn.TEXTAFTER(Raw_Data!E780,"-"),"Review")</f>
        <v>Florida</v>
      </c>
      <c r="G780" s="2" t="str">
        <f>IFERROR(TRIM(Raw_Data!F780), "Review")</f>
        <v>Pending</v>
      </c>
      <c r="H780" s="3" t="str">
        <f>IFERROR(TEXT(Raw_Data!G780, "YYYY-MM-DD"),"Review")</f>
        <v>2021-03-05</v>
      </c>
      <c r="I780" s="4">
        <f>IF(Raw_Data!H780="", "", IFERROR(VALUE(Raw_Data!H780), ""))</f>
        <v>98708.06</v>
      </c>
      <c r="J780" s="2" t="str">
        <f>IF(Raw_Data!I780="", "", IF(ISNUMBER(FIND("@", Raw_Data!I780)), Raw_Data!I780, "Review"))</f>
        <v>eva.garcia@example.com</v>
      </c>
      <c r="K780" s="5" t="str">
        <f>IFERROR(TEXT(ABS(Raw_Data!J780), "0"), "Review")</f>
        <v>2135415969</v>
      </c>
      <c r="L780" s="2" t="str">
        <f>IFERROR(TRIM(Raw_Data!K780), "Review")</f>
        <v>Average</v>
      </c>
      <c r="M780" s="2" t="b">
        <f>IF(Raw_Data!L780="", "",
    IF(ISLOGICAL(Raw_Data!L780), Raw_Data!L780,
        IF(OR(UPPER(Raw_Data!L780)="TRUE", UPPER(Raw_Data!L780)="YES", UPPER(Raw_Data!L780)="1"), TRUE,
            IF(OR(UPPER(Raw_Data!L780)="FALSE", UPPER(Raw_Data!L780)="NO", UPPER(Raw_Data!L780)="0"), FALSE, "Review")
        )
    )
)</f>
        <v>1</v>
      </c>
    </row>
    <row r="781" spans="1:13" x14ac:dyDescent="0.4">
      <c r="A781" s="2" t="str">
        <f>IFERROR(TRIM(Raw_Data!A781), "Review")</f>
        <v>EMP1779</v>
      </c>
      <c r="B781" s="2" t="str">
        <f>IFERROR(TRIM(Raw_Data!B781), "Review")</f>
        <v>Bob</v>
      </c>
      <c r="C781" s="2" t="str">
        <f>IFERROR(TRIM(Raw_Data!C781), "Review")</f>
        <v>Williams</v>
      </c>
      <c r="D781" s="2" t="str">
        <f>IF(Raw_Data!D781="", "", IFERROR(VALUE(Raw_Data!D781), ""))</f>
        <v/>
      </c>
      <c r="E781" s="2" t="str">
        <f>IFERROR(LEFT(Raw_Data!E781,SEARCH("-",Raw_Data!E781)-1),"Review")</f>
        <v>DevOps</v>
      </c>
      <c r="F781" s="2" t="str">
        <f>IFERROR(_xlfn.TEXTAFTER(Raw_Data!E781,"-"),"Review")</f>
        <v>Nevada</v>
      </c>
      <c r="G781" s="2" t="str">
        <f>IFERROR(TRIM(Raw_Data!F781), "Review")</f>
        <v>Pending</v>
      </c>
      <c r="H781" s="3" t="str">
        <f>IFERROR(TEXT(Raw_Data!G781, "YYYY-MM-DD"),"Review")</f>
        <v>2020-06-28</v>
      </c>
      <c r="I781" s="4">
        <f>IF(Raw_Data!H781="", "", IFERROR(VALUE(Raw_Data!H781), ""))</f>
        <v>83856.41</v>
      </c>
      <c r="J781" s="2" t="str">
        <f>IF(Raw_Data!I781="", "", IF(ISNUMBER(FIND("@", Raw_Data!I781)), Raw_Data!I781, "Review"))</f>
        <v>bob.williams@example.com</v>
      </c>
      <c r="K781" s="5" t="str">
        <f>IFERROR(TEXT(ABS(Raw_Data!J781), "0"), "Review")</f>
        <v>9962543847</v>
      </c>
      <c r="L781" s="2" t="str">
        <f>IFERROR(TRIM(Raw_Data!K781), "Review")</f>
        <v>Excellent</v>
      </c>
      <c r="M781" s="2" t="b">
        <f>IF(Raw_Data!L781="", "",
    IF(ISLOGICAL(Raw_Data!L781), Raw_Data!L781,
        IF(OR(UPPER(Raw_Data!L781)="TRUE", UPPER(Raw_Data!L781)="YES", UPPER(Raw_Data!L781)="1"), TRUE,
            IF(OR(UPPER(Raw_Data!L781)="FALSE", UPPER(Raw_Data!L781)="NO", UPPER(Raw_Data!L781)="0"), FALSE, "Review")
        )
    )
)</f>
        <v>0</v>
      </c>
    </row>
    <row r="782" spans="1:13" x14ac:dyDescent="0.4">
      <c r="A782" s="2" t="str">
        <f>IFERROR(TRIM(Raw_Data!A782), "Review")</f>
        <v>EMP1780</v>
      </c>
      <c r="B782" s="2" t="str">
        <f>IFERROR(TRIM(Raw_Data!B782), "Review")</f>
        <v>Eva</v>
      </c>
      <c r="C782" s="2" t="str">
        <f>IFERROR(TRIM(Raw_Data!C782), "Review")</f>
        <v>Smith</v>
      </c>
      <c r="D782" s="2">
        <f>IF(Raw_Data!D782="", "", IFERROR(VALUE(Raw_Data!D782), ""))</f>
        <v>40</v>
      </c>
      <c r="E782" s="2" t="str">
        <f>IFERROR(LEFT(Raw_Data!E782,SEARCH("-",Raw_Data!E782)-1),"Review")</f>
        <v>Sales</v>
      </c>
      <c r="F782" s="2" t="str">
        <f>IFERROR(_xlfn.TEXTAFTER(Raw_Data!E782,"-"),"Review")</f>
        <v>California</v>
      </c>
      <c r="G782" s="2" t="str">
        <f>IFERROR(TRIM(Raw_Data!F782), "Review")</f>
        <v>Inactive</v>
      </c>
      <c r="H782" s="3" t="str">
        <f>IFERROR(TEXT(Raw_Data!G782, "YYYY-MM-DD"),"Review")</f>
        <v>2022-12-12</v>
      </c>
      <c r="I782" s="4">
        <f>IF(Raw_Data!H782="", "", IFERROR(VALUE(Raw_Data!H782), ""))</f>
        <v>90259.99</v>
      </c>
      <c r="J782" s="2" t="str">
        <f>IF(Raw_Data!I782="", "", IF(ISNUMBER(FIND("@", Raw_Data!I782)), Raw_Data!I782, "Review"))</f>
        <v>eva.smith@example.com</v>
      </c>
      <c r="K782" s="5" t="str">
        <f>IFERROR(TEXT(ABS(Raw_Data!J782), "0"), "Review")</f>
        <v>752034475</v>
      </c>
      <c r="L782" s="2" t="str">
        <f>IFERROR(TRIM(Raw_Data!K782), "Review")</f>
        <v>Average</v>
      </c>
      <c r="M782" s="2" t="b">
        <f>IF(Raw_Data!L782="", "",
    IF(ISLOGICAL(Raw_Data!L782), Raw_Data!L782,
        IF(OR(UPPER(Raw_Data!L782)="TRUE", UPPER(Raw_Data!L782)="YES", UPPER(Raw_Data!L782)="1"), TRUE,
            IF(OR(UPPER(Raw_Data!L782)="FALSE", UPPER(Raw_Data!L782)="NO", UPPER(Raw_Data!L782)="0"), FALSE, "Review")
        )
    )
)</f>
        <v>0</v>
      </c>
    </row>
    <row r="783" spans="1:13" x14ac:dyDescent="0.4">
      <c r="A783" s="2" t="str">
        <f>IFERROR(TRIM(Raw_Data!A783), "Review")</f>
        <v>EMP1781</v>
      </c>
      <c r="B783" s="2" t="str">
        <f>IFERROR(TRIM(Raw_Data!B783), "Review")</f>
        <v>Charlie</v>
      </c>
      <c r="C783" s="2" t="str">
        <f>IFERROR(TRIM(Raw_Data!C783), "Review")</f>
        <v>Williams</v>
      </c>
      <c r="D783" s="2" t="str">
        <f>IF(Raw_Data!D783="", "", IFERROR(VALUE(Raw_Data!D783), ""))</f>
        <v/>
      </c>
      <c r="E783" s="2" t="str">
        <f>IFERROR(LEFT(Raw_Data!E783,SEARCH("-",Raw_Data!E783)-1),"Review")</f>
        <v>Sales</v>
      </c>
      <c r="F783" s="2" t="str">
        <f>IFERROR(_xlfn.TEXTAFTER(Raw_Data!E783,"-"),"Review")</f>
        <v>Florida</v>
      </c>
      <c r="G783" s="2" t="str">
        <f>IFERROR(TRIM(Raw_Data!F783), "Review")</f>
        <v>Pending</v>
      </c>
      <c r="H783" s="3" t="str">
        <f>IFERROR(TEXT(Raw_Data!G783, "YYYY-MM-DD"),"Review")</f>
        <v>2024-02-02</v>
      </c>
      <c r="I783" s="4">
        <f>IF(Raw_Data!H783="", "", IFERROR(VALUE(Raw_Data!H783), ""))</f>
        <v>94230.03</v>
      </c>
      <c r="J783" s="2" t="str">
        <f>IF(Raw_Data!I783="", "", IF(ISNUMBER(FIND("@", Raw_Data!I783)), Raw_Data!I783, "Review"))</f>
        <v>charlie.williams@example.com</v>
      </c>
      <c r="K783" s="5" t="str">
        <f>IFERROR(TEXT(ABS(Raw_Data!J783), "0"), "Review")</f>
        <v>5047158028</v>
      </c>
      <c r="L783" s="2" t="str">
        <f>IFERROR(TRIM(Raw_Data!K783), "Review")</f>
        <v>Excellent</v>
      </c>
      <c r="M783" s="2" t="b">
        <f>IF(Raw_Data!L783="", "",
    IF(ISLOGICAL(Raw_Data!L783), Raw_Data!L783,
        IF(OR(UPPER(Raw_Data!L783)="TRUE", UPPER(Raw_Data!L783)="YES", UPPER(Raw_Data!L783)="1"), TRUE,
            IF(OR(UPPER(Raw_Data!L783)="FALSE", UPPER(Raw_Data!L783)="NO", UPPER(Raw_Data!L783)="0"), FALSE, "Review")
        )
    )
)</f>
        <v>1</v>
      </c>
    </row>
    <row r="784" spans="1:13" x14ac:dyDescent="0.4">
      <c r="A784" s="2" t="str">
        <f>IFERROR(TRIM(Raw_Data!A784), "Review")</f>
        <v>EMP1782</v>
      </c>
      <c r="B784" s="2" t="str">
        <f>IFERROR(TRIM(Raw_Data!B784), "Review")</f>
        <v>Charlie</v>
      </c>
      <c r="C784" s="2" t="str">
        <f>IFERROR(TRIM(Raw_Data!C784), "Review")</f>
        <v>Garcia</v>
      </c>
      <c r="D784" s="2" t="str">
        <f>IF(Raw_Data!D784="", "", IFERROR(VALUE(Raw_Data!D784), ""))</f>
        <v/>
      </c>
      <c r="E784" s="2" t="str">
        <f>IFERROR(LEFT(Raw_Data!E784,SEARCH("-",Raw_Data!E784)-1),"Review")</f>
        <v>Admin</v>
      </c>
      <c r="F784" s="2" t="str">
        <f>IFERROR(_xlfn.TEXTAFTER(Raw_Data!E784,"-"),"Review")</f>
        <v>Nevada</v>
      </c>
      <c r="G784" s="2" t="str">
        <f>IFERROR(TRIM(Raw_Data!F784), "Review")</f>
        <v>Inactive</v>
      </c>
      <c r="H784" s="3" t="str">
        <f>IFERROR(TEXT(Raw_Data!G784, "YYYY-MM-DD"),"Review")</f>
        <v>2021-01-31</v>
      </c>
      <c r="I784" s="4">
        <f>IF(Raw_Data!H784="", "", IFERROR(VALUE(Raw_Data!H784), ""))</f>
        <v>50110.66</v>
      </c>
      <c r="J784" s="2" t="str">
        <f>IF(Raw_Data!I784="", "", IF(ISNUMBER(FIND("@", Raw_Data!I784)), Raw_Data!I784, "Review"))</f>
        <v>charlie.garcia@example.com</v>
      </c>
      <c r="K784" s="5" t="str">
        <f>IFERROR(TEXT(ABS(Raw_Data!J784), "0"), "Review")</f>
        <v>904637659</v>
      </c>
      <c r="L784" s="2" t="str">
        <f>IFERROR(TRIM(Raw_Data!K784), "Review")</f>
        <v>Average</v>
      </c>
      <c r="M784" s="2" t="b">
        <f>IF(Raw_Data!L784="", "",
    IF(ISLOGICAL(Raw_Data!L784), Raw_Data!L784,
        IF(OR(UPPER(Raw_Data!L784)="TRUE", UPPER(Raw_Data!L784)="YES", UPPER(Raw_Data!L784)="1"), TRUE,
            IF(OR(UPPER(Raw_Data!L784)="FALSE", UPPER(Raw_Data!L784)="NO", UPPER(Raw_Data!L784)="0"), FALSE, "Review")
        )
    )
)</f>
        <v>1</v>
      </c>
    </row>
    <row r="785" spans="1:13" x14ac:dyDescent="0.4">
      <c r="A785" s="2" t="str">
        <f>IFERROR(TRIM(Raw_Data!A785), "Review")</f>
        <v>EMP1783</v>
      </c>
      <c r="B785" s="2" t="str">
        <f>IFERROR(TRIM(Raw_Data!B785), "Review")</f>
        <v>Bob</v>
      </c>
      <c r="C785" s="2" t="str">
        <f>IFERROR(TRIM(Raw_Data!C785), "Review")</f>
        <v>Brown</v>
      </c>
      <c r="D785" s="2">
        <f>IF(Raw_Data!D785="", "", IFERROR(VALUE(Raw_Data!D785), ""))</f>
        <v>30</v>
      </c>
      <c r="E785" s="2" t="str">
        <f>IFERROR(LEFT(Raw_Data!E785,SEARCH("-",Raw_Data!E785)-1),"Review")</f>
        <v>Sales</v>
      </c>
      <c r="F785" s="2" t="str">
        <f>IFERROR(_xlfn.TEXTAFTER(Raw_Data!E785,"-"),"Review")</f>
        <v>Florida</v>
      </c>
      <c r="G785" s="2" t="str">
        <f>IFERROR(TRIM(Raw_Data!F785), "Review")</f>
        <v>Inactive</v>
      </c>
      <c r="H785" s="3" t="str">
        <f>IFERROR(TEXT(Raw_Data!G785, "YYYY-MM-DD"),"Review")</f>
        <v>2020-04-03</v>
      </c>
      <c r="I785" s="4">
        <f>IF(Raw_Data!H785="", "", IFERROR(VALUE(Raw_Data!H785), ""))</f>
        <v>73365.460000000006</v>
      </c>
      <c r="J785" s="2" t="str">
        <f>IF(Raw_Data!I785="", "", IF(ISNUMBER(FIND("@", Raw_Data!I785)), Raw_Data!I785, "Review"))</f>
        <v>bob.brown@example.com</v>
      </c>
      <c r="K785" s="5" t="str">
        <f>IFERROR(TEXT(ABS(Raw_Data!J785), "0"), "Review")</f>
        <v>4655866524</v>
      </c>
      <c r="L785" s="2" t="str">
        <f>IFERROR(TRIM(Raw_Data!K785), "Review")</f>
        <v>Poor</v>
      </c>
      <c r="M785" s="2" t="b">
        <f>IF(Raw_Data!L785="", "",
    IF(ISLOGICAL(Raw_Data!L785), Raw_Data!L785,
        IF(OR(UPPER(Raw_Data!L785)="TRUE", UPPER(Raw_Data!L785)="YES", UPPER(Raw_Data!L785)="1"), TRUE,
            IF(OR(UPPER(Raw_Data!L785)="FALSE", UPPER(Raw_Data!L785)="NO", UPPER(Raw_Data!L785)="0"), FALSE, "Review")
        )
    )
)</f>
        <v>0</v>
      </c>
    </row>
    <row r="786" spans="1:13" x14ac:dyDescent="0.4">
      <c r="A786" s="2" t="str">
        <f>IFERROR(TRIM(Raw_Data!A786), "Review")</f>
        <v>EMP1784</v>
      </c>
      <c r="B786" s="2" t="str">
        <f>IFERROR(TRIM(Raw_Data!B786), "Review")</f>
        <v>David</v>
      </c>
      <c r="C786" s="2" t="str">
        <f>IFERROR(TRIM(Raw_Data!C786), "Review")</f>
        <v>Johnson</v>
      </c>
      <c r="D786" s="2">
        <f>IF(Raw_Data!D786="", "", IFERROR(VALUE(Raw_Data!D786), ""))</f>
        <v>25</v>
      </c>
      <c r="E786" s="2" t="str">
        <f>IFERROR(LEFT(Raw_Data!E786,SEARCH("-",Raw_Data!E786)-1),"Review")</f>
        <v>DevOps</v>
      </c>
      <c r="F786" s="2" t="str">
        <f>IFERROR(_xlfn.TEXTAFTER(Raw_Data!E786,"-"),"Review")</f>
        <v>New York</v>
      </c>
      <c r="G786" s="2" t="str">
        <f>IFERROR(TRIM(Raw_Data!F786), "Review")</f>
        <v>Pending</v>
      </c>
      <c r="H786" s="3" t="str">
        <f>IFERROR(TEXT(Raw_Data!G786, "YYYY-MM-DD"),"Review")</f>
        <v>2021-07-30</v>
      </c>
      <c r="I786" s="4">
        <f>IF(Raw_Data!H786="", "", IFERROR(VALUE(Raw_Data!H786), ""))</f>
        <v>67809.23</v>
      </c>
      <c r="J786" s="2" t="str">
        <f>IF(Raw_Data!I786="", "", IF(ISNUMBER(FIND("@", Raw_Data!I786)), Raw_Data!I786, "Review"))</f>
        <v>david.johnson@example.com</v>
      </c>
      <c r="K786" s="5" t="str">
        <f>IFERROR(TEXT(ABS(Raw_Data!J786), "0"), "Review")</f>
        <v>4837441714</v>
      </c>
      <c r="L786" s="2" t="str">
        <f>IFERROR(TRIM(Raw_Data!K786), "Review")</f>
        <v>Excellent</v>
      </c>
      <c r="M786" s="2" t="b">
        <f>IF(Raw_Data!L786="", "",
    IF(ISLOGICAL(Raw_Data!L786), Raw_Data!L786,
        IF(OR(UPPER(Raw_Data!L786)="TRUE", UPPER(Raw_Data!L786)="YES", UPPER(Raw_Data!L786)="1"), TRUE,
            IF(OR(UPPER(Raw_Data!L786)="FALSE", UPPER(Raw_Data!L786)="NO", UPPER(Raw_Data!L786)="0"), FALSE, "Review")
        )
    )
)</f>
        <v>0</v>
      </c>
    </row>
    <row r="787" spans="1:13" x14ac:dyDescent="0.4">
      <c r="A787" s="2" t="str">
        <f>IFERROR(TRIM(Raw_Data!A787), "Review")</f>
        <v>EMP1785</v>
      </c>
      <c r="B787" s="2" t="str">
        <f>IFERROR(TRIM(Raw_Data!B787), "Review")</f>
        <v>Eva</v>
      </c>
      <c r="C787" s="2" t="str">
        <f>IFERROR(TRIM(Raw_Data!C787), "Review")</f>
        <v>Smith</v>
      </c>
      <c r="D787" s="2" t="str">
        <f>IF(Raw_Data!D787="", "", IFERROR(VALUE(Raw_Data!D787), ""))</f>
        <v/>
      </c>
      <c r="E787" s="2" t="str">
        <f>IFERROR(LEFT(Raw_Data!E787,SEARCH("-",Raw_Data!E787)-1),"Review")</f>
        <v>Sales</v>
      </c>
      <c r="F787" s="2" t="str">
        <f>IFERROR(_xlfn.TEXTAFTER(Raw_Data!E787,"-"),"Review")</f>
        <v>California</v>
      </c>
      <c r="G787" s="2" t="str">
        <f>IFERROR(TRIM(Raw_Data!F787), "Review")</f>
        <v>Active</v>
      </c>
      <c r="H787" s="3" t="str">
        <f>IFERROR(TEXT(Raw_Data!G787, "YYYY-MM-DD"),"Review")</f>
        <v>2020-08-21</v>
      </c>
      <c r="I787" s="4">
        <f>IF(Raw_Data!H787="", "", IFERROR(VALUE(Raw_Data!H787), ""))</f>
        <v>98008.51</v>
      </c>
      <c r="J787" s="2" t="str">
        <f>IF(Raw_Data!I787="", "", IF(ISNUMBER(FIND("@", Raw_Data!I787)), Raw_Data!I787, "Review"))</f>
        <v>eva.smith@example.com</v>
      </c>
      <c r="K787" s="5" t="str">
        <f>IFERROR(TEXT(ABS(Raw_Data!J787), "0"), "Review")</f>
        <v>8102131250</v>
      </c>
      <c r="L787" s="2" t="str">
        <f>IFERROR(TRIM(Raw_Data!K787), "Review")</f>
        <v>Average</v>
      </c>
      <c r="M787" s="2" t="b">
        <f>IF(Raw_Data!L787="", "",
    IF(ISLOGICAL(Raw_Data!L787), Raw_Data!L787,
        IF(OR(UPPER(Raw_Data!L787)="TRUE", UPPER(Raw_Data!L787)="YES", UPPER(Raw_Data!L787)="1"), TRUE,
            IF(OR(UPPER(Raw_Data!L787)="FALSE", UPPER(Raw_Data!L787)="NO", UPPER(Raw_Data!L787)="0"), FALSE, "Review")
        )
    )
)</f>
        <v>0</v>
      </c>
    </row>
    <row r="788" spans="1:13" x14ac:dyDescent="0.4">
      <c r="A788" s="2" t="str">
        <f>IFERROR(TRIM(Raw_Data!A788), "Review")</f>
        <v>EMP1786</v>
      </c>
      <c r="B788" s="2" t="str">
        <f>IFERROR(TRIM(Raw_Data!B788), "Review")</f>
        <v>Alice</v>
      </c>
      <c r="C788" s="2" t="str">
        <f>IFERROR(TRIM(Raw_Data!C788), "Review")</f>
        <v>Davis</v>
      </c>
      <c r="D788" s="2">
        <f>IF(Raw_Data!D788="", "", IFERROR(VALUE(Raw_Data!D788), ""))</f>
        <v>30</v>
      </c>
      <c r="E788" s="2" t="str">
        <f>IFERROR(LEFT(Raw_Data!E788,SEARCH("-",Raw_Data!E788)-1),"Review")</f>
        <v>Admin</v>
      </c>
      <c r="F788" s="2" t="str">
        <f>IFERROR(_xlfn.TEXTAFTER(Raw_Data!E788,"-"),"Review")</f>
        <v>California</v>
      </c>
      <c r="G788" s="2" t="str">
        <f>IFERROR(TRIM(Raw_Data!F788), "Review")</f>
        <v>Inactive</v>
      </c>
      <c r="H788" s="3" t="str">
        <f>IFERROR(TEXT(Raw_Data!G788, "YYYY-MM-DD"),"Review")</f>
        <v>2023-10-09</v>
      </c>
      <c r="I788" s="4">
        <f>IF(Raw_Data!H788="", "", IFERROR(VALUE(Raw_Data!H788), ""))</f>
        <v>83537.58</v>
      </c>
      <c r="J788" s="2" t="str">
        <f>IF(Raw_Data!I788="", "", IF(ISNUMBER(FIND("@", Raw_Data!I788)), Raw_Data!I788, "Review"))</f>
        <v>alice.davis@example.com</v>
      </c>
      <c r="K788" s="5" t="str">
        <f>IFERROR(TEXT(ABS(Raw_Data!J788), "0"), "Review")</f>
        <v>2931100590</v>
      </c>
      <c r="L788" s="2" t="str">
        <f>IFERROR(TRIM(Raw_Data!K788), "Review")</f>
        <v>Poor</v>
      </c>
      <c r="M788" s="2" t="b">
        <f>IF(Raw_Data!L788="", "",
    IF(ISLOGICAL(Raw_Data!L788), Raw_Data!L788,
        IF(OR(UPPER(Raw_Data!L788)="TRUE", UPPER(Raw_Data!L788)="YES", UPPER(Raw_Data!L788)="1"), TRUE,
            IF(OR(UPPER(Raw_Data!L788)="FALSE", UPPER(Raw_Data!L788)="NO", UPPER(Raw_Data!L788)="0"), FALSE, "Review")
        )
    )
)</f>
        <v>0</v>
      </c>
    </row>
    <row r="789" spans="1:13" x14ac:dyDescent="0.4">
      <c r="A789" s="2" t="str">
        <f>IFERROR(TRIM(Raw_Data!A789), "Review")</f>
        <v>EMP1787</v>
      </c>
      <c r="B789" s="2" t="str">
        <f>IFERROR(TRIM(Raw_Data!B789), "Review")</f>
        <v>Alice</v>
      </c>
      <c r="C789" s="2" t="str">
        <f>IFERROR(TRIM(Raw_Data!C789), "Review")</f>
        <v>Garcia</v>
      </c>
      <c r="D789" s="2">
        <f>IF(Raw_Data!D789="", "", IFERROR(VALUE(Raw_Data!D789), ""))</f>
        <v>30</v>
      </c>
      <c r="E789" s="2" t="str">
        <f>IFERROR(LEFT(Raw_Data!E789,SEARCH("-",Raw_Data!E789)-1),"Review")</f>
        <v>Finance</v>
      </c>
      <c r="F789" s="2" t="str">
        <f>IFERROR(_xlfn.TEXTAFTER(Raw_Data!E789,"-"),"Review")</f>
        <v>New York</v>
      </c>
      <c r="G789" s="2" t="str">
        <f>IFERROR(TRIM(Raw_Data!F789), "Review")</f>
        <v>Pending</v>
      </c>
      <c r="H789" s="3" t="str">
        <f>IFERROR(TEXT(Raw_Data!G789, "YYYY-MM-DD"),"Review")</f>
        <v>2022-08-01</v>
      </c>
      <c r="I789" s="4">
        <f>IF(Raw_Data!H789="", "", IFERROR(VALUE(Raw_Data!H789), ""))</f>
        <v>112444.08</v>
      </c>
      <c r="J789" s="2" t="str">
        <f>IF(Raw_Data!I789="", "", IF(ISNUMBER(FIND("@", Raw_Data!I789)), Raw_Data!I789, "Review"))</f>
        <v>alice.garcia@example.com</v>
      </c>
      <c r="K789" s="5" t="str">
        <f>IFERROR(TEXT(ABS(Raw_Data!J789), "0"), "Review")</f>
        <v>2975191022</v>
      </c>
      <c r="L789" s="2" t="str">
        <f>IFERROR(TRIM(Raw_Data!K789), "Review")</f>
        <v>Excellent</v>
      </c>
      <c r="M789" s="2" t="b">
        <f>IF(Raw_Data!L789="", "",
    IF(ISLOGICAL(Raw_Data!L789), Raw_Data!L789,
        IF(OR(UPPER(Raw_Data!L789)="TRUE", UPPER(Raw_Data!L789)="YES", UPPER(Raw_Data!L789)="1"), TRUE,
            IF(OR(UPPER(Raw_Data!L789)="FALSE", UPPER(Raw_Data!L789)="NO", UPPER(Raw_Data!L789)="0"), FALSE, "Review")
        )
    )
)</f>
        <v>1</v>
      </c>
    </row>
    <row r="790" spans="1:13" x14ac:dyDescent="0.4">
      <c r="A790" s="2" t="str">
        <f>IFERROR(TRIM(Raw_Data!A790), "Review")</f>
        <v>EMP1788</v>
      </c>
      <c r="B790" s="2" t="str">
        <f>IFERROR(TRIM(Raw_Data!B790), "Review")</f>
        <v>Frank</v>
      </c>
      <c r="C790" s="2" t="str">
        <f>IFERROR(TRIM(Raw_Data!C790), "Review")</f>
        <v>Garcia</v>
      </c>
      <c r="D790" s="2">
        <f>IF(Raw_Data!D790="", "", IFERROR(VALUE(Raw_Data!D790), ""))</f>
        <v>40</v>
      </c>
      <c r="E790" s="2" t="str">
        <f>IFERROR(LEFT(Raw_Data!E790,SEARCH("-",Raw_Data!E790)-1),"Review")</f>
        <v>Finance</v>
      </c>
      <c r="F790" s="2" t="str">
        <f>IFERROR(_xlfn.TEXTAFTER(Raw_Data!E790,"-"),"Review")</f>
        <v>Nevada</v>
      </c>
      <c r="G790" s="2" t="str">
        <f>IFERROR(TRIM(Raw_Data!F790), "Review")</f>
        <v>Active</v>
      </c>
      <c r="H790" s="3" t="str">
        <f>IFERROR(TEXT(Raw_Data!G790, "YYYY-MM-DD"),"Review")</f>
        <v>2024-09-06</v>
      </c>
      <c r="I790" s="4">
        <f>IF(Raw_Data!H790="", "", IFERROR(VALUE(Raw_Data!H790), ""))</f>
        <v>86475.13</v>
      </c>
      <c r="J790" s="2" t="str">
        <f>IF(Raw_Data!I790="", "", IF(ISNUMBER(FIND("@", Raw_Data!I790)), Raw_Data!I790, "Review"))</f>
        <v>frank.garcia@example.com</v>
      </c>
      <c r="K790" s="5" t="str">
        <f>IFERROR(TEXT(ABS(Raw_Data!J790), "0"), "Review")</f>
        <v>1211063300</v>
      </c>
      <c r="L790" s="2" t="str">
        <f>IFERROR(TRIM(Raw_Data!K790), "Review")</f>
        <v>Poor</v>
      </c>
      <c r="M790" s="2" t="b">
        <f>IF(Raw_Data!L790="", "",
    IF(ISLOGICAL(Raw_Data!L790), Raw_Data!L790,
        IF(OR(UPPER(Raw_Data!L790)="TRUE", UPPER(Raw_Data!L790)="YES", UPPER(Raw_Data!L790)="1"), TRUE,
            IF(OR(UPPER(Raw_Data!L790)="FALSE", UPPER(Raw_Data!L790)="NO", UPPER(Raw_Data!L790)="0"), FALSE, "Review")
        )
    )
)</f>
        <v>1</v>
      </c>
    </row>
    <row r="791" spans="1:13" x14ac:dyDescent="0.4">
      <c r="A791" s="2" t="str">
        <f>IFERROR(TRIM(Raw_Data!A791), "Review")</f>
        <v>EMP1789</v>
      </c>
      <c r="B791" s="2" t="str">
        <f>IFERROR(TRIM(Raw_Data!B791), "Review")</f>
        <v>Frank</v>
      </c>
      <c r="C791" s="2" t="str">
        <f>IFERROR(TRIM(Raw_Data!C791), "Review")</f>
        <v>Davis</v>
      </c>
      <c r="D791" s="2" t="str">
        <f>IF(Raw_Data!D791="", "", IFERROR(VALUE(Raw_Data!D791), ""))</f>
        <v/>
      </c>
      <c r="E791" s="2" t="str">
        <f>IFERROR(LEFT(Raw_Data!E791,SEARCH("-",Raw_Data!E791)-1),"Review")</f>
        <v>Sales</v>
      </c>
      <c r="F791" s="2" t="str">
        <f>IFERROR(_xlfn.TEXTAFTER(Raw_Data!E791,"-"),"Review")</f>
        <v>Texas</v>
      </c>
      <c r="G791" s="2" t="str">
        <f>IFERROR(TRIM(Raw_Data!F791), "Review")</f>
        <v>Active</v>
      </c>
      <c r="H791" s="3" t="str">
        <f>IFERROR(TEXT(Raw_Data!G791, "YYYY-MM-DD"),"Review")</f>
        <v>2023-03-28</v>
      </c>
      <c r="I791" s="4">
        <f>IF(Raw_Data!H791="", "", IFERROR(VALUE(Raw_Data!H791), ""))</f>
        <v>97984.53</v>
      </c>
      <c r="J791" s="2" t="str">
        <f>IF(Raw_Data!I791="", "", IF(ISNUMBER(FIND("@", Raw_Data!I791)), Raw_Data!I791, "Review"))</f>
        <v>frank.davis@example.com</v>
      </c>
      <c r="K791" s="5" t="str">
        <f>IFERROR(TEXT(ABS(Raw_Data!J791), "0"), "Review")</f>
        <v>6583737926</v>
      </c>
      <c r="L791" s="2" t="str">
        <f>IFERROR(TRIM(Raw_Data!K791), "Review")</f>
        <v>Good</v>
      </c>
      <c r="M791" s="2" t="b">
        <f>IF(Raw_Data!L791="", "",
    IF(ISLOGICAL(Raw_Data!L791), Raw_Data!L791,
        IF(OR(UPPER(Raw_Data!L791)="TRUE", UPPER(Raw_Data!L791)="YES", UPPER(Raw_Data!L791)="1"), TRUE,
            IF(OR(UPPER(Raw_Data!L791)="FALSE", UPPER(Raw_Data!L791)="NO", UPPER(Raw_Data!L791)="0"), FALSE, "Review")
        )
    )
)</f>
        <v>1</v>
      </c>
    </row>
    <row r="792" spans="1:13" x14ac:dyDescent="0.4">
      <c r="A792" s="2" t="str">
        <f>IFERROR(TRIM(Raw_Data!A792), "Review")</f>
        <v>EMP1790</v>
      </c>
      <c r="B792" s="2" t="str">
        <f>IFERROR(TRIM(Raw_Data!B792), "Review")</f>
        <v>Frank</v>
      </c>
      <c r="C792" s="2" t="str">
        <f>IFERROR(TRIM(Raw_Data!C792), "Review")</f>
        <v>Miller</v>
      </c>
      <c r="D792" s="2">
        <f>IF(Raw_Data!D792="", "", IFERROR(VALUE(Raw_Data!D792), ""))</f>
        <v>25</v>
      </c>
      <c r="E792" s="2" t="str">
        <f>IFERROR(LEFT(Raw_Data!E792,SEARCH("-",Raw_Data!E792)-1),"Review")</f>
        <v>Admin</v>
      </c>
      <c r="F792" s="2" t="str">
        <f>IFERROR(_xlfn.TEXTAFTER(Raw_Data!E792,"-"),"Review")</f>
        <v>California</v>
      </c>
      <c r="G792" s="2" t="str">
        <f>IFERROR(TRIM(Raw_Data!F792), "Review")</f>
        <v>Active</v>
      </c>
      <c r="H792" s="3" t="str">
        <f>IFERROR(TEXT(Raw_Data!G792, "YYYY-MM-DD"),"Review")</f>
        <v>2021-11-25</v>
      </c>
      <c r="I792" s="4">
        <f>IF(Raw_Data!H792="", "", IFERROR(VALUE(Raw_Data!H792), ""))</f>
        <v>118853.31</v>
      </c>
      <c r="J792" s="2" t="str">
        <f>IF(Raw_Data!I792="", "", IF(ISNUMBER(FIND("@", Raw_Data!I792)), Raw_Data!I792, "Review"))</f>
        <v>frank.miller@example.com</v>
      </c>
      <c r="K792" s="5" t="str">
        <f>IFERROR(TEXT(ABS(Raw_Data!J792), "0"), "Review")</f>
        <v>4907280122</v>
      </c>
      <c r="L792" s="2" t="str">
        <f>IFERROR(TRIM(Raw_Data!K792), "Review")</f>
        <v>Good</v>
      </c>
      <c r="M792" s="2" t="b">
        <f>IF(Raw_Data!L792="", "",
    IF(ISLOGICAL(Raw_Data!L792), Raw_Data!L792,
        IF(OR(UPPER(Raw_Data!L792)="TRUE", UPPER(Raw_Data!L792)="YES", UPPER(Raw_Data!L792)="1"), TRUE,
            IF(OR(UPPER(Raw_Data!L792)="FALSE", UPPER(Raw_Data!L792)="NO", UPPER(Raw_Data!L792)="0"), FALSE, "Review")
        )
    )
)</f>
        <v>0</v>
      </c>
    </row>
    <row r="793" spans="1:13" x14ac:dyDescent="0.4">
      <c r="A793" s="2" t="str">
        <f>IFERROR(TRIM(Raw_Data!A793), "Review")</f>
        <v>EMP1791</v>
      </c>
      <c r="B793" s="2" t="str">
        <f>IFERROR(TRIM(Raw_Data!B793), "Review")</f>
        <v>Charlie</v>
      </c>
      <c r="C793" s="2" t="str">
        <f>IFERROR(TRIM(Raw_Data!C793), "Review")</f>
        <v>Garcia</v>
      </c>
      <c r="D793" s="2" t="str">
        <f>IF(Raw_Data!D793="", "", IFERROR(VALUE(Raw_Data!D793), ""))</f>
        <v/>
      </c>
      <c r="E793" s="2" t="str">
        <f>IFERROR(LEFT(Raw_Data!E793,SEARCH("-",Raw_Data!E793)-1),"Review")</f>
        <v>Sales</v>
      </c>
      <c r="F793" s="2" t="str">
        <f>IFERROR(_xlfn.TEXTAFTER(Raw_Data!E793,"-"),"Review")</f>
        <v>Florida</v>
      </c>
      <c r="G793" s="2" t="str">
        <f>IFERROR(TRIM(Raw_Data!F793), "Review")</f>
        <v>Active</v>
      </c>
      <c r="H793" s="3" t="str">
        <f>IFERROR(TEXT(Raw_Data!G793, "YYYY-MM-DD"),"Review")</f>
        <v>2023-05-03</v>
      </c>
      <c r="I793" s="4">
        <f>IF(Raw_Data!H793="", "", IFERROR(VALUE(Raw_Data!H793), ""))</f>
        <v>58179.12</v>
      </c>
      <c r="J793" s="2" t="str">
        <f>IF(Raw_Data!I793="", "", IF(ISNUMBER(FIND("@", Raw_Data!I793)), Raw_Data!I793, "Review"))</f>
        <v>charlie.garcia@example.com</v>
      </c>
      <c r="K793" s="5" t="str">
        <f>IFERROR(TEXT(ABS(Raw_Data!J793), "0"), "Review")</f>
        <v>4289311324</v>
      </c>
      <c r="L793" s="2" t="str">
        <f>IFERROR(TRIM(Raw_Data!K793), "Review")</f>
        <v>Excellent</v>
      </c>
      <c r="M793" s="2" t="b">
        <f>IF(Raw_Data!L793="", "",
    IF(ISLOGICAL(Raw_Data!L793), Raw_Data!L793,
        IF(OR(UPPER(Raw_Data!L793)="TRUE", UPPER(Raw_Data!L793)="YES", UPPER(Raw_Data!L793)="1"), TRUE,
            IF(OR(UPPER(Raw_Data!L793)="FALSE", UPPER(Raw_Data!L793)="NO", UPPER(Raw_Data!L793)="0"), FALSE, "Review")
        )
    )
)</f>
        <v>0</v>
      </c>
    </row>
    <row r="794" spans="1:13" x14ac:dyDescent="0.4">
      <c r="A794" s="2" t="str">
        <f>IFERROR(TRIM(Raw_Data!A794), "Review")</f>
        <v>EMP1792</v>
      </c>
      <c r="B794" s="2" t="str">
        <f>IFERROR(TRIM(Raw_Data!B794), "Review")</f>
        <v>Eva</v>
      </c>
      <c r="C794" s="2" t="str">
        <f>IFERROR(TRIM(Raw_Data!C794), "Review")</f>
        <v>Jones</v>
      </c>
      <c r="D794" s="2">
        <f>IF(Raw_Data!D794="", "", IFERROR(VALUE(Raw_Data!D794), ""))</f>
        <v>35</v>
      </c>
      <c r="E794" s="2" t="str">
        <f>IFERROR(LEFT(Raw_Data!E794,SEARCH("-",Raw_Data!E794)-1),"Review")</f>
        <v>DevOps</v>
      </c>
      <c r="F794" s="2" t="str">
        <f>IFERROR(_xlfn.TEXTAFTER(Raw_Data!E794,"-"),"Review")</f>
        <v>Texas</v>
      </c>
      <c r="G794" s="2" t="str">
        <f>IFERROR(TRIM(Raw_Data!F794), "Review")</f>
        <v>Inactive</v>
      </c>
      <c r="H794" s="3" t="str">
        <f>IFERROR(TEXT(Raw_Data!G794, "YYYY-MM-DD"),"Review")</f>
        <v>2022-04-27</v>
      </c>
      <c r="I794" s="4">
        <f>IF(Raw_Data!H794="", "", IFERROR(VALUE(Raw_Data!H794), ""))</f>
        <v>56075.839999999997</v>
      </c>
      <c r="J794" s="2" t="str">
        <f>IF(Raw_Data!I794="", "", IF(ISNUMBER(FIND("@", Raw_Data!I794)), Raw_Data!I794, "Review"))</f>
        <v>eva.jones@example.com</v>
      </c>
      <c r="K794" s="5" t="str">
        <f>IFERROR(TEXT(ABS(Raw_Data!J794), "0"), "Review")</f>
        <v>3269496842</v>
      </c>
      <c r="L794" s="2" t="str">
        <f>IFERROR(TRIM(Raw_Data!K794), "Review")</f>
        <v>Average</v>
      </c>
      <c r="M794" s="2" t="b">
        <f>IF(Raw_Data!L794="", "",
    IF(ISLOGICAL(Raw_Data!L794), Raw_Data!L794,
        IF(OR(UPPER(Raw_Data!L794)="TRUE", UPPER(Raw_Data!L794)="YES", UPPER(Raw_Data!L794)="1"), TRUE,
            IF(OR(UPPER(Raw_Data!L794)="FALSE", UPPER(Raw_Data!L794)="NO", UPPER(Raw_Data!L794)="0"), FALSE, "Review")
        )
    )
)</f>
        <v>1</v>
      </c>
    </row>
    <row r="795" spans="1:13" x14ac:dyDescent="0.4">
      <c r="A795" s="2" t="str">
        <f>IFERROR(TRIM(Raw_Data!A795), "Review")</f>
        <v>EMP1793</v>
      </c>
      <c r="B795" s="2" t="str">
        <f>IFERROR(TRIM(Raw_Data!B795), "Review")</f>
        <v>Frank</v>
      </c>
      <c r="C795" s="2" t="str">
        <f>IFERROR(TRIM(Raw_Data!C795), "Review")</f>
        <v>Brown</v>
      </c>
      <c r="D795" s="2">
        <f>IF(Raw_Data!D795="", "", IFERROR(VALUE(Raw_Data!D795), ""))</f>
        <v>40</v>
      </c>
      <c r="E795" s="2" t="str">
        <f>IFERROR(LEFT(Raw_Data!E795,SEARCH("-",Raw_Data!E795)-1),"Review")</f>
        <v>HR</v>
      </c>
      <c r="F795" s="2" t="str">
        <f>IFERROR(_xlfn.TEXTAFTER(Raw_Data!E795,"-"),"Review")</f>
        <v>New York</v>
      </c>
      <c r="G795" s="2" t="str">
        <f>IFERROR(TRIM(Raw_Data!F795), "Review")</f>
        <v>Pending</v>
      </c>
      <c r="H795" s="3" t="str">
        <f>IFERROR(TEXT(Raw_Data!G795, "YYYY-MM-DD"),"Review")</f>
        <v>2021-09-11</v>
      </c>
      <c r="I795" s="4">
        <f>IF(Raw_Data!H795="", "", IFERROR(VALUE(Raw_Data!H795), ""))</f>
        <v>62250.89</v>
      </c>
      <c r="J795" s="2" t="str">
        <f>IF(Raw_Data!I795="", "", IF(ISNUMBER(FIND("@", Raw_Data!I795)), Raw_Data!I795, "Review"))</f>
        <v>frank.brown@example.com</v>
      </c>
      <c r="K795" s="5" t="str">
        <f>IFERROR(TEXT(ABS(Raw_Data!J795), "0"), "Review")</f>
        <v>6453804420</v>
      </c>
      <c r="L795" s="2" t="str">
        <f>IFERROR(TRIM(Raw_Data!K795), "Review")</f>
        <v>Excellent</v>
      </c>
      <c r="M795" s="2" t="b">
        <f>IF(Raw_Data!L795="", "",
    IF(ISLOGICAL(Raw_Data!L795), Raw_Data!L795,
        IF(OR(UPPER(Raw_Data!L795)="TRUE", UPPER(Raw_Data!L795)="YES", UPPER(Raw_Data!L795)="1"), TRUE,
            IF(OR(UPPER(Raw_Data!L795)="FALSE", UPPER(Raw_Data!L795)="NO", UPPER(Raw_Data!L795)="0"), FALSE, "Review")
        )
    )
)</f>
        <v>1</v>
      </c>
    </row>
    <row r="796" spans="1:13" x14ac:dyDescent="0.4">
      <c r="A796" s="2" t="str">
        <f>IFERROR(TRIM(Raw_Data!A796), "Review")</f>
        <v>EMP1794</v>
      </c>
      <c r="B796" s="2" t="str">
        <f>IFERROR(TRIM(Raw_Data!B796), "Review")</f>
        <v>Alice</v>
      </c>
      <c r="C796" s="2" t="str">
        <f>IFERROR(TRIM(Raw_Data!C796), "Review")</f>
        <v>Smith</v>
      </c>
      <c r="D796" s="2">
        <f>IF(Raw_Data!D796="", "", IFERROR(VALUE(Raw_Data!D796), ""))</f>
        <v>30</v>
      </c>
      <c r="E796" s="2" t="str">
        <f>IFERROR(LEFT(Raw_Data!E796,SEARCH("-",Raw_Data!E796)-1),"Review")</f>
        <v>Cloud Tech</v>
      </c>
      <c r="F796" s="2" t="str">
        <f>IFERROR(_xlfn.TEXTAFTER(Raw_Data!E796,"-"),"Review")</f>
        <v>Florida</v>
      </c>
      <c r="G796" s="2" t="str">
        <f>IFERROR(TRIM(Raw_Data!F796), "Review")</f>
        <v>Pending</v>
      </c>
      <c r="H796" s="3" t="str">
        <f>IFERROR(TEXT(Raw_Data!G796, "YYYY-MM-DD"),"Review")</f>
        <v>2020-02-21</v>
      </c>
      <c r="I796" s="4">
        <f>IF(Raw_Data!H796="", "", IFERROR(VALUE(Raw_Data!H796), ""))</f>
        <v>105931.77</v>
      </c>
      <c r="J796" s="2" t="str">
        <f>IF(Raw_Data!I796="", "", IF(ISNUMBER(FIND("@", Raw_Data!I796)), Raw_Data!I796, "Review"))</f>
        <v>alice.smith@example.com</v>
      </c>
      <c r="K796" s="5" t="str">
        <f>IFERROR(TEXT(ABS(Raw_Data!J796), "0"), "Review")</f>
        <v>175096169</v>
      </c>
      <c r="L796" s="2" t="str">
        <f>IFERROR(TRIM(Raw_Data!K796), "Review")</f>
        <v>Poor</v>
      </c>
      <c r="M796" s="2" t="b">
        <f>IF(Raw_Data!L796="", "",
    IF(ISLOGICAL(Raw_Data!L796), Raw_Data!L796,
        IF(OR(UPPER(Raw_Data!L796)="TRUE", UPPER(Raw_Data!L796)="YES", UPPER(Raw_Data!L796)="1"), TRUE,
            IF(OR(UPPER(Raw_Data!L796)="FALSE", UPPER(Raw_Data!L796)="NO", UPPER(Raw_Data!L796)="0"), FALSE, "Review")
        )
    )
)</f>
        <v>1</v>
      </c>
    </row>
    <row r="797" spans="1:13" x14ac:dyDescent="0.4">
      <c r="A797" s="2" t="str">
        <f>IFERROR(TRIM(Raw_Data!A797), "Review")</f>
        <v>EMP1795</v>
      </c>
      <c r="B797" s="2" t="str">
        <f>IFERROR(TRIM(Raw_Data!B797), "Review")</f>
        <v>Charlie</v>
      </c>
      <c r="C797" s="2" t="str">
        <f>IFERROR(TRIM(Raw_Data!C797), "Review")</f>
        <v>Davis</v>
      </c>
      <c r="D797" s="2">
        <f>IF(Raw_Data!D797="", "", IFERROR(VALUE(Raw_Data!D797), ""))</f>
        <v>30</v>
      </c>
      <c r="E797" s="2" t="str">
        <f>IFERROR(LEFT(Raw_Data!E797,SEARCH("-",Raw_Data!E797)-1),"Review")</f>
        <v>HR</v>
      </c>
      <c r="F797" s="2" t="str">
        <f>IFERROR(_xlfn.TEXTAFTER(Raw_Data!E797,"-"),"Review")</f>
        <v>Florida</v>
      </c>
      <c r="G797" s="2" t="str">
        <f>IFERROR(TRIM(Raw_Data!F797), "Review")</f>
        <v>Pending</v>
      </c>
      <c r="H797" s="3" t="str">
        <f>IFERROR(TEXT(Raw_Data!G797, "YYYY-MM-DD"),"Review")</f>
        <v>2024-11-24</v>
      </c>
      <c r="I797" s="4">
        <f>IF(Raw_Data!H797="", "", IFERROR(VALUE(Raw_Data!H797), ""))</f>
        <v>86653.96</v>
      </c>
      <c r="J797" s="2" t="str">
        <f>IF(Raw_Data!I797="", "", IF(ISNUMBER(FIND("@", Raw_Data!I797)), Raw_Data!I797, "Review"))</f>
        <v>charlie.davis@example.com</v>
      </c>
      <c r="K797" s="5" t="str">
        <f>IFERROR(TEXT(ABS(Raw_Data!J797), "0"), "Review")</f>
        <v>1595919456</v>
      </c>
      <c r="L797" s="2" t="str">
        <f>IFERROR(TRIM(Raw_Data!K797), "Review")</f>
        <v>Average</v>
      </c>
      <c r="M797" s="2" t="b">
        <f>IF(Raw_Data!L797="", "",
    IF(ISLOGICAL(Raw_Data!L797), Raw_Data!L797,
        IF(OR(UPPER(Raw_Data!L797)="TRUE", UPPER(Raw_Data!L797)="YES", UPPER(Raw_Data!L797)="1"), TRUE,
            IF(OR(UPPER(Raw_Data!L797)="FALSE", UPPER(Raw_Data!L797)="NO", UPPER(Raw_Data!L797)="0"), FALSE, "Review")
        )
    )
)</f>
        <v>1</v>
      </c>
    </row>
    <row r="798" spans="1:13" x14ac:dyDescent="0.4">
      <c r="A798" s="2" t="str">
        <f>IFERROR(TRIM(Raw_Data!A798), "Review")</f>
        <v>EMP1796</v>
      </c>
      <c r="B798" s="2" t="str">
        <f>IFERROR(TRIM(Raw_Data!B798), "Review")</f>
        <v>Charlie</v>
      </c>
      <c r="C798" s="2" t="str">
        <f>IFERROR(TRIM(Raw_Data!C798), "Review")</f>
        <v>Jones</v>
      </c>
      <c r="D798" s="2">
        <f>IF(Raw_Data!D798="", "", IFERROR(VALUE(Raw_Data!D798), ""))</f>
        <v>25</v>
      </c>
      <c r="E798" s="2" t="str">
        <f>IFERROR(LEFT(Raw_Data!E798,SEARCH("-",Raw_Data!E798)-1),"Review")</f>
        <v>Sales</v>
      </c>
      <c r="F798" s="2" t="str">
        <f>IFERROR(_xlfn.TEXTAFTER(Raw_Data!E798,"-"),"Review")</f>
        <v>Nevada</v>
      </c>
      <c r="G798" s="2" t="str">
        <f>IFERROR(TRIM(Raw_Data!F798), "Review")</f>
        <v>Active</v>
      </c>
      <c r="H798" s="3" t="str">
        <f>IFERROR(TEXT(Raw_Data!G798, "YYYY-MM-DD"),"Review")</f>
        <v>2021-02-24</v>
      </c>
      <c r="I798" s="4">
        <f>IF(Raw_Data!H798="", "", IFERROR(VALUE(Raw_Data!H798), ""))</f>
        <v>100719.94</v>
      </c>
      <c r="J798" s="2" t="str">
        <f>IF(Raw_Data!I798="", "", IF(ISNUMBER(FIND("@", Raw_Data!I798)), Raw_Data!I798, "Review"))</f>
        <v>charlie.jones@example.com</v>
      </c>
      <c r="K798" s="5" t="str">
        <f>IFERROR(TEXT(ABS(Raw_Data!J798), "0"), "Review")</f>
        <v>5757475832</v>
      </c>
      <c r="L798" s="2" t="str">
        <f>IFERROR(TRIM(Raw_Data!K798), "Review")</f>
        <v>Good</v>
      </c>
      <c r="M798" s="2" t="b">
        <f>IF(Raw_Data!L798="", "",
    IF(ISLOGICAL(Raw_Data!L798), Raw_Data!L798,
        IF(OR(UPPER(Raw_Data!L798)="TRUE", UPPER(Raw_Data!L798)="YES", UPPER(Raw_Data!L798)="1"), TRUE,
            IF(OR(UPPER(Raw_Data!L798)="FALSE", UPPER(Raw_Data!L798)="NO", UPPER(Raw_Data!L798)="0"), FALSE, "Review")
        )
    )
)</f>
        <v>0</v>
      </c>
    </row>
    <row r="799" spans="1:13" x14ac:dyDescent="0.4">
      <c r="A799" s="2" t="str">
        <f>IFERROR(TRIM(Raw_Data!A799), "Review")</f>
        <v>EMP1797</v>
      </c>
      <c r="B799" s="2" t="str">
        <f>IFERROR(TRIM(Raw_Data!B799), "Review")</f>
        <v>Bob</v>
      </c>
      <c r="C799" s="2" t="str">
        <f>IFERROR(TRIM(Raw_Data!C799), "Review")</f>
        <v>Davis</v>
      </c>
      <c r="D799" s="2">
        <f>IF(Raw_Data!D799="", "", IFERROR(VALUE(Raw_Data!D799), ""))</f>
        <v>25</v>
      </c>
      <c r="E799" s="2" t="str">
        <f>IFERROR(LEFT(Raw_Data!E799,SEARCH("-",Raw_Data!E799)-1),"Review")</f>
        <v>HR</v>
      </c>
      <c r="F799" s="2" t="str">
        <f>IFERROR(_xlfn.TEXTAFTER(Raw_Data!E799,"-"),"Review")</f>
        <v>Texas</v>
      </c>
      <c r="G799" s="2" t="str">
        <f>IFERROR(TRIM(Raw_Data!F799), "Review")</f>
        <v>Pending</v>
      </c>
      <c r="H799" s="3" t="str">
        <f>IFERROR(TEXT(Raw_Data!G799, "YYYY-MM-DD"),"Review")</f>
        <v>2024-10-02</v>
      </c>
      <c r="I799" s="4">
        <f>IF(Raw_Data!H799="", "", IFERROR(VALUE(Raw_Data!H799), ""))</f>
        <v>91600.13</v>
      </c>
      <c r="J799" s="2" t="str">
        <f>IF(Raw_Data!I799="", "", IF(ISNUMBER(FIND("@", Raw_Data!I799)), Raw_Data!I799, "Review"))</f>
        <v>bob.davis@example.com</v>
      </c>
      <c r="K799" s="5" t="str">
        <f>IFERROR(TEXT(ABS(Raw_Data!J799), "0"), "Review")</f>
        <v>9205677566</v>
      </c>
      <c r="L799" s="2" t="str">
        <f>IFERROR(TRIM(Raw_Data!K799), "Review")</f>
        <v>Average</v>
      </c>
      <c r="M799" s="2" t="b">
        <f>IF(Raw_Data!L799="", "",
    IF(ISLOGICAL(Raw_Data!L799), Raw_Data!L799,
        IF(OR(UPPER(Raw_Data!L799)="TRUE", UPPER(Raw_Data!L799)="YES", UPPER(Raw_Data!L799)="1"), TRUE,
            IF(OR(UPPER(Raw_Data!L799)="FALSE", UPPER(Raw_Data!L799)="NO", UPPER(Raw_Data!L799)="0"), FALSE, "Review")
        )
    )
)</f>
        <v>1</v>
      </c>
    </row>
    <row r="800" spans="1:13" x14ac:dyDescent="0.4">
      <c r="A800" s="2" t="str">
        <f>IFERROR(TRIM(Raw_Data!A800), "Review")</f>
        <v>EMP1798</v>
      </c>
      <c r="B800" s="2" t="str">
        <f>IFERROR(TRIM(Raw_Data!B800), "Review")</f>
        <v>Heidi</v>
      </c>
      <c r="C800" s="2" t="str">
        <f>IFERROR(TRIM(Raw_Data!C800), "Review")</f>
        <v>Smith</v>
      </c>
      <c r="D800" s="2">
        <f>IF(Raw_Data!D800="", "", IFERROR(VALUE(Raw_Data!D800), ""))</f>
        <v>25</v>
      </c>
      <c r="E800" s="2" t="str">
        <f>IFERROR(LEFT(Raw_Data!E800,SEARCH("-",Raw_Data!E800)-1),"Review")</f>
        <v>Cloud Tech</v>
      </c>
      <c r="F800" s="2" t="str">
        <f>IFERROR(_xlfn.TEXTAFTER(Raw_Data!E800,"-"),"Review")</f>
        <v>Illinois</v>
      </c>
      <c r="G800" s="2" t="str">
        <f>IFERROR(TRIM(Raw_Data!F800), "Review")</f>
        <v>Pending</v>
      </c>
      <c r="H800" s="3" t="str">
        <f>IFERROR(TEXT(Raw_Data!G800, "YYYY-MM-DD"),"Review")</f>
        <v>2024-03-06</v>
      </c>
      <c r="I800" s="4">
        <f>IF(Raw_Data!H800="", "", IFERROR(VALUE(Raw_Data!H800), ""))</f>
        <v>71873.66</v>
      </c>
      <c r="J800" s="2" t="str">
        <f>IF(Raw_Data!I800="", "", IF(ISNUMBER(FIND("@", Raw_Data!I800)), Raw_Data!I800, "Review"))</f>
        <v>heidi.smith@example.com</v>
      </c>
      <c r="K800" s="5" t="str">
        <f>IFERROR(TEXT(ABS(Raw_Data!J800), "0"), "Review")</f>
        <v>7722660255</v>
      </c>
      <c r="L800" s="2" t="str">
        <f>IFERROR(TRIM(Raw_Data!K800), "Review")</f>
        <v>Good</v>
      </c>
      <c r="M800" s="2" t="b">
        <f>IF(Raw_Data!L800="", "",
    IF(ISLOGICAL(Raw_Data!L800), Raw_Data!L800,
        IF(OR(UPPER(Raw_Data!L800)="TRUE", UPPER(Raw_Data!L800)="YES", UPPER(Raw_Data!L800)="1"), TRUE,
            IF(OR(UPPER(Raw_Data!L800)="FALSE", UPPER(Raw_Data!L800)="NO", UPPER(Raw_Data!L800)="0"), FALSE, "Review")
        )
    )
)</f>
        <v>1</v>
      </c>
    </row>
    <row r="801" spans="1:13" x14ac:dyDescent="0.4">
      <c r="A801" s="2" t="str">
        <f>IFERROR(TRIM(Raw_Data!A801), "Review")</f>
        <v>EMP1799</v>
      </c>
      <c r="B801" s="2" t="str">
        <f>IFERROR(TRIM(Raw_Data!B801), "Review")</f>
        <v>Eva</v>
      </c>
      <c r="C801" s="2" t="str">
        <f>IFERROR(TRIM(Raw_Data!C801), "Review")</f>
        <v>Williams</v>
      </c>
      <c r="D801" s="2">
        <f>IF(Raw_Data!D801="", "", IFERROR(VALUE(Raw_Data!D801), ""))</f>
        <v>30</v>
      </c>
      <c r="E801" s="2" t="str">
        <f>IFERROR(LEFT(Raw_Data!E801,SEARCH("-",Raw_Data!E801)-1),"Review")</f>
        <v>HR</v>
      </c>
      <c r="F801" s="2" t="str">
        <f>IFERROR(_xlfn.TEXTAFTER(Raw_Data!E801,"-"),"Review")</f>
        <v>New York</v>
      </c>
      <c r="G801" s="2" t="str">
        <f>IFERROR(TRIM(Raw_Data!F801), "Review")</f>
        <v>Active</v>
      </c>
      <c r="H801" s="3" t="str">
        <f>IFERROR(TEXT(Raw_Data!G801, "YYYY-MM-DD"),"Review")</f>
        <v>2021-08-09</v>
      </c>
      <c r="I801" s="4">
        <f>IF(Raw_Data!H801="", "", IFERROR(VALUE(Raw_Data!H801), ""))</f>
        <v>69365.47</v>
      </c>
      <c r="J801" s="2" t="str">
        <f>IF(Raw_Data!I801="", "", IF(ISNUMBER(FIND("@", Raw_Data!I801)), Raw_Data!I801, "Review"))</f>
        <v>eva.williams@example.com</v>
      </c>
      <c r="K801" s="5" t="str">
        <f>IFERROR(TEXT(ABS(Raw_Data!J801), "0"), "Review")</f>
        <v>2650622922</v>
      </c>
      <c r="L801" s="2" t="str">
        <f>IFERROR(TRIM(Raw_Data!K801), "Review")</f>
        <v>Average</v>
      </c>
      <c r="M801" s="2" t="b">
        <f>IF(Raw_Data!L801="", "",
    IF(ISLOGICAL(Raw_Data!L801), Raw_Data!L801,
        IF(OR(UPPER(Raw_Data!L801)="TRUE", UPPER(Raw_Data!L801)="YES", UPPER(Raw_Data!L801)="1"), TRUE,
            IF(OR(UPPER(Raw_Data!L801)="FALSE", UPPER(Raw_Data!L801)="NO", UPPER(Raw_Data!L801)="0"), FALSE, "Review")
        )
    )
)</f>
        <v>1</v>
      </c>
    </row>
    <row r="802" spans="1:13" x14ac:dyDescent="0.4">
      <c r="A802" s="2" t="str">
        <f>IFERROR(TRIM(Raw_Data!A802), "Review")</f>
        <v>EMP1800</v>
      </c>
      <c r="B802" s="2" t="str">
        <f>IFERROR(TRIM(Raw_Data!B802), "Review")</f>
        <v>Heidi</v>
      </c>
      <c r="C802" s="2" t="str">
        <f>IFERROR(TRIM(Raw_Data!C802), "Review")</f>
        <v>Smith</v>
      </c>
      <c r="D802" s="2">
        <f>IF(Raw_Data!D802="", "", IFERROR(VALUE(Raw_Data!D802), ""))</f>
        <v>25</v>
      </c>
      <c r="E802" s="2" t="str">
        <f>IFERROR(LEFT(Raw_Data!E802,SEARCH("-",Raw_Data!E802)-1),"Review")</f>
        <v>HR</v>
      </c>
      <c r="F802" s="2" t="str">
        <f>IFERROR(_xlfn.TEXTAFTER(Raw_Data!E802,"-"),"Review")</f>
        <v>New York</v>
      </c>
      <c r="G802" s="2" t="str">
        <f>IFERROR(TRIM(Raw_Data!F802), "Review")</f>
        <v>Active</v>
      </c>
      <c r="H802" s="3" t="str">
        <f>IFERROR(TEXT(Raw_Data!G802, "YYYY-MM-DD"),"Review")</f>
        <v>2021-07-14</v>
      </c>
      <c r="I802" s="4">
        <f>IF(Raw_Data!H802="", "", IFERROR(VALUE(Raw_Data!H802), ""))</f>
        <v>58012.23</v>
      </c>
      <c r="J802" s="2" t="str">
        <f>IF(Raw_Data!I802="", "", IF(ISNUMBER(FIND("@", Raw_Data!I802)), Raw_Data!I802, "Review"))</f>
        <v>heidi.smith@example.com</v>
      </c>
      <c r="K802" s="5" t="str">
        <f>IFERROR(TEXT(ABS(Raw_Data!J802), "0"), "Review")</f>
        <v>1067245306</v>
      </c>
      <c r="L802" s="2" t="str">
        <f>IFERROR(TRIM(Raw_Data!K802), "Review")</f>
        <v>Average</v>
      </c>
      <c r="M802" s="2" t="b">
        <f>IF(Raw_Data!L802="", "",
    IF(ISLOGICAL(Raw_Data!L802), Raw_Data!L802,
        IF(OR(UPPER(Raw_Data!L802)="TRUE", UPPER(Raw_Data!L802)="YES", UPPER(Raw_Data!L802)="1"), TRUE,
            IF(OR(UPPER(Raw_Data!L802)="FALSE", UPPER(Raw_Data!L802)="NO", UPPER(Raw_Data!L802)="0"), FALSE, "Review")
        )
    )
)</f>
        <v>1</v>
      </c>
    </row>
    <row r="803" spans="1:13" x14ac:dyDescent="0.4">
      <c r="A803" s="2" t="str">
        <f>IFERROR(TRIM(Raw_Data!A803), "Review")</f>
        <v>EMP1801</v>
      </c>
      <c r="B803" s="2" t="str">
        <f>IFERROR(TRIM(Raw_Data!B803), "Review")</f>
        <v>Bob</v>
      </c>
      <c r="C803" s="2" t="str">
        <f>IFERROR(TRIM(Raw_Data!C803), "Review")</f>
        <v>Miller</v>
      </c>
      <c r="D803" s="2">
        <f>IF(Raw_Data!D803="", "", IFERROR(VALUE(Raw_Data!D803), ""))</f>
        <v>30</v>
      </c>
      <c r="E803" s="2" t="str">
        <f>IFERROR(LEFT(Raw_Data!E803,SEARCH("-",Raw_Data!E803)-1),"Review")</f>
        <v>Sales</v>
      </c>
      <c r="F803" s="2" t="str">
        <f>IFERROR(_xlfn.TEXTAFTER(Raw_Data!E803,"-"),"Review")</f>
        <v>California</v>
      </c>
      <c r="G803" s="2" t="str">
        <f>IFERROR(TRIM(Raw_Data!F803), "Review")</f>
        <v>Pending</v>
      </c>
      <c r="H803" s="3" t="str">
        <f>IFERROR(TEXT(Raw_Data!G803, "YYYY-MM-DD"),"Review")</f>
        <v>2021-10-14</v>
      </c>
      <c r="I803" s="4">
        <f>IF(Raw_Data!H803="", "", IFERROR(VALUE(Raw_Data!H803), ""))</f>
        <v>68973.649999999994</v>
      </c>
      <c r="J803" s="2" t="str">
        <f>IF(Raw_Data!I803="", "", IF(ISNUMBER(FIND("@", Raw_Data!I803)), Raw_Data!I803, "Review"))</f>
        <v>bob.miller@example.com</v>
      </c>
      <c r="K803" s="5" t="str">
        <f>IFERROR(TEXT(ABS(Raw_Data!J803), "0"), "Review")</f>
        <v>6248433796</v>
      </c>
      <c r="L803" s="2" t="str">
        <f>IFERROR(TRIM(Raw_Data!K803), "Review")</f>
        <v>Average</v>
      </c>
      <c r="M803" s="2" t="b">
        <f>IF(Raw_Data!L803="", "",
    IF(ISLOGICAL(Raw_Data!L803), Raw_Data!L803,
        IF(OR(UPPER(Raw_Data!L803)="TRUE", UPPER(Raw_Data!L803)="YES", UPPER(Raw_Data!L803)="1"), TRUE,
            IF(OR(UPPER(Raw_Data!L803)="FALSE", UPPER(Raw_Data!L803)="NO", UPPER(Raw_Data!L803)="0"), FALSE, "Review")
        )
    )
)</f>
        <v>1</v>
      </c>
    </row>
    <row r="804" spans="1:13" x14ac:dyDescent="0.4">
      <c r="A804" s="2" t="str">
        <f>IFERROR(TRIM(Raw_Data!A804), "Review")</f>
        <v>EMP1802</v>
      </c>
      <c r="B804" s="2" t="str">
        <f>IFERROR(TRIM(Raw_Data!B804), "Review")</f>
        <v>Eva</v>
      </c>
      <c r="C804" s="2" t="str">
        <f>IFERROR(TRIM(Raw_Data!C804), "Review")</f>
        <v>Smith</v>
      </c>
      <c r="D804" s="2" t="str">
        <f>IF(Raw_Data!D804="", "", IFERROR(VALUE(Raw_Data!D804), ""))</f>
        <v/>
      </c>
      <c r="E804" s="2" t="str">
        <f>IFERROR(LEFT(Raw_Data!E804,SEARCH("-",Raw_Data!E804)-1),"Review")</f>
        <v>Admin</v>
      </c>
      <c r="F804" s="2" t="str">
        <f>IFERROR(_xlfn.TEXTAFTER(Raw_Data!E804,"-"),"Review")</f>
        <v>New York</v>
      </c>
      <c r="G804" s="2" t="str">
        <f>IFERROR(TRIM(Raw_Data!F804), "Review")</f>
        <v>Active</v>
      </c>
      <c r="H804" s="3" t="str">
        <f>IFERROR(TEXT(Raw_Data!G804, "YYYY-MM-DD"),"Review")</f>
        <v>2021-09-29</v>
      </c>
      <c r="I804" s="4">
        <f>IF(Raw_Data!H804="", "", IFERROR(VALUE(Raw_Data!H804), ""))</f>
        <v>92928.4</v>
      </c>
      <c r="J804" s="2" t="str">
        <f>IF(Raw_Data!I804="", "", IF(ISNUMBER(FIND("@", Raw_Data!I804)), Raw_Data!I804, "Review"))</f>
        <v>eva.smith@example.com</v>
      </c>
      <c r="K804" s="5" t="str">
        <f>IFERROR(TEXT(ABS(Raw_Data!J804), "0"), "Review")</f>
        <v>6627051156</v>
      </c>
      <c r="L804" s="2" t="str">
        <f>IFERROR(TRIM(Raw_Data!K804), "Review")</f>
        <v>Poor</v>
      </c>
      <c r="M804" s="2" t="b">
        <f>IF(Raw_Data!L804="", "",
    IF(ISLOGICAL(Raw_Data!L804), Raw_Data!L804,
        IF(OR(UPPER(Raw_Data!L804)="TRUE", UPPER(Raw_Data!L804)="YES", UPPER(Raw_Data!L804)="1"), TRUE,
            IF(OR(UPPER(Raw_Data!L804)="FALSE", UPPER(Raw_Data!L804)="NO", UPPER(Raw_Data!L804)="0"), FALSE, "Review")
        )
    )
)</f>
        <v>1</v>
      </c>
    </row>
    <row r="805" spans="1:13" x14ac:dyDescent="0.4">
      <c r="A805" s="2" t="str">
        <f>IFERROR(TRIM(Raw_Data!A805), "Review")</f>
        <v>EMP1803</v>
      </c>
      <c r="B805" s="2" t="str">
        <f>IFERROR(TRIM(Raw_Data!B805), "Review")</f>
        <v>Heidi</v>
      </c>
      <c r="C805" s="2" t="str">
        <f>IFERROR(TRIM(Raw_Data!C805), "Review")</f>
        <v>Smith</v>
      </c>
      <c r="D805" s="2">
        <f>IF(Raw_Data!D805="", "", IFERROR(VALUE(Raw_Data!D805), ""))</f>
        <v>25</v>
      </c>
      <c r="E805" s="2" t="str">
        <f>IFERROR(LEFT(Raw_Data!E805,SEARCH("-",Raw_Data!E805)-1),"Review")</f>
        <v>Admin</v>
      </c>
      <c r="F805" s="2" t="str">
        <f>IFERROR(_xlfn.TEXTAFTER(Raw_Data!E805,"-"),"Review")</f>
        <v>Texas</v>
      </c>
      <c r="G805" s="2" t="str">
        <f>IFERROR(TRIM(Raw_Data!F805), "Review")</f>
        <v>Inactive</v>
      </c>
      <c r="H805" s="3" t="str">
        <f>IFERROR(TEXT(Raw_Data!G805, "YYYY-MM-DD"),"Review")</f>
        <v>2023-10-15</v>
      </c>
      <c r="I805" s="4">
        <f>IF(Raw_Data!H805="", "", IFERROR(VALUE(Raw_Data!H805), ""))</f>
        <v>53531.92</v>
      </c>
      <c r="J805" s="2" t="str">
        <f>IF(Raw_Data!I805="", "", IF(ISNUMBER(FIND("@", Raw_Data!I805)), Raw_Data!I805, "Review"))</f>
        <v>heidi.smith@example.com</v>
      </c>
      <c r="K805" s="5" t="str">
        <f>IFERROR(TEXT(ABS(Raw_Data!J805), "0"), "Review")</f>
        <v>9423873669</v>
      </c>
      <c r="L805" s="2" t="str">
        <f>IFERROR(TRIM(Raw_Data!K805), "Review")</f>
        <v>Poor</v>
      </c>
      <c r="M805" s="2" t="b">
        <f>IF(Raw_Data!L805="", "",
    IF(ISLOGICAL(Raw_Data!L805), Raw_Data!L805,
        IF(OR(UPPER(Raw_Data!L805)="TRUE", UPPER(Raw_Data!L805)="YES", UPPER(Raw_Data!L805)="1"), TRUE,
            IF(OR(UPPER(Raw_Data!L805)="FALSE", UPPER(Raw_Data!L805)="NO", UPPER(Raw_Data!L805)="0"), FALSE, "Review")
        )
    )
)</f>
        <v>1</v>
      </c>
    </row>
    <row r="806" spans="1:13" x14ac:dyDescent="0.4">
      <c r="A806" s="2" t="str">
        <f>IFERROR(TRIM(Raw_Data!A806), "Review")</f>
        <v>EMP1804</v>
      </c>
      <c r="B806" s="2" t="str">
        <f>IFERROR(TRIM(Raw_Data!B806), "Review")</f>
        <v>Bob</v>
      </c>
      <c r="C806" s="2" t="str">
        <f>IFERROR(TRIM(Raw_Data!C806), "Review")</f>
        <v>Miller</v>
      </c>
      <c r="D806" s="2">
        <f>IF(Raw_Data!D806="", "", IFERROR(VALUE(Raw_Data!D806), ""))</f>
        <v>40</v>
      </c>
      <c r="E806" s="2" t="str">
        <f>IFERROR(LEFT(Raw_Data!E806,SEARCH("-",Raw_Data!E806)-1),"Review")</f>
        <v>Finance</v>
      </c>
      <c r="F806" s="2" t="str">
        <f>IFERROR(_xlfn.TEXTAFTER(Raw_Data!E806,"-"),"Review")</f>
        <v>New York</v>
      </c>
      <c r="G806" s="2" t="str">
        <f>IFERROR(TRIM(Raw_Data!F806), "Review")</f>
        <v>Pending</v>
      </c>
      <c r="H806" s="3" t="str">
        <f>IFERROR(TEXT(Raw_Data!G806, "YYYY-MM-DD"),"Review")</f>
        <v>2023-05-05</v>
      </c>
      <c r="I806" s="4">
        <f>IF(Raw_Data!H806="", "", IFERROR(VALUE(Raw_Data!H806), ""))</f>
        <v>112389.31</v>
      </c>
      <c r="J806" s="2" t="str">
        <f>IF(Raw_Data!I806="", "", IF(ISNUMBER(FIND("@", Raw_Data!I806)), Raw_Data!I806, "Review"))</f>
        <v>bob.miller@example.com</v>
      </c>
      <c r="K806" s="5" t="str">
        <f>IFERROR(TEXT(ABS(Raw_Data!J806), "0"), "Review")</f>
        <v>4254969191</v>
      </c>
      <c r="L806" s="2" t="str">
        <f>IFERROR(TRIM(Raw_Data!K806), "Review")</f>
        <v>Excellent</v>
      </c>
      <c r="M806" s="2" t="b">
        <f>IF(Raw_Data!L806="", "",
    IF(ISLOGICAL(Raw_Data!L806), Raw_Data!L806,
        IF(OR(UPPER(Raw_Data!L806)="TRUE", UPPER(Raw_Data!L806)="YES", UPPER(Raw_Data!L806)="1"), TRUE,
            IF(OR(UPPER(Raw_Data!L806)="FALSE", UPPER(Raw_Data!L806)="NO", UPPER(Raw_Data!L806)="0"), FALSE, "Review")
        )
    )
)</f>
        <v>0</v>
      </c>
    </row>
    <row r="807" spans="1:13" x14ac:dyDescent="0.4">
      <c r="A807" s="2" t="str">
        <f>IFERROR(TRIM(Raw_Data!A807), "Review")</f>
        <v>EMP1805</v>
      </c>
      <c r="B807" s="2" t="str">
        <f>IFERROR(TRIM(Raw_Data!B807), "Review")</f>
        <v>Heidi</v>
      </c>
      <c r="C807" s="2" t="str">
        <f>IFERROR(TRIM(Raw_Data!C807), "Review")</f>
        <v>Brown</v>
      </c>
      <c r="D807" s="2" t="str">
        <f>IF(Raw_Data!D807="", "", IFERROR(VALUE(Raw_Data!D807), ""))</f>
        <v/>
      </c>
      <c r="E807" s="2" t="str">
        <f>IFERROR(LEFT(Raw_Data!E807,SEARCH("-",Raw_Data!E807)-1),"Review")</f>
        <v>HR</v>
      </c>
      <c r="F807" s="2" t="str">
        <f>IFERROR(_xlfn.TEXTAFTER(Raw_Data!E807,"-"),"Review")</f>
        <v>California</v>
      </c>
      <c r="G807" s="2" t="str">
        <f>IFERROR(TRIM(Raw_Data!F807), "Review")</f>
        <v>Inactive</v>
      </c>
      <c r="H807" s="3" t="str">
        <f>IFERROR(TEXT(Raw_Data!G807, "YYYY-MM-DD"),"Review")</f>
        <v>2024-08-01</v>
      </c>
      <c r="I807" s="4">
        <f>IF(Raw_Data!H807="", "", IFERROR(VALUE(Raw_Data!H807), ""))</f>
        <v>63870.3</v>
      </c>
      <c r="J807" s="2" t="str">
        <f>IF(Raw_Data!I807="", "", IF(ISNUMBER(FIND("@", Raw_Data!I807)), Raw_Data!I807, "Review"))</f>
        <v>heidi.brown@example.com</v>
      </c>
      <c r="K807" s="5" t="str">
        <f>IFERROR(TEXT(ABS(Raw_Data!J807), "0"), "Review")</f>
        <v>8455259709</v>
      </c>
      <c r="L807" s="2" t="str">
        <f>IFERROR(TRIM(Raw_Data!K807), "Review")</f>
        <v>Excellent</v>
      </c>
      <c r="M807" s="2" t="b">
        <f>IF(Raw_Data!L807="", "",
    IF(ISLOGICAL(Raw_Data!L807), Raw_Data!L807,
        IF(OR(UPPER(Raw_Data!L807)="TRUE", UPPER(Raw_Data!L807)="YES", UPPER(Raw_Data!L807)="1"), TRUE,
            IF(OR(UPPER(Raw_Data!L807)="FALSE", UPPER(Raw_Data!L807)="NO", UPPER(Raw_Data!L807)="0"), FALSE, "Review")
        )
    )
)</f>
        <v>0</v>
      </c>
    </row>
    <row r="808" spans="1:13" x14ac:dyDescent="0.4">
      <c r="A808" s="2" t="str">
        <f>IFERROR(TRIM(Raw_Data!A808), "Review")</f>
        <v>EMP1806</v>
      </c>
      <c r="B808" s="2" t="str">
        <f>IFERROR(TRIM(Raw_Data!B808), "Review")</f>
        <v>Bob</v>
      </c>
      <c r="C808" s="2" t="str">
        <f>IFERROR(TRIM(Raw_Data!C808), "Review")</f>
        <v>Garcia</v>
      </c>
      <c r="D808" s="2">
        <f>IF(Raw_Data!D808="", "", IFERROR(VALUE(Raw_Data!D808), ""))</f>
        <v>40</v>
      </c>
      <c r="E808" s="2" t="str">
        <f>IFERROR(LEFT(Raw_Data!E808,SEARCH("-",Raw_Data!E808)-1),"Review")</f>
        <v>Sales</v>
      </c>
      <c r="F808" s="2" t="str">
        <f>IFERROR(_xlfn.TEXTAFTER(Raw_Data!E808,"-"),"Review")</f>
        <v>New York</v>
      </c>
      <c r="G808" s="2" t="str">
        <f>IFERROR(TRIM(Raw_Data!F808), "Review")</f>
        <v>Active</v>
      </c>
      <c r="H808" s="3" t="str">
        <f>IFERROR(TEXT(Raw_Data!G808, "YYYY-MM-DD"),"Review")</f>
        <v>2024-07-22</v>
      </c>
      <c r="I808" s="4">
        <f>IF(Raw_Data!H808="", "", IFERROR(VALUE(Raw_Data!H808), ""))</f>
        <v>106164.53</v>
      </c>
      <c r="J808" s="2" t="str">
        <f>IF(Raw_Data!I808="", "", IF(ISNUMBER(FIND("@", Raw_Data!I808)), Raw_Data!I808, "Review"))</f>
        <v>bob.garcia@example.com</v>
      </c>
      <c r="K808" s="5" t="str">
        <f>IFERROR(TEXT(ABS(Raw_Data!J808), "0"), "Review")</f>
        <v>7563353573</v>
      </c>
      <c r="L808" s="2" t="str">
        <f>IFERROR(TRIM(Raw_Data!K808), "Review")</f>
        <v>Good</v>
      </c>
      <c r="M808" s="2" t="b">
        <f>IF(Raw_Data!L808="", "",
    IF(ISLOGICAL(Raw_Data!L808), Raw_Data!L808,
        IF(OR(UPPER(Raw_Data!L808)="TRUE", UPPER(Raw_Data!L808)="YES", UPPER(Raw_Data!L808)="1"), TRUE,
            IF(OR(UPPER(Raw_Data!L808)="FALSE", UPPER(Raw_Data!L808)="NO", UPPER(Raw_Data!L808)="0"), FALSE, "Review")
        )
    )
)</f>
        <v>0</v>
      </c>
    </row>
    <row r="809" spans="1:13" x14ac:dyDescent="0.4">
      <c r="A809" s="2" t="str">
        <f>IFERROR(TRIM(Raw_Data!A809), "Review")</f>
        <v>EMP1807</v>
      </c>
      <c r="B809" s="2" t="str">
        <f>IFERROR(TRIM(Raw_Data!B809), "Review")</f>
        <v>Bob</v>
      </c>
      <c r="C809" s="2" t="str">
        <f>IFERROR(TRIM(Raw_Data!C809), "Review")</f>
        <v>Smith</v>
      </c>
      <c r="D809" s="2">
        <f>IF(Raw_Data!D809="", "", IFERROR(VALUE(Raw_Data!D809), ""))</f>
        <v>40</v>
      </c>
      <c r="E809" s="2" t="str">
        <f>IFERROR(LEFT(Raw_Data!E809,SEARCH("-",Raw_Data!E809)-1),"Review")</f>
        <v>HR</v>
      </c>
      <c r="F809" s="2" t="str">
        <f>IFERROR(_xlfn.TEXTAFTER(Raw_Data!E809,"-"),"Review")</f>
        <v>Nevada</v>
      </c>
      <c r="G809" s="2" t="str">
        <f>IFERROR(TRIM(Raw_Data!F809), "Review")</f>
        <v>Pending</v>
      </c>
      <c r="H809" s="3" t="str">
        <f>IFERROR(TEXT(Raw_Data!G809, "YYYY-MM-DD"),"Review")</f>
        <v>2023-12-25</v>
      </c>
      <c r="I809" s="4">
        <f>IF(Raw_Data!H809="", "", IFERROR(VALUE(Raw_Data!H809), ""))</f>
        <v>103654.54</v>
      </c>
      <c r="J809" s="2" t="str">
        <f>IF(Raw_Data!I809="", "", IF(ISNUMBER(FIND("@", Raw_Data!I809)), Raw_Data!I809, "Review"))</f>
        <v>bob.smith@example.com</v>
      </c>
      <c r="K809" s="5" t="str">
        <f>IFERROR(TEXT(ABS(Raw_Data!J809), "0"), "Review")</f>
        <v>8595325938</v>
      </c>
      <c r="L809" s="2" t="str">
        <f>IFERROR(TRIM(Raw_Data!K809), "Review")</f>
        <v>Poor</v>
      </c>
      <c r="M809" s="2" t="b">
        <f>IF(Raw_Data!L809="", "",
    IF(ISLOGICAL(Raw_Data!L809), Raw_Data!L809,
        IF(OR(UPPER(Raw_Data!L809)="TRUE", UPPER(Raw_Data!L809)="YES", UPPER(Raw_Data!L809)="1"), TRUE,
            IF(OR(UPPER(Raw_Data!L809)="FALSE", UPPER(Raw_Data!L809)="NO", UPPER(Raw_Data!L809)="0"), FALSE, "Review")
        )
    )
)</f>
        <v>0</v>
      </c>
    </row>
    <row r="810" spans="1:13" x14ac:dyDescent="0.4">
      <c r="A810" s="2" t="str">
        <f>IFERROR(TRIM(Raw_Data!A810), "Review")</f>
        <v>EMP1808</v>
      </c>
      <c r="B810" s="2" t="str">
        <f>IFERROR(TRIM(Raw_Data!B810), "Review")</f>
        <v>David</v>
      </c>
      <c r="C810" s="2" t="str">
        <f>IFERROR(TRIM(Raw_Data!C810), "Review")</f>
        <v>Miller</v>
      </c>
      <c r="D810" s="2">
        <f>IF(Raw_Data!D810="", "", IFERROR(VALUE(Raw_Data!D810), ""))</f>
        <v>30</v>
      </c>
      <c r="E810" s="2" t="str">
        <f>IFERROR(LEFT(Raw_Data!E810,SEARCH("-",Raw_Data!E810)-1),"Review")</f>
        <v>Sales</v>
      </c>
      <c r="F810" s="2" t="str">
        <f>IFERROR(_xlfn.TEXTAFTER(Raw_Data!E810,"-"),"Review")</f>
        <v>California</v>
      </c>
      <c r="G810" s="2" t="str">
        <f>IFERROR(TRIM(Raw_Data!F810), "Review")</f>
        <v>Inactive</v>
      </c>
      <c r="H810" s="3" t="str">
        <f>IFERROR(TEXT(Raw_Data!G810, "YYYY-MM-DD"),"Review")</f>
        <v>2022-03-13</v>
      </c>
      <c r="I810" s="4">
        <f>IF(Raw_Data!H810="", "", IFERROR(VALUE(Raw_Data!H810), ""))</f>
        <v>62834.720000000001</v>
      </c>
      <c r="J810" s="2" t="str">
        <f>IF(Raw_Data!I810="", "", IF(ISNUMBER(FIND("@", Raw_Data!I810)), Raw_Data!I810, "Review"))</f>
        <v>david.miller@example.com</v>
      </c>
      <c r="K810" s="5" t="str">
        <f>IFERROR(TEXT(ABS(Raw_Data!J810), "0"), "Review")</f>
        <v>9337970580</v>
      </c>
      <c r="L810" s="2" t="str">
        <f>IFERROR(TRIM(Raw_Data!K810), "Review")</f>
        <v>Good</v>
      </c>
      <c r="M810" s="2" t="b">
        <f>IF(Raw_Data!L810="", "",
    IF(ISLOGICAL(Raw_Data!L810), Raw_Data!L810,
        IF(OR(UPPER(Raw_Data!L810)="TRUE", UPPER(Raw_Data!L810)="YES", UPPER(Raw_Data!L810)="1"), TRUE,
            IF(OR(UPPER(Raw_Data!L810)="FALSE", UPPER(Raw_Data!L810)="NO", UPPER(Raw_Data!L810)="0"), FALSE, "Review")
        )
    )
)</f>
        <v>1</v>
      </c>
    </row>
    <row r="811" spans="1:13" x14ac:dyDescent="0.4">
      <c r="A811" s="2" t="str">
        <f>IFERROR(TRIM(Raw_Data!A811), "Review")</f>
        <v>EMP1809</v>
      </c>
      <c r="B811" s="2" t="str">
        <f>IFERROR(TRIM(Raw_Data!B811), "Review")</f>
        <v>Frank</v>
      </c>
      <c r="C811" s="2" t="str">
        <f>IFERROR(TRIM(Raw_Data!C811), "Review")</f>
        <v>Jones</v>
      </c>
      <c r="D811" s="2">
        <f>IF(Raw_Data!D811="", "", IFERROR(VALUE(Raw_Data!D811), ""))</f>
        <v>35</v>
      </c>
      <c r="E811" s="2" t="str">
        <f>IFERROR(LEFT(Raw_Data!E811,SEARCH("-",Raw_Data!E811)-1),"Review")</f>
        <v>Finance</v>
      </c>
      <c r="F811" s="2" t="str">
        <f>IFERROR(_xlfn.TEXTAFTER(Raw_Data!E811,"-"),"Review")</f>
        <v>Florida</v>
      </c>
      <c r="G811" s="2" t="str">
        <f>IFERROR(TRIM(Raw_Data!F811), "Review")</f>
        <v>Active</v>
      </c>
      <c r="H811" s="3" t="str">
        <f>IFERROR(TEXT(Raw_Data!G811, "YYYY-MM-DD"),"Review")</f>
        <v>2020-05-13</v>
      </c>
      <c r="I811" s="4">
        <f>IF(Raw_Data!H811="", "", IFERROR(VALUE(Raw_Data!H811), ""))</f>
        <v>83273.41</v>
      </c>
      <c r="J811" s="2" t="str">
        <f>IF(Raw_Data!I811="", "", IF(ISNUMBER(FIND("@", Raw_Data!I811)), Raw_Data!I811, "Review"))</f>
        <v>frank.jones@example.com</v>
      </c>
      <c r="K811" s="5" t="str">
        <f>IFERROR(TEXT(ABS(Raw_Data!J811), "0"), "Review")</f>
        <v>6295187793</v>
      </c>
      <c r="L811" s="2" t="str">
        <f>IFERROR(TRIM(Raw_Data!K811), "Review")</f>
        <v>Excellent</v>
      </c>
      <c r="M811" s="2" t="b">
        <f>IF(Raw_Data!L811="", "",
    IF(ISLOGICAL(Raw_Data!L811), Raw_Data!L811,
        IF(OR(UPPER(Raw_Data!L811)="TRUE", UPPER(Raw_Data!L811)="YES", UPPER(Raw_Data!L811)="1"), TRUE,
            IF(OR(UPPER(Raw_Data!L811)="FALSE", UPPER(Raw_Data!L811)="NO", UPPER(Raw_Data!L811)="0"), FALSE, "Review")
        )
    )
)</f>
        <v>0</v>
      </c>
    </row>
    <row r="812" spans="1:13" x14ac:dyDescent="0.4">
      <c r="A812" s="2" t="str">
        <f>IFERROR(TRIM(Raw_Data!A812), "Review")</f>
        <v>EMP1810</v>
      </c>
      <c r="B812" s="2" t="str">
        <f>IFERROR(TRIM(Raw_Data!B812), "Review")</f>
        <v>Heidi</v>
      </c>
      <c r="C812" s="2" t="str">
        <f>IFERROR(TRIM(Raw_Data!C812), "Review")</f>
        <v>Williams</v>
      </c>
      <c r="D812" s="2">
        <f>IF(Raw_Data!D812="", "", IFERROR(VALUE(Raw_Data!D812), ""))</f>
        <v>30</v>
      </c>
      <c r="E812" s="2" t="str">
        <f>IFERROR(LEFT(Raw_Data!E812,SEARCH("-",Raw_Data!E812)-1),"Review")</f>
        <v>HR</v>
      </c>
      <c r="F812" s="2" t="str">
        <f>IFERROR(_xlfn.TEXTAFTER(Raw_Data!E812,"-"),"Review")</f>
        <v>California</v>
      </c>
      <c r="G812" s="2" t="str">
        <f>IFERROR(TRIM(Raw_Data!F812), "Review")</f>
        <v>Pending</v>
      </c>
      <c r="H812" s="3" t="str">
        <f>IFERROR(TEXT(Raw_Data!G812, "YYYY-MM-DD"),"Review")</f>
        <v>2023-03-22</v>
      </c>
      <c r="I812" s="4">
        <f>IF(Raw_Data!H812="", "", IFERROR(VALUE(Raw_Data!H812), ""))</f>
        <v>58917.58</v>
      </c>
      <c r="J812" s="2" t="str">
        <f>IF(Raw_Data!I812="", "", IF(ISNUMBER(FIND("@", Raw_Data!I812)), Raw_Data!I812, "Review"))</f>
        <v>heidi.williams@example.com</v>
      </c>
      <c r="K812" s="5" t="str">
        <f>IFERROR(TEXT(ABS(Raw_Data!J812), "0"), "Review")</f>
        <v>1763425072</v>
      </c>
      <c r="L812" s="2" t="str">
        <f>IFERROR(TRIM(Raw_Data!K812), "Review")</f>
        <v>Good</v>
      </c>
      <c r="M812" s="2" t="b">
        <f>IF(Raw_Data!L812="", "",
    IF(ISLOGICAL(Raw_Data!L812), Raw_Data!L812,
        IF(OR(UPPER(Raw_Data!L812)="TRUE", UPPER(Raw_Data!L812)="YES", UPPER(Raw_Data!L812)="1"), TRUE,
            IF(OR(UPPER(Raw_Data!L812)="FALSE", UPPER(Raw_Data!L812)="NO", UPPER(Raw_Data!L812)="0"), FALSE, "Review")
        )
    )
)</f>
        <v>0</v>
      </c>
    </row>
    <row r="813" spans="1:13" x14ac:dyDescent="0.4">
      <c r="A813" s="2" t="str">
        <f>IFERROR(TRIM(Raw_Data!A813), "Review")</f>
        <v>EMP1811</v>
      </c>
      <c r="B813" s="2" t="str">
        <f>IFERROR(TRIM(Raw_Data!B813), "Review")</f>
        <v>Bob</v>
      </c>
      <c r="C813" s="2" t="str">
        <f>IFERROR(TRIM(Raw_Data!C813), "Review")</f>
        <v>Williams</v>
      </c>
      <c r="D813" s="2">
        <f>IF(Raw_Data!D813="", "", IFERROR(VALUE(Raw_Data!D813), ""))</f>
        <v>35</v>
      </c>
      <c r="E813" s="2" t="str">
        <f>IFERROR(LEFT(Raw_Data!E813,SEARCH("-",Raw_Data!E813)-1),"Review")</f>
        <v>Sales</v>
      </c>
      <c r="F813" s="2" t="str">
        <f>IFERROR(_xlfn.TEXTAFTER(Raw_Data!E813,"-"),"Review")</f>
        <v>Nevada</v>
      </c>
      <c r="G813" s="2" t="str">
        <f>IFERROR(TRIM(Raw_Data!F813), "Review")</f>
        <v>Active</v>
      </c>
      <c r="H813" s="3" t="str">
        <f>IFERROR(TEXT(Raw_Data!G813, "YYYY-MM-DD"),"Review")</f>
        <v>2024-06-10</v>
      </c>
      <c r="I813" s="4">
        <f>IF(Raw_Data!H813="", "", IFERROR(VALUE(Raw_Data!H813), ""))</f>
        <v>71148.27</v>
      </c>
      <c r="J813" s="2" t="str">
        <f>IF(Raw_Data!I813="", "", IF(ISNUMBER(FIND("@", Raw_Data!I813)), Raw_Data!I813, "Review"))</f>
        <v>bob.williams@example.com</v>
      </c>
      <c r="K813" s="5" t="str">
        <f>IFERROR(TEXT(ABS(Raw_Data!J813), "0"), "Review")</f>
        <v>3055978244</v>
      </c>
      <c r="L813" s="2" t="str">
        <f>IFERROR(TRIM(Raw_Data!K813), "Review")</f>
        <v>Excellent</v>
      </c>
      <c r="M813" s="2" t="b">
        <f>IF(Raw_Data!L813="", "",
    IF(ISLOGICAL(Raw_Data!L813), Raw_Data!L813,
        IF(OR(UPPER(Raw_Data!L813)="TRUE", UPPER(Raw_Data!L813)="YES", UPPER(Raw_Data!L813)="1"), TRUE,
            IF(OR(UPPER(Raw_Data!L813)="FALSE", UPPER(Raw_Data!L813)="NO", UPPER(Raw_Data!L813)="0"), FALSE, "Review")
        )
    )
)</f>
        <v>1</v>
      </c>
    </row>
    <row r="814" spans="1:13" x14ac:dyDescent="0.4">
      <c r="A814" s="2" t="str">
        <f>IFERROR(TRIM(Raw_Data!A814), "Review")</f>
        <v>EMP1812</v>
      </c>
      <c r="B814" s="2" t="str">
        <f>IFERROR(TRIM(Raw_Data!B814), "Review")</f>
        <v>Grace</v>
      </c>
      <c r="C814" s="2" t="str">
        <f>IFERROR(TRIM(Raw_Data!C814), "Review")</f>
        <v>Smith</v>
      </c>
      <c r="D814" s="2">
        <f>IF(Raw_Data!D814="", "", IFERROR(VALUE(Raw_Data!D814), ""))</f>
        <v>30</v>
      </c>
      <c r="E814" s="2" t="str">
        <f>IFERROR(LEFT(Raw_Data!E814,SEARCH("-",Raw_Data!E814)-1),"Review")</f>
        <v>Sales</v>
      </c>
      <c r="F814" s="2" t="str">
        <f>IFERROR(_xlfn.TEXTAFTER(Raw_Data!E814,"-"),"Review")</f>
        <v>New York</v>
      </c>
      <c r="G814" s="2" t="str">
        <f>IFERROR(TRIM(Raw_Data!F814), "Review")</f>
        <v>Pending</v>
      </c>
      <c r="H814" s="3" t="str">
        <f>IFERROR(TEXT(Raw_Data!G814, "YYYY-MM-DD"),"Review")</f>
        <v>2020-11-21</v>
      </c>
      <c r="I814" s="4">
        <f>IF(Raw_Data!H814="", "", IFERROR(VALUE(Raw_Data!H814), ""))</f>
        <v>118172.42</v>
      </c>
      <c r="J814" s="2" t="str">
        <f>IF(Raw_Data!I814="", "", IF(ISNUMBER(FIND("@", Raw_Data!I814)), Raw_Data!I814, "Review"))</f>
        <v>grace.smith@example.com</v>
      </c>
      <c r="K814" s="5" t="str">
        <f>IFERROR(TEXT(ABS(Raw_Data!J814), "0"), "Review")</f>
        <v>7598339913</v>
      </c>
      <c r="L814" s="2" t="str">
        <f>IFERROR(TRIM(Raw_Data!K814), "Review")</f>
        <v>Poor</v>
      </c>
      <c r="M814" s="2" t="b">
        <f>IF(Raw_Data!L814="", "",
    IF(ISLOGICAL(Raw_Data!L814), Raw_Data!L814,
        IF(OR(UPPER(Raw_Data!L814)="TRUE", UPPER(Raw_Data!L814)="YES", UPPER(Raw_Data!L814)="1"), TRUE,
            IF(OR(UPPER(Raw_Data!L814)="FALSE", UPPER(Raw_Data!L814)="NO", UPPER(Raw_Data!L814)="0"), FALSE, "Review")
        )
    )
)</f>
        <v>1</v>
      </c>
    </row>
    <row r="815" spans="1:13" x14ac:dyDescent="0.4">
      <c r="A815" s="2" t="str">
        <f>IFERROR(TRIM(Raw_Data!A815), "Review")</f>
        <v>EMP1813</v>
      </c>
      <c r="B815" s="2" t="str">
        <f>IFERROR(TRIM(Raw_Data!B815), "Review")</f>
        <v>Frank</v>
      </c>
      <c r="C815" s="2" t="str">
        <f>IFERROR(TRIM(Raw_Data!C815), "Review")</f>
        <v>Brown</v>
      </c>
      <c r="D815" s="2">
        <f>IF(Raw_Data!D815="", "", IFERROR(VALUE(Raw_Data!D815), ""))</f>
        <v>30</v>
      </c>
      <c r="E815" s="2" t="str">
        <f>IFERROR(LEFT(Raw_Data!E815,SEARCH("-",Raw_Data!E815)-1),"Review")</f>
        <v>DevOps</v>
      </c>
      <c r="F815" s="2" t="str">
        <f>IFERROR(_xlfn.TEXTAFTER(Raw_Data!E815,"-"),"Review")</f>
        <v>Illinois</v>
      </c>
      <c r="G815" s="2" t="str">
        <f>IFERROR(TRIM(Raw_Data!F815), "Review")</f>
        <v>Inactive</v>
      </c>
      <c r="H815" s="3" t="str">
        <f>IFERROR(TEXT(Raw_Data!G815, "YYYY-MM-DD"),"Review")</f>
        <v>2024-05-25</v>
      </c>
      <c r="I815" s="4">
        <f>IF(Raw_Data!H815="", "", IFERROR(VALUE(Raw_Data!H815), ""))</f>
        <v>118614.37</v>
      </c>
      <c r="J815" s="2" t="str">
        <f>IF(Raw_Data!I815="", "", IF(ISNUMBER(FIND("@", Raw_Data!I815)), Raw_Data!I815, "Review"))</f>
        <v>frank.brown@example.com</v>
      </c>
      <c r="K815" s="5" t="str">
        <f>IFERROR(TEXT(ABS(Raw_Data!J815), "0"), "Review")</f>
        <v>388436603</v>
      </c>
      <c r="L815" s="2" t="str">
        <f>IFERROR(TRIM(Raw_Data!K815), "Review")</f>
        <v>Average</v>
      </c>
      <c r="M815" s="2" t="b">
        <f>IF(Raw_Data!L815="", "",
    IF(ISLOGICAL(Raw_Data!L815), Raw_Data!L815,
        IF(OR(UPPER(Raw_Data!L815)="TRUE", UPPER(Raw_Data!L815)="YES", UPPER(Raw_Data!L815)="1"), TRUE,
            IF(OR(UPPER(Raw_Data!L815)="FALSE", UPPER(Raw_Data!L815)="NO", UPPER(Raw_Data!L815)="0"), FALSE, "Review")
        )
    )
)</f>
        <v>0</v>
      </c>
    </row>
    <row r="816" spans="1:13" x14ac:dyDescent="0.4">
      <c r="A816" s="2" t="str">
        <f>IFERROR(TRIM(Raw_Data!A816), "Review")</f>
        <v>EMP1814</v>
      </c>
      <c r="B816" s="2" t="str">
        <f>IFERROR(TRIM(Raw_Data!B816), "Review")</f>
        <v>Frank</v>
      </c>
      <c r="C816" s="2" t="str">
        <f>IFERROR(TRIM(Raw_Data!C816), "Review")</f>
        <v>Brown</v>
      </c>
      <c r="D816" s="2" t="str">
        <f>IF(Raw_Data!D816="", "", IFERROR(VALUE(Raw_Data!D816), ""))</f>
        <v/>
      </c>
      <c r="E816" s="2" t="str">
        <f>IFERROR(LEFT(Raw_Data!E816,SEARCH("-",Raw_Data!E816)-1),"Review")</f>
        <v>DevOps</v>
      </c>
      <c r="F816" s="2" t="str">
        <f>IFERROR(_xlfn.TEXTAFTER(Raw_Data!E816,"-"),"Review")</f>
        <v>New York</v>
      </c>
      <c r="G816" s="2" t="str">
        <f>IFERROR(TRIM(Raw_Data!F816), "Review")</f>
        <v>Active</v>
      </c>
      <c r="H816" s="3" t="str">
        <f>IFERROR(TEXT(Raw_Data!G816, "YYYY-MM-DD"),"Review")</f>
        <v>2023-09-19</v>
      </c>
      <c r="I816" s="4">
        <f>IF(Raw_Data!H816="", "", IFERROR(VALUE(Raw_Data!H816), ""))</f>
        <v>96872.36</v>
      </c>
      <c r="J816" s="2" t="str">
        <f>IF(Raw_Data!I816="", "", IF(ISNUMBER(FIND("@", Raw_Data!I816)), Raw_Data!I816, "Review"))</f>
        <v>frank.brown@example.com</v>
      </c>
      <c r="K816" s="5" t="str">
        <f>IFERROR(TEXT(ABS(Raw_Data!J816), "0"), "Review")</f>
        <v>4324006156</v>
      </c>
      <c r="L816" s="2" t="str">
        <f>IFERROR(TRIM(Raw_Data!K816), "Review")</f>
        <v>Poor</v>
      </c>
      <c r="M816" s="2" t="b">
        <f>IF(Raw_Data!L816="", "",
    IF(ISLOGICAL(Raw_Data!L816), Raw_Data!L816,
        IF(OR(UPPER(Raw_Data!L816)="TRUE", UPPER(Raw_Data!L816)="YES", UPPER(Raw_Data!L816)="1"), TRUE,
            IF(OR(UPPER(Raw_Data!L816)="FALSE", UPPER(Raw_Data!L816)="NO", UPPER(Raw_Data!L816)="0"), FALSE, "Review")
        )
    )
)</f>
        <v>0</v>
      </c>
    </row>
    <row r="817" spans="1:13" x14ac:dyDescent="0.4">
      <c r="A817" s="2" t="str">
        <f>IFERROR(TRIM(Raw_Data!A817), "Review")</f>
        <v>EMP1815</v>
      </c>
      <c r="B817" s="2" t="str">
        <f>IFERROR(TRIM(Raw_Data!B817), "Review")</f>
        <v>Heidi</v>
      </c>
      <c r="C817" s="2" t="str">
        <f>IFERROR(TRIM(Raw_Data!C817), "Review")</f>
        <v>Jones</v>
      </c>
      <c r="D817" s="2">
        <f>IF(Raw_Data!D817="", "", IFERROR(VALUE(Raw_Data!D817), ""))</f>
        <v>25</v>
      </c>
      <c r="E817" s="2" t="str">
        <f>IFERROR(LEFT(Raw_Data!E817,SEARCH("-",Raw_Data!E817)-1),"Review")</f>
        <v>Sales</v>
      </c>
      <c r="F817" s="2" t="str">
        <f>IFERROR(_xlfn.TEXTAFTER(Raw_Data!E817,"-"),"Review")</f>
        <v>Illinois</v>
      </c>
      <c r="G817" s="2" t="str">
        <f>IFERROR(TRIM(Raw_Data!F817), "Review")</f>
        <v>Inactive</v>
      </c>
      <c r="H817" s="3" t="str">
        <f>IFERROR(TEXT(Raw_Data!G817, "YYYY-MM-DD"),"Review")</f>
        <v>2021-10-28</v>
      </c>
      <c r="I817" s="4">
        <f>IF(Raw_Data!H817="", "", IFERROR(VALUE(Raw_Data!H817), ""))</f>
        <v>88856.14</v>
      </c>
      <c r="J817" s="2" t="str">
        <f>IF(Raw_Data!I817="", "", IF(ISNUMBER(FIND("@", Raw_Data!I817)), Raw_Data!I817, "Review"))</f>
        <v>heidi.jones@example.com</v>
      </c>
      <c r="K817" s="5" t="str">
        <f>IFERROR(TEXT(ABS(Raw_Data!J817), "0"), "Review")</f>
        <v>2768297513</v>
      </c>
      <c r="L817" s="2" t="str">
        <f>IFERROR(TRIM(Raw_Data!K817), "Review")</f>
        <v>Good</v>
      </c>
      <c r="M817" s="2" t="b">
        <f>IF(Raw_Data!L817="", "",
    IF(ISLOGICAL(Raw_Data!L817), Raw_Data!L817,
        IF(OR(UPPER(Raw_Data!L817)="TRUE", UPPER(Raw_Data!L817)="YES", UPPER(Raw_Data!L817)="1"), TRUE,
            IF(OR(UPPER(Raw_Data!L817)="FALSE", UPPER(Raw_Data!L817)="NO", UPPER(Raw_Data!L817)="0"), FALSE, "Review")
        )
    )
)</f>
        <v>1</v>
      </c>
    </row>
    <row r="818" spans="1:13" x14ac:dyDescent="0.4">
      <c r="A818" s="2" t="str">
        <f>IFERROR(TRIM(Raw_Data!A818), "Review")</f>
        <v>EMP1816</v>
      </c>
      <c r="B818" s="2" t="str">
        <f>IFERROR(TRIM(Raw_Data!B818), "Review")</f>
        <v>Charlie</v>
      </c>
      <c r="C818" s="2" t="str">
        <f>IFERROR(TRIM(Raw_Data!C818), "Review")</f>
        <v>Smith</v>
      </c>
      <c r="D818" s="2">
        <f>IF(Raw_Data!D818="", "", IFERROR(VALUE(Raw_Data!D818), ""))</f>
        <v>35</v>
      </c>
      <c r="E818" s="2" t="str">
        <f>IFERROR(LEFT(Raw_Data!E818,SEARCH("-",Raw_Data!E818)-1),"Review")</f>
        <v>Finance</v>
      </c>
      <c r="F818" s="2" t="str">
        <f>IFERROR(_xlfn.TEXTAFTER(Raw_Data!E818,"-"),"Review")</f>
        <v>Texas</v>
      </c>
      <c r="G818" s="2" t="str">
        <f>IFERROR(TRIM(Raw_Data!F818), "Review")</f>
        <v>Pending</v>
      </c>
      <c r="H818" s="3" t="str">
        <f>IFERROR(TEXT(Raw_Data!G818, "YYYY-MM-DD"),"Review")</f>
        <v>2020-08-10</v>
      </c>
      <c r="I818" s="4">
        <f>IF(Raw_Data!H818="", "", IFERROR(VALUE(Raw_Data!H818), ""))</f>
        <v>97985.61</v>
      </c>
      <c r="J818" s="2" t="str">
        <f>IF(Raw_Data!I818="", "", IF(ISNUMBER(FIND("@", Raw_Data!I818)), Raw_Data!I818, "Review"))</f>
        <v>charlie.smith@example.com</v>
      </c>
      <c r="K818" s="5" t="str">
        <f>IFERROR(TEXT(ABS(Raw_Data!J818), "0"), "Review")</f>
        <v>7439742924</v>
      </c>
      <c r="L818" s="2" t="str">
        <f>IFERROR(TRIM(Raw_Data!K818), "Review")</f>
        <v>Good</v>
      </c>
      <c r="M818" s="2" t="b">
        <f>IF(Raw_Data!L818="", "",
    IF(ISLOGICAL(Raw_Data!L818), Raw_Data!L818,
        IF(OR(UPPER(Raw_Data!L818)="TRUE", UPPER(Raw_Data!L818)="YES", UPPER(Raw_Data!L818)="1"), TRUE,
            IF(OR(UPPER(Raw_Data!L818)="FALSE", UPPER(Raw_Data!L818)="NO", UPPER(Raw_Data!L818)="0"), FALSE, "Review")
        )
    )
)</f>
        <v>0</v>
      </c>
    </row>
    <row r="819" spans="1:13" x14ac:dyDescent="0.4">
      <c r="A819" s="2" t="str">
        <f>IFERROR(TRIM(Raw_Data!A819), "Review")</f>
        <v>EMP1817</v>
      </c>
      <c r="B819" s="2" t="str">
        <f>IFERROR(TRIM(Raw_Data!B819), "Review")</f>
        <v>Grace</v>
      </c>
      <c r="C819" s="2" t="str">
        <f>IFERROR(TRIM(Raw_Data!C819), "Review")</f>
        <v>Williams</v>
      </c>
      <c r="D819" s="2">
        <f>IF(Raw_Data!D819="", "", IFERROR(VALUE(Raw_Data!D819), ""))</f>
        <v>35</v>
      </c>
      <c r="E819" s="2" t="str">
        <f>IFERROR(LEFT(Raw_Data!E819,SEARCH("-",Raw_Data!E819)-1),"Review")</f>
        <v>Finance</v>
      </c>
      <c r="F819" s="2" t="str">
        <f>IFERROR(_xlfn.TEXTAFTER(Raw_Data!E819,"-"),"Review")</f>
        <v>Nevada</v>
      </c>
      <c r="G819" s="2" t="str">
        <f>IFERROR(TRIM(Raw_Data!F819), "Review")</f>
        <v>Pending</v>
      </c>
      <c r="H819" s="3" t="str">
        <f>IFERROR(TEXT(Raw_Data!G819, "YYYY-MM-DD"),"Review")</f>
        <v>2020-05-05</v>
      </c>
      <c r="I819" s="4">
        <f>IF(Raw_Data!H819="", "", IFERROR(VALUE(Raw_Data!H819), ""))</f>
        <v>56337.31</v>
      </c>
      <c r="J819" s="2" t="str">
        <f>IF(Raw_Data!I819="", "", IF(ISNUMBER(FIND("@", Raw_Data!I819)), Raw_Data!I819, "Review"))</f>
        <v>grace.williams@example.com</v>
      </c>
      <c r="K819" s="5" t="str">
        <f>IFERROR(TEXT(ABS(Raw_Data!J819), "0"), "Review")</f>
        <v>105875255</v>
      </c>
      <c r="L819" s="2" t="str">
        <f>IFERROR(TRIM(Raw_Data!K819), "Review")</f>
        <v>Poor</v>
      </c>
      <c r="M819" s="2" t="b">
        <f>IF(Raw_Data!L819="", "",
    IF(ISLOGICAL(Raw_Data!L819), Raw_Data!L819,
        IF(OR(UPPER(Raw_Data!L819)="TRUE", UPPER(Raw_Data!L819)="YES", UPPER(Raw_Data!L819)="1"), TRUE,
            IF(OR(UPPER(Raw_Data!L819)="FALSE", UPPER(Raw_Data!L819)="NO", UPPER(Raw_Data!L819)="0"), FALSE, "Review")
        )
    )
)</f>
        <v>1</v>
      </c>
    </row>
    <row r="820" spans="1:13" x14ac:dyDescent="0.4">
      <c r="A820" s="2" t="str">
        <f>IFERROR(TRIM(Raw_Data!A820), "Review")</f>
        <v>EMP1818</v>
      </c>
      <c r="B820" s="2" t="str">
        <f>IFERROR(TRIM(Raw_Data!B820), "Review")</f>
        <v>Alice</v>
      </c>
      <c r="C820" s="2" t="str">
        <f>IFERROR(TRIM(Raw_Data!C820), "Review")</f>
        <v>Brown</v>
      </c>
      <c r="D820" s="2">
        <f>IF(Raw_Data!D820="", "", IFERROR(VALUE(Raw_Data!D820), ""))</f>
        <v>30</v>
      </c>
      <c r="E820" s="2" t="str">
        <f>IFERROR(LEFT(Raw_Data!E820,SEARCH("-",Raw_Data!E820)-1),"Review")</f>
        <v>DevOps</v>
      </c>
      <c r="F820" s="2" t="str">
        <f>IFERROR(_xlfn.TEXTAFTER(Raw_Data!E820,"-"),"Review")</f>
        <v>New York</v>
      </c>
      <c r="G820" s="2" t="str">
        <f>IFERROR(TRIM(Raw_Data!F820), "Review")</f>
        <v>Inactive</v>
      </c>
      <c r="H820" s="3" t="str">
        <f>IFERROR(TEXT(Raw_Data!G820, "YYYY-MM-DD"),"Review")</f>
        <v>2022-12-24</v>
      </c>
      <c r="I820" s="4">
        <f>IF(Raw_Data!H820="", "", IFERROR(VALUE(Raw_Data!H820), ""))</f>
        <v>70405.23</v>
      </c>
      <c r="J820" s="2" t="str">
        <f>IF(Raw_Data!I820="", "", IF(ISNUMBER(FIND("@", Raw_Data!I820)), Raw_Data!I820, "Review"))</f>
        <v>alice.brown@example.com</v>
      </c>
      <c r="K820" s="5" t="str">
        <f>IFERROR(TEXT(ABS(Raw_Data!J820), "0"), "Review")</f>
        <v>8065625903</v>
      </c>
      <c r="L820" s="2" t="str">
        <f>IFERROR(TRIM(Raw_Data!K820), "Review")</f>
        <v>Poor</v>
      </c>
      <c r="M820" s="2" t="b">
        <f>IF(Raw_Data!L820="", "",
    IF(ISLOGICAL(Raw_Data!L820), Raw_Data!L820,
        IF(OR(UPPER(Raw_Data!L820)="TRUE", UPPER(Raw_Data!L820)="YES", UPPER(Raw_Data!L820)="1"), TRUE,
            IF(OR(UPPER(Raw_Data!L820)="FALSE", UPPER(Raw_Data!L820)="NO", UPPER(Raw_Data!L820)="0"), FALSE, "Review")
        )
    )
)</f>
        <v>1</v>
      </c>
    </row>
    <row r="821" spans="1:13" x14ac:dyDescent="0.4">
      <c r="A821" s="2" t="str">
        <f>IFERROR(TRIM(Raw_Data!A821), "Review")</f>
        <v>EMP1819</v>
      </c>
      <c r="B821" s="2" t="str">
        <f>IFERROR(TRIM(Raw_Data!B821), "Review")</f>
        <v>Heidi</v>
      </c>
      <c r="C821" s="2" t="str">
        <f>IFERROR(TRIM(Raw_Data!C821), "Review")</f>
        <v>Smith</v>
      </c>
      <c r="D821" s="2">
        <f>IF(Raw_Data!D821="", "", IFERROR(VALUE(Raw_Data!D821), ""))</f>
        <v>30</v>
      </c>
      <c r="E821" s="2" t="str">
        <f>IFERROR(LEFT(Raw_Data!E821,SEARCH("-",Raw_Data!E821)-1),"Review")</f>
        <v>Admin</v>
      </c>
      <c r="F821" s="2" t="str">
        <f>IFERROR(_xlfn.TEXTAFTER(Raw_Data!E821,"-"),"Review")</f>
        <v>Nevada</v>
      </c>
      <c r="G821" s="2" t="str">
        <f>IFERROR(TRIM(Raw_Data!F821), "Review")</f>
        <v>Inactive</v>
      </c>
      <c r="H821" s="3" t="str">
        <f>IFERROR(TEXT(Raw_Data!G821, "YYYY-MM-DD"),"Review")</f>
        <v>2021-09-05</v>
      </c>
      <c r="I821" s="4">
        <f>IF(Raw_Data!H821="", "", IFERROR(VALUE(Raw_Data!H821), ""))</f>
        <v>89919.35</v>
      </c>
      <c r="J821" s="2" t="str">
        <f>IF(Raw_Data!I821="", "", IF(ISNUMBER(FIND("@", Raw_Data!I821)), Raw_Data!I821, "Review"))</f>
        <v>heidi.smith@example.com</v>
      </c>
      <c r="K821" s="5" t="str">
        <f>IFERROR(TEXT(ABS(Raw_Data!J821), "0"), "Review")</f>
        <v>5990802710</v>
      </c>
      <c r="L821" s="2" t="str">
        <f>IFERROR(TRIM(Raw_Data!K821), "Review")</f>
        <v>Excellent</v>
      </c>
      <c r="M821" s="2" t="b">
        <f>IF(Raw_Data!L821="", "",
    IF(ISLOGICAL(Raw_Data!L821), Raw_Data!L821,
        IF(OR(UPPER(Raw_Data!L821)="TRUE", UPPER(Raw_Data!L821)="YES", UPPER(Raw_Data!L821)="1"), TRUE,
            IF(OR(UPPER(Raw_Data!L821)="FALSE", UPPER(Raw_Data!L821)="NO", UPPER(Raw_Data!L821)="0"), FALSE, "Review")
        )
    )
)</f>
        <v>1</v>
      </c>
    </row>
    <row r="822" spans="1:13" x14ac:dyDescent="0.4">
      <c r="A822" s="2" t="str">
        <f>IFERROR(TRIM(Raw_Data!A822), "Review")</f>
        <v>EMP1820</v>
      </c>
      <c r="B822" s="2" t="str">
        <f>IFERROR(TRIM(Raw_Data!B822), "Review")</f>
        <v>Eva</v>
      </c>
      <c r="C822" s="2" t="str">
        <f>IFERROR(TRIM(Raw_Data!C822), "Review")</f>
        <v>Davis</v>
      </c>
      <c r="D822" s="2">
        <f>IF(Raw_Data!D822="", "", IFERROR(VALUE(Raw_Data!D822), ""))</f>
        <v>40</v>
      </c>
      <c r="E822" s="2" t="str">
        <f>IFERROR(LEFT(Raw_Data!E822,SEARCH("-",Raw_Data!E822)-1),"Review")</f>
        <v>DevOps</v>
      </c>
      <c r="F822" s="2" t="str">
        <f>IFERROR(_xlfn.TEXTAFTER(Raw_Data!E822,"-"),"Review")</f>
        <v>California</v>
      </c>
      <c r="G822" s="2" t="str">
        <f>IFERROR(TRIM(Raw_Data!F822), "Review")</f>
        <v>Active</v>
      </c>
      <c r="H822" s="3" t="str">
        <f>IFERROR(TEXT(Raw_Data!G822, "YYYY-MM-DD"),"Review")</f>
        <v>2023-04-08</v>
      </c>
      <c r="I822" s="4">
        <f>IF(Raw_Data!H822="", "", IFERROR(VALUE(Raw_Data!H822), ""))</f>
        <v>50568.35</v>
      </c>
      <c r="J822" s="2" t="str">
        <f>IF(Raw_Data!I822="", "", IF(ISNUMBER(FIND("@", Raw_Data!I822)), Raw_Data!I822, "Review"))</f>
        <v>eva.davis@example.com</v>
      </c>
      <c r="K822" s="5" t="str">
        <f>IFERROR(TEXT(ABS(Raw_Data!J822), "0"), "Review")</f>
        <v>2218231554</v>
      </c>
      <c r="L822" s="2" t="str">
        <f>IFERROR(TRIM(Raw_Data!K822), "Review")</f>
        <v>Good</v>
      </c>
      <c r="M822" s="2" t="b">
        <f>IF(Raw_Data!L822="", "",
    IF(ISLOGICAL(Raw_Data!L822), Raw_Data!L822,
        IF(OR(UPPER(Raw_Data!L822)="TRUE", UPPER(Raw_Data!L822)="YES", UPPER(Raw_Data!L822)="1"), TRUE,
            IF(OR(UPPER(Raw_Data!L822)="FALSE", UPPER(Raw_Data!L822)="NO", UPPER(Raw_Data!L822)="0"), FALSE, "Review")
        )
    )
)</f>
        <v>1</v>
      </c>
    </row>
    <row r="823" spans="1:13" x14ac:dyDescent="0.4">
      <c r="A823" s="2" t="str">
        <f>IFERROR(TRIM(Raw_Data!A823), "Review")</f>
        <v>EMP1821</v>
      </c>
      <c r="B823" s="2" t="str">
        <f>IFERROR(TRIM(Raw_Data!B823), "Review")</f>
        <v>Grace</v>
      </c>
      <c r="C823" s="2" t="str">
        <f>IFERROR(TRIM(Raw_Data!C823), "Review")</f>
        <v>Brown</v>
      </c>
      <c r="D823" s="2">
        <f>IF(Raw_Data!D823="", "", IFERROR(VALUE(Raw_Data!D823), ""))</f>
        <v>30</v>
      </c>
      <c r="E823" s="2" t="str">
        <f>IFERROR(LEFT(Raw_Data!E823,SEARCH("-",Raw_Data!E823)-1),"Review")</f>
        <v>HR</v>
      </c>
      <c r="F823" s="2" t="str">
        <f>IFERROR(_xlfn.TEXTAFTER(Raw_Data!E823,"-"),"Review")</f>
        <v>Texas</v>
      </c>
      <c r="G823" s="2" t="str">
        <f>IFERROR(TRIM(Raw_Data!F823), "Review")</f>
        <v>Inactive</v>
      </c>
      <c r="H823" s="3" t="str">
        <f>IFERROR(TEXT(Raw_Data!G823, "YYYY-MM-DD"),"Review")</f>
        <v>2023-01-29</v>
      </c>
      <c r="I823" s="4" t="str">
        <f>IF(Raw_Data!H823="", "", IFERROR(VALUE(Raw_Data!H823), ""))</f>
        <v/>
      </c>
      <c r="J823" s="2" t="str">
        <f>IF(Raw_Data!I823="", "", IF(ISNUMBER(FIND("@", Raw_Data!I823)), Raw_Data!I823, "Review"))</f>
        <v>grace.brown@example.com</v>
      </c>
      <c r="K823" s="5" t="str">
        <f>IFERROR(TEXT(ABS(Raw_Data!J823), "0"), "Review")</f>
        <v>1651768085</v>
      </c>
      <c r="L823" s="2" t="str">
        <f>IFERROR(TRIM(Raw_Data!K823), "Review")</f>
        <v>Good</v>
      </c>
      <c r="M823" s="2" t="b">
        <f>IF(Raw_Data!L823="", "",
    IF(ISLOGICAL(Raw_Data!L823), Raw_Data!L823,
        IF(OR(UPPER(Raw_Data!L823)="TRUE", UPPER(Raw_Data!L823)="YES", UPPER(Raw_Data!L823)="1"), TRUE,
            IF(OR(UPPER(Raw_Data!L823)="FALSE", UPPER(Raw_Data!L823)="NO", UPPER(Raw_Data!L823)="0"), FALSE, "Review")
        )
    )
)</f>
        <v>0</v>
      </c>
    </row>
    <row r="824" spans="1:13" x14ac:dyDescent="0.4">
      <c r="A824" s="2" t="str">
        <f>IFERROR(TRIM(Raw_Data!A824), "Review")</f>
        <v>EMP1822</v>
      </c>
      <c r="B824" s="2" t="str">
        <f>IFERROR(TRIM(Raw_Data!B824), "Review")</f>
        <v>Frank</v>
      </c>
      <c r="C824" s="2" t="str">
        <f>IFERROR(TRIM(Raw_Data!C824), "Review")</f>
        <v>Miller</v>
      </c>
      <c r="D824" s="2">
        <f>IF(Raw_Data!D824="", "", IFERROR(VALUE(Raw_Data!D824), ""))</f>
        <v>25</v>
      </c>
      <c r="E824" s="2" t="str">
        <f>IFERROR(LEFT(Raw_Data!E824,SEARCH("-",Raw_Data!E824)-1),"Review")</f>
        <v>HR</v>
      </c>
      <c r="F824" s="2" t="str">
        <f>IFERROR(_xlfn.TEXTAFTER(Raw_Data!E824,"-"),"Review")</f>
        <v>Texas</v>
      </c>
      <c r="G824" s="2" t="str">
        <f>IFERROR(TRIM(Raw_Data!F824), "Review")</f>
        <v>Active</v>
      </c>
      <c r="H824" s="3" t="str">
        <f>IFERROR(TEXT(Raw_Data!G824, "YYYY-MM-DD"),"Review")</f>
        <v>2022-06-03</v>
      </c>
      <c r="I824" s="4">
        <f>IF(Raw_Data!H824="", "", IFERROR(VALUE(Raw_Data!H824), ""))</f>
        <v>99155.53</v>
      </c>
      <c r="J824" s="2" t="str">
        <f>IF(Raw_Data!I824="", "", IF(ISNUMBER(FIND("@", Raw_Data!I824)), Raw_Data!I824, "Review"))</f>
        <v>frank.miller@example.com</v>
      </c>
      <c r="K824" s="5" t="str">
        <f>IFERROR(TEXT(ABS(Raw_Data!J824), "0"), "Review")</f>
        <v>6281372142</v>
      </c>
      <c r="L824" s="2" t="str">
        <f>IFERROR(TRIM(Raw_Data!K824), "Review")</f>
        <v>Poor</v>
      </c>
      <c r="M824" s="2" t="b">
        <f>IF(Raw_Data!L824="", "",
    IF(ISLOGICAL(Raw_Data!L824), Raw_Data!L824,
        IF(OR(UPPER(Raw_Data!L824)="TRUE", UPPER(Raw_Data!L824)="YES", UPPER(Raw_Data!L824)="1"), TRUE,
            IF(OR(UPPER(Raw_Data!L824)="FALSE", UPPER(Raw_Data!L824)="NO", UPPER(Raw_Data!L824)="0"), FALSE, "Review")
        )
    )
)</f>
        <v>1</v>
      </c>
    </row>
    <row r="825" spans="1:13" x14ac:dyDescent="0.4">
      <c r="A825" s="2" t="str">
        <f>IFERROR(TRIM(Raw_Data!A825), "Review")</f>
        <v>EMP1823</v>
      </c>
      <c r="B825" s="2" t="str">
        <f>IFERROR(TRIM(Raw_Data!B825), "Review")</f>
        <v>Frank</v>
      </c>
      <c r="C825" s="2" t="str">
        <f>IFERROR(TRIM(Raw_Data!C825), "Review")</f>
        <v>Davis</v>
      </c>
      <c r="D825" s="2">
        <f>IF(Raw_Data!D825="", "", IFERROR(VALUE(Raw_Data!D825), ""))</f>
        <v>40</v>
      </c>
      <c r="E825" s="2" t="str">
        <f>IFERROR(LEFT(Raw_Data!E825,SEARCH("-",Raw_Data!E825)-1),"Review")</f>
        <v>Finance</v>
      </c>
      <c r="F825" s="2" t="str">
        <f>IFERROR(_xlfn.TEXTAFTER(Raw_Data!E825,"-"),"Review")</f>
        <v>Florida</v>
      </c>
      <c r="G825" s="2" t="str">
        <f>IFERROR(TRIM(Raw_Data!F825), "Review")</f>
        <v>Inactive</v>
      </c>
      <c r="H825" s="3" t="str">
        <f>IFERROR(TEXT(Raw_Data!G825, "YYYY-MM-DD"),"Review")</f>
        <v>2023-01-21</v>
      </c>
      <c r="I825" s="4">
        <f>IF(Raw_Data!H825="", "", IFERROR(VALUE(Raw_Data!H825), ""))</f>
        <v>64785.13</v>
      </c>
      <c r="J825" s="2" t="str">
        <f>IF(Raw_Data!I825="", "", IF(ISNUMBER(FIND("@", Raw_Data!I825)), Raw_Data!I825, "Review"))</f>
        <v>frank.davis@example.com</v>
      </c>
      <c r="K825" s="5" t="str">
        <f>IFERROR(TEXT(ABS(Raw_Data!J825), "0"), "Review")</f>
        <v>3080037002</v>
      </c>
      <c r="L825" s="2" t="str">
        <f>IFERROR(TRIM(Raw_Data!K825), "Review")</f>
        <v>Average</v>
      </c>
      <c r="M825" s="2" t="b">
        <f>IF(Raw_Data!L825="", "",
    IF(ISLOGICAL(Raw_Data!L825), Raw_Data!L825,
        IF(OR(UPPER(Raw_Data!L825)="TRUE", UPPER(Raw_Data!L825)="YES", UPPER(Raw_Data!L825)="1"), TRUE,
            IF(OR(UPPER(Raw_Data!L825)="FALSE", UPPER(Raw_Data!L825)="NO", UPPER(Raw_Data!L825)="0"), FALSE, "Review")
        )
    )
)</f>
        <v>1</v>
      </c>
    </row>
    <row r="826" spans="1:13" x14ac:dyDescent="0.4">
      <c r="A826" s="2" t="str">
        <f>IFERROR(TRIM(Raw_Data!A826), "Review")</f>
        <v>EMP1824</v>
      </c>
      <c r="B826" s="2" t="str">
        <f>IFERROR(TRIM(Raw_Data!B826), "Review")</f>
        <v>Charlie</v>
      </c>
      <c r="C826" s="2" t="str">
        <f>IFERROR(TRIM(Raw_Data!C826), "Review")</f>
        <v>Garcia</v>
      </c>
      <c r="D826" s="2">
        <f>IF(Raw_Data!D826="", "", IFERROR(VALUE(Raw_Data!D826), ""))</f>
        <v>30</v>
      </c>
      <c r="E826" s="2" t="str">
        <f>IFERROR(LEFT(Raw_Data!E826,SEARCH("-",Raw_Data!E826)-1),"Review")</f>
        <v>Sales</v>
      </c>
      <c r="F826" s="2" t="str">
        <f>IFERROR(_xlfn.TEXTAFTER(Raw_Data!E826,"-"),"Review")</f>
        <v>Florida</v>
      </c>
      <c r="G826" s="2" t="str">
        <f>IFERROR(TRIM(Raw_Data!F826), "Review")</f>
        <v>Inactive</v>
      </c>
      <c r="H826" s="3" t="str">
        <f>IFERROR(TEXT(Raw_Data!G826, "YYYY-MM-DD"),"Review")</f>
        <v>2024-09-16</v>
      </c>
      <c r="I826" s="4">
        <f>IF(Raw_Data!H826="", "", IFERROR(VALUE(Raw_Data!H826), ""))</f>
        <v>79206.48</v>
      </c>
      <c r="J826" s="2" t="str">
        <f>IF(Raw_Data!I826="", "", IF(ISNUMBER(FIND("@", Raw_Data!I826)), Raw_Data!I826, "Review"))</f>
        <v>charlie.garcia@example.com</v>
      </c>
      <c r="K826" s="5" t="str">
        <f>IFERROR(TEXT(ABS(Raw_Data!J826), "0"), "Review")</f>
        <v>3228556607</v>
      </c>
      <c r="L826" s="2" t="str">
        <f>IFERROR(TRIM(Raw_Data!K826), "Review")</f>
        <v>Good</v>
      </c>
      <c r="M826" s="2" t="b">
        <f>IF(Raw_Data!L826="", "",
    IF(ISLOGICAL(Raw_Data!L826), Raw_Data!L826,
        IF(OR(UPPER(Raw_Data!L826)="TRUE", UPPER(Raw_Data!L826)="YES", UPPER(Raw_Data!L826)="1"), TRUE,
            IF(OR(UPPER(Raw_Data!L826)="FALSE", UPPER(Raw_Data!L826)="NO", UPPER(Raw_Data!L826)="0"), FALSE, "Review")
        )
    )
)</f>
        <v>0</v>
      </c>
    </row>
    <row r="827" spans="1:13" x14ac:dyDescent="0.4">
      <c r="A827" s="2" t="str">
        <f>IFERROR(TRIM(Raw_Data!A827), "Review")</f>
        <v>EMP1825</v>
      </c>
      <c r="B827" s="2" t="str">
        <f>IFERROR(TRIM(Raw_Data!B827), "Review")</f>
        <v>Charlie</v>
      </c>
      <c r="C827" s="2" t="str">
        <f>IFERROR(TRIM(Raw_Data!C827), "Review")</f>
        <v>Brown</v>
      </c>
      <c r="D827" s="2">
        <f>IF(Raw_Data!D827="", "", IFERROR(VALUE(Raw_Data!D827), ""))</f>
        <v>30</v>
      </c>
      <c r="E827" s="2" t="str">
        <f>IFERROR(LEFT(Raw_Data!E827,SEARCH("-",Raw_Data!E827)-1),"Review")</f>
        <v>Cloud Tech</v>
      </c>
      <c r="F827" s="2" t="str">
        <f>IFERROR(_xlfn.TEXTAFTER(Raw_Data!E827,"-"),"Review")</f>
        <v>Texas</v>
      </c>
      <c r="G827" s="2" t="str">
        <f>IFERROR(TRIM(Raw_Data!F827), "Review")</f>
        <v>Pending</v>
      </c>
      <c r="H827" s="3" t="str">
        <f>IFERROR(TEXT(Raw_Data!G827, "YYYY-MM-DD"),"Review")</f>
        <v>2020-02-02</v>
      </c>
      <c r="I827" s="4">
        <f>IF(Raw_Data!H827="", "", IFERROR(VALUE(Raw_Data!H827), ""))</f>
        <v>60079.71</v>
      </c>
      <c r="J827" s="2" t="str">
        <f>IF(Raw_Data!I827="", "", IF(ISNUMBER(FIND("@", Raw_Data!I827)), Raw_Data!I827, "Review"))</f>
        <v>charlie.brown@example.com</v>
      </c>
      <c r="K827" s="5" t="str">
        <f>IFERROR(TEXT(ABS(Raw_Data!J827), "0"), "Review")</f>
        <v>4706810389</v>
      </c>
      <c r="L827" s="2" t="str">
        <f>IFERROR(TRIM(Raw_Data!K827), "Review")</f>
        <v>Average</v>
      </c>
      <c r="M827" s="2" t="b">
        <f>IF(Raw_Data!L827="", "",
    IF(ISLOGICAL(Raw_Data!L827), Raw_Data!L827,
        IF(OR(UPPER(Raw_Data!L827)="TRUE", UPPER(Raw_Data!L827)="YES", UPPER(Raw_Data!L827)="1"), TRUE,
            IF(OR(UPPER(Raw_Data!L827)="FALSE", UPPER(Raw_Data!L827)="NO", UPPER(Raw_Data!L827)="0"), FALSE, "Review")
        )
    )
)</f>
        <v>1</v>
      </c>
    </row>
    <row r="828" spans="1:13" x14ac:dyDescent="0.4">
      <c r="A828" s="2" t="str">
        <f>IFERROR(TRIM(Raw_Data!A828), "Review")</f>
        <v>EMP1826</v>
      </c>
      <c r="B828" s="2" t="str">
        <f>IFERROR(TRIM(Raw_Data!B828), "Review")</f>
        <v>Grace</v>
      </c>
      <c r="C828" s="2" t="str">
        <f>IFERROR(TRIM(Raw_Data!C828), "Review")</f>
        <v>Williams</v>
      </c>
      <c r="D828" s="2">
        <f>IF(Raw_Data!D828="", "", IFERROR(VALUE(Raw_Data!D828), ""))</f>
        <v>30</v>
      </c>
      <c r="E828" s="2" t="str">
        <f>IFERROR(LEFT(Raw_Data!E828,SEARCH("-",Raw_Data!E828)-1),"Review")</f>
        <v>Cloud Tech</v>
      </c>
      <c r="F828" s="2" t="str">
        <f>IFERROR(_xlfn.TEXTAFTER(Raw_Data!E828,"-"),"Review")</f>
        <v>New York</v>
      </c>
      <c r="G828" s="2" t="str">
        <f>IFERROR(TRIM(Raw_Data!F828), "Review")</f>
        <v>Pending</v>
      </c>
      <c r="H828" s="3" t="str">
        <f>IFERROR(TEXT(Raw_Data!G828, "YYYY-MM-DD"),"Review")</f>
        <v>2024-07-08</v>
      </c>
      <c r="I828" s="4">
        <f>IF(Raw_Data!H828="", "", IFERROR(VALUE(Raw_Data!H828), ""))</f>
        <v>79109.88</v>
      </c>
      <c r="J828" s="2" t="str">
        <f>IF(Raw_Data!I828="", "", IF(ISNUMBER(FIND("@", Raw_Data!I828)), Raw_Data!I828, "Review"))</f>
        <v>grace.williams@example.com</v>
      </c>
      <c r="K828" s="5" t="str">
        <f>IFERROR(TEXT(ABS(Raw_Data!J828), "0"), "Review")</f>
        <v>3397051957</v>
      </c>
      <c r="L828" s="2" t="str">
        <f>IFERROR(TRIM(Raw_Data!K828), "Review")</f>
        <v>Poor</v>
      </c>
      <c r="M828" s="2" t="b">
        <f>IF(Raw_Data!L828="", "",
    IF(ISLOGICAL(Raw_Data!L828), Raw_Data!L828,
        IF(OR(UPPER(Raw_Data!L828)="TRUE", UPPER(Raw_Data!L828)="YES", UPPER(Raw_Data!L828)="1"), TRUE,
            IF(OR(UPPER(Raw_Data!L828)="FALSE", UPPER(Raw_Data!L828)="NO", UPPER(Raw_Data!L828)="0"), FALSE, "Review")
        )
    )
)</f>
        <v>0</v>
      </c>
    </row>
    <row r="829" spans="1:13" x14ac:dyDescent="0.4">
      <c r="A829" s="2" t="str">
        <f>IFERROR(TRIM(Raw_Data!A829), "Review")</f>
        <v>EMP1827</v>
      </c>
      <c r="B829" s="2" t="str">
        <f>IFERROR(TRIM(Raw_Data!B829), "Review")</f>
        <v>Grace</v>
      </c>
      <c r="C829" s="2" t="str">
        <f>IFERROR(TRIM(Raw_Data!C829), "Review")</f>
        <v>Johnson</v>
      </c>
      <c r="D829" s="2" t="str">
        <f>IF(Raw_Data!D829="", "", IFERROR(VALUE(Raw_Data!D829), ""))</f>
        <v/>
      </c>
      <c r="E829" s="2" t="str">
        <f>IFERROR(LEFT(Raw_Data!E829,SEARCH("-",Raw_Data!E829)-1),"Review")</f>
        <v>Admin</v>
      </c>
      <c r="F829" s="2" t="str">
        <f>IFERROR(_xlfn.TEXTAFTER(Raw_Data!E829,"-"),"Review")</f>
        <v>Florida</v>
      </c>
      <c r="G829" s="2" t="str">
        <f>IFERROR(TRIM(Raw_Data!F829), "Review")</f>
        <v>Pending</v>
      </c>
      <c r="H829" s="3" t="str">
        <f>IFERROR(TEXT(Raw_Data!G829, "YYYY-MM-DD"),"Review")</f>
        <v>2022-05-18</v>
      </c>
      <c r="I829" s="4">
        <f>IF(Raw_Data!H829="", "", IFERROR(VALUE(Raw_Data!H829), ""))</f>
        <v>88643.5</v>
      </c>
      <c r="J829" s="2" t="str">
        <f>IF(Raw_Data!I829="", "", IF(ISNUMBER(FIND("@", Raw_Data!I829)), Raw_Data!I829, "Review"))</f>
        <v>grace.johnson@example.com</v>
      </c>
      <c r="K829" s="5" t="str">
        <f>IFERROR(TEXT(ABS(Raw_Data!J829), "0"), "Review")</f>
        <v>2632809447</v>
      </c>
      <c r="L829" s="2" t="str">
        <f>IFERROR(TRIM(Raw_Data!K829), "Review")</f>
        <v>Poor</v>
      </c>
      <c r="M829" s="2" t="b">
        <f>IF(Raw_Data!L829="", "",
    IF(ISLOGICAL(Raw_Data!L829), Raw_Data!L829,
        IF(OR(UPPER(Raw_Data!L829)="TRUE", UPPER(Raw_Data!L829)="YES", UPPER(Raw_Data!L829)="1"), TRUE,
            IF(OR(UPPER(Raw_Data!L829)="FALSE", UPPER(Raw_Data!L829)="NO", UPPER(Raw_Data!L829)="0"), FALSE, "Review")
        )
    )
)</f>
        <v>0</v>
      </c>
    </row>
    <row r="830" spans="1:13" x14ac:dyDescent="0.4">
      <c r="A830" s="2" t="str">
        <f>IFERROR(TRIM(Raw_Data!A830), "Review")</f>
        <v>EMP1828</v>
      </c>
      <c r="B830" s="2" t="str">
        <f>IFERROR(TRIM(Raw_Data!B830), "Review")</f>
        <v>Frank</v>
      </c>
      <c r="C830" s="2" t="str">
        <f>IFERROR(TRIM(Raw_Data!C830), "Review")</f>
        <v>Davis</v>
      </c>
      <c r="D830" s="2">
        <f>IF(Raw_Data!D830="", "", IFERROR(VALUE(Raw_Data!D830), ""))</f>
        <v>30</v>
      </c>
      <c r="E830" s="2" t="str">
        <f>IFERROR(LEFT(Raw_Data!E830,SEARCH("-",Raw_Data!E830)-1),"Review")</f>
        <v>Admin</v>
      </c>
      <c r="F830" s="2" t="str">
        <f>IFERROR(_xlfn.TEXTAFTER(Raw_Data!E830,"-"),"Review")</f>
        <v>Florida</v>
      </c>
      <c r="G830" s="2" t="str">
        <f>IFERROR(TRIM(Raw_Data!F830), "Review")</f>
        <v>Pending</v>
      </c>
      <c r="H830" s="3" t="str">
        <f>IFERROR(TEXT(Raw_Data!G830, "YYYY-MM-DD"),"Review")</f>
        <v>2020-01-16</v>
      </c>
      <c r="I830" s="4">
        <f>IF(Raw_Data!H830="", "", IFERROR(VALUE(Raw_Data!H830), ""))</f>
        <v>90455.7</v>
      </c>
      <c r="J830" s="2" t="str">
        <f>IF(Raw_Data!I830="", "", IF(ISNUMBER(FIND("@", Raw_Data!I830)), Raw_Data!I830, "Review"))</f>
        <v>frank.davis@example.com</v>
      </c>
      <c r="K830" s="5" t="str">
        <f>IFERROR(TEXT(ABS(Raw_Data!J830), "0"), "Review")</f>
        <v>5862394534</v>
      </c>
      <c r="L830" s="2" t="str">
        <f>IFERROR(TRIM(Raw_Data!K830), "Review")</f>
        <v>Excellent</v>
      </c>
      <c r="M830" s="2" t="b">
        <f>IF(Raw_Data!L830="", "",
    IF(ISLOGICAL(Raw_Data!L830), Raw_Data!L830,
        IF(OR(UPPER(Raw_Data!L830)="TRUE", UPPER(Raw_Data!L830)="YES", UPPER(Raw_Data!L830)="1"), TRUE,
            IF(OR(UPPER(Raw_Data!L830)="FALSE", UPPER(Raw_Data!L830)="NO", UPPER(Raw_Data!L830)="0"), FALSE, "Review")
        )
    )
)</f>
        <v>0</v>
      </c>
    </row>
    <row r="831" spans="1:13" x14ac:dyDescent="0.4">
      <c r="A831" s="2" t="str">
        <f>IFERROR(TRIM(Raw_Data!A831), "Review")</f>
        <v>EMP1829</v>
      </c>
      <c r="B831" s="2" t="str">
        <f>IFERROR(TRIM(Raw_Data!B831), "Review")</f>
        <v>David</v>
      </c>
      <c r="C831" s="2" t="str">
        <f>IFERROR(TRIM(Raw_Data!C831), "Review")</f>
        <v>Garcia</v>
      </c>
      <c r="D831" s="2" t="str">
        <f>IF(Raw_Data!D831="", "", IFERROR(VALUE(Raw_Data!D831), ""))</f>
        <v/>
      </c>
      <c r="E831" s="2" t="str">
        <f>IFERROR(LEFT(Raw_Data!E831,SEARCH("-",Raw_Data!E831)-1),"Review")</f>
        <v>HR</v>
      </c>
      <c r="F831" s="2" t="str">
        <f>IFERROR(_xlfn.TEXTAFTER(Raw_Data!E831,"-"),"Review")</f>
        <v>Florida</v>
      </c>
      <c r="G831" s="2" t="str">
        <f>IFERROR(TRIM(Raw_Data!F831), "Review")</f>
        <v>Pending</v>
      </c>
      <c r="H831" s="3" t="str">
        <f>IFERROR(TEXT(Raw_Data!G831, "YYYY-MM-DD"),"Review")</f>
        <v>2023-03-26</v>
      </c>
      <c r="I831" s="4">
        <f>IF(Raw_Data!H831="", "", IFERROR(VALUE(Raw_Data!H831), ""))</f>
        <v>75687.899999999994</v>
      </c>
      <c r="J831" s="2" t="str">
        <f>IF(Raw_Data!I831="", "", IF(ISNUMBER(FIND("@", Raw_Data!I831)), Raw_Data!I831, "Review"))</f>
        <v>david.garcia@example.com</v>
      </c>
      <c r="K831" s="5" t="str">
        <f>IFERROR(TEXT(ABS(Raw_Data!J831), "0"), "Review")</f>
        <v>4614707985</v>
      </c>
      <c r="L831" s="2" t="str">
        <f>IFERROR(TRIM(Raw_Data!K831), "Review")</f>
        <v>Good</v>
      </c>
      <c r="M831" s="2" t="b">
        <f>IF(Raw_Data!L831="", "",
    IF(ISLOGICAL(Raw_Data!L831), Raw_Data!L831,
        IF(OR(UPPER(Raw_Data!L831)="TRUE", UPPER(Raw_Data!L831)="YES", UPPER(Raw_Data!L831)="1"), TRUE,
            IF(OR(UPPER(Raw_Data!L831)="FALSE", UPPER(Raw_Data!L831)="NO", UPPER(Raw_Data!L831)="0"), FALSE, "Review")
        )
    )
)</f>
        <v>1</v>
      </c>
    </row>
    <row r="832" spans="1:13" x14ac:dyDescent="0.4">
      <c r="A832" s="2" t="str">
        <f>IFERROR(TRIM(Raw_Data!A832), "Review")</f>
        <v>EMP1830</v>
      </c>
      <c r="B832" s="2" t="str">
        <f>IFERROR(TRIM(Raw_Data!B832), "Review")</f>
        <v>Heidi</v>
      </c>
      <c r="C832" s="2" t="str">
        <f>IFERROR(TRIM(Raw_Data!C832), "Review")</f>
        <v>Jones</v>
      </c>
      <c r="D832" s="2">
        <f>IF(Raw_Data!D832="", "", IFERROR(VALUE(Raw_Data!D832), ""))</f>
        <v>35</v>
      </c>
      <c r="E832" s="2" t="str">
        <f>IFERROR(LEFT(Raw_Data!E832,SEARCH("-",Raw_Data!E832)-1),"Review")</f>
        <v>Cloud Tech</v>
      </c>
      <c r="F832" s="2" t="str">
        <f>IFERROR(_xlfn.TEXTAFTER(Raw_Data!E832,"-"),"Review")</f>
        <v>Illinois</v>
      </c>
      <c r="G832" s="2" t="str">
        <f>IFERROR(TRIM(Raw_Data!F832), "Review")</f>
        <v>Inactive</v>
      </c>
      <c r="H832" s="3" t="str">
        <f>IFERROR(TEXT(Raw_Data!G832, "YYYY-MM-DD"),"Review")</f>
        <v>2023-11-15</v>
      </c>
      <c r="I832" s="4">
        <f>IF(Raw_Data!H832="", "", IFERROR(VALUE(Raw_Data!H832), ""))</f>
        <v>55604.42</v>
      </c>
      <c r="J832" s="2" t="str">
        <f>IF(Raw_Data!I832="", "", IF(ISNUMBER(FIND("@", Raw_Data!I832)), Raw_Data!I832, "Review"))</f>
        <v>heidi.jones@example.com</v>
      </c>
      <c r="K832" s="5" t="str">
        <f>IFERROR(TEXT(ABS(Raw_Data!J832), "0"), "Review")</f>
        <v>3210613393</v>
      </c>
      <c r="L832" s="2" t="str">
        <f>IFERROR(TRIM(Raw_Data!K832), "Review")</f>
        <v>Average</v>
      </c>
      <c r="M832" s="2" t="b">
        <f>IF(Raw_Data!L832="", "",
    IF(ISLOGICAL(Raw_Data!L832), Raw_Data!L832,
        IF(OR(UPPER(Raw_Data!L832)="TRUE", UPPER(Raw_Data!L832)="YES", UPPER(Raw_Data!L832)="1"), TRUE,
            IF(OR(UPPER(Raw_Data!L832)="FALSE", UPPER(Raw_Data!L832)="NO", UPPER(Raw_Data!L832)="0"), FALSE, "Review")
        )
    )
)</f>
        <v>0</v>
      </c>
    </row>
    <row r="833" spans="1:13" x14ac:dyDescent="0.4">
      <c r="A833" s="2" t="str">
        <f>IFERROR(TRIM(Raw_Data!A833), "Review")</f>
        <v>EMP1831</v>
      </c>
      <c r="B833" s="2" t="str">
        <f>IFERROR(TRIM(Raw_Data!B833), "Review")</f>
        <v>Eva</v>
      </c>
      <c r="C833" s="2" t="str">
        <f>IFERROR(TRIM(Raw_Data!C833), "Review")</f>
        <v>Jones</v>
      </c>
      <c r="D833" s="2">
        <f>IF(Raw_Data!D833="", "", IFERROR(VALUE(Raw_Data!D833), ""))</f>
        <v>40</v>
      </c>
      <c r="E833" s="2" t="str">
        <f>IFERROR(LEFT(Raw_Data!E833,SEARCH("-",Raw_Data!E833)-1),"Review")</f>
        <v>Sales</v>
      </c>
      <c r="F833" s="2" t="str">
        <f>IFERROR(_xlfn.TEXTAFTER(Raw_Data!E833,"-"),"Review")</f>
        <v>Texas</v>
      </c>
      <c r="G833" s="2" t="str">
        <f>IFERROR(TRIM(Raw_Data!F833), "Review")</f>
        <v>Pending</v>
      </c>
      <c r="H833" s="3" t="str">
        <f>IFERROR(TEXT(Raw_Data!G833, "YYYY-MM-DD"),"Review")</f>
        <v>2024-12-27</v>
      </c>
      <c r="I833" s="4">
        <f>IF(Raw_Data!H833="", "", IFERROR(VALUE(Raw_Data!H833), ""))</f>
        <v>92704.94</v>
      </c>
      <c r="J833" s="2" t="str">
        <f>IF(Raw_Data!I833="", "", IF(ISNUMBER(FIND("@", Raw_Data!I833)), Raw_Data!I833, "Review"))</f>
        <v>eva.jones@example.com</v>
      </c>
      <c r="K833" s="5" t="str">
        <f>IFERROR(TEXT(ABS(Raw_Data!J833), "0"), "Review")</f>
        <v>3945703942</v>
      </c>
      <c r="L833" s="2" t="str">
        <f>IFERROR(TRIM(Raw_Data!K833), "Review")</f>
        <v>Excellent</v>
      </c>
      <c r="M833" s="2" t="b">
        <f>IF(Raw_Data!L833="", "",
    IF(ISLOGICAL(Raw_Data!L833), Raw_Data!L833,
        IF(OR(UPPER(Raw_Data!L833)="TRUE", UPPER(Raw_Data!L833)="YES", UPPER(Raw_Data!L833)="1"), TRUE,
            IF(OR(UPPER(Raw_Data!L833)="FALSE", UPPER(Raw_Data!L833)="NO", UPPER(Raw_Data!L833)="0"), FALSE, "Review")
        )
    )
)</f>
        <v>0</v>
      </c>
    </row>
    <row r="834" spans="1:13" x14ac:dyDescent="0.4">
      <c r="A834" s="2" t="str">
        <f>IFERROR(TRIM(Raw_Data!A834), "Review")</f>
        <v>EMP1832</v>
      </c>
      <c r="B834" s="2" t="str">
        <f>IFERROR(TRIM(Raw_Data!B834), "Review")</f>
        <v>Bob</v>
      </c>
      <c r="C834" s="2" t="str">
        <f>IFERROR(TRIM(Raw_Data!C834), "Review")</f>
        <v>Williams</v>
      </c>
      <c r="D834" s="2" t="str">
        <f>IF(Raw_Data!D834="", "", IFERROR(VALUE(Raw_Data!D834), ""))</f>
        <v/>
      </c>
      <c r="E834" s="2" t="str">
        <f>IFERROR(LEFT(Raw_Data!E834,SEARCH("-",Raw_Data!E834)-1),"Review")</f>
        <v>Sales</v>
      </c>
      <c r="F834" s="2" t="str">
        <f>IFERROR(_xlfn.TEXTAFTER(Raw_Data!E834,"-"),"Review")</f>
        <v>California</v>
      </c>
      <c r="G834" s="2" t="str">
        <f>IFERROR(TRIM(Raw_Data!F834), "Review")</f>
        <v>Pending</v>
      </c>
      <c r="H834" s="3" t="str">
        <f>IFERROR(TEXT(Raw_Data!G834, "YYYY-MM-DD"),"Review")</f>
        <v>2020-04-18</v>
      </c>
      <c r="I834" s="4">
        <f>IF(Raw_Data!H834="", "", IFERROR(VALUE(Raw_Data!H834), ""))</f>
        <v>113250.97</v>
      </c>
      <c r="J834" s="2" t="str">
        <f>IF(Raw_Data!I834="", "", IF(ISNUMBER(FIND("@", Raw_Data!I834)), Raw_Data!I834, "Review"))</f>
        <v>bob.williams@example.com</v>
      </c>
      <c r="K834" s="5" t="str">
        <f>IFERROR(TEXT(ABS(Raw_Data!J834), "0"), "Review")</f>
        <v>8040325375</v>
      </c>
      <c r="L834" s="2" t="str">
        <f>IFERROR(TRIM(Raw_Data!K834), "Review")</f>
        <v>Good</v>
      </c>
      <c r="M834" s="2" t="b">
        <f>IF(Raw_Data!L834="", "",
    IF(ISLOGICAL(Raw_Data!L834), Raw_Data!L834,
        IF(OR(UPPER(Raw_Data!L834)="TRUE", UPPER(Raw_Data!L834)="YES", UPPER(Raw_Data!L834)="1"), TRUE,
            IF(OR(UPPER(Raw_Data!L834)="FALSE", UPPER(Raw_Data!L834)="NO", UPPER(Raw_Data!L834)="0"), FALSE, "Review")
        )
    )
)</f>
        <v>1</v>
      </c>
    </row>
    <row r="835" spans="1:13" x14ac:dyDescent="0.4">
      <c r="A835" s="2" t="str">
        <f>IFERROR(TRIM(Raw_Data!A835), "Review")</f>
        <v>EMP1833</v>
      </c>
      <c r="B835" s="2" t="str">
        <f>IFERROR(TRIM(Raw_Data!B835), "Review")</f>
        <v>Alice</v>
      </c>
      <c r="C835" s="2" t="str">
        <f>IFERROR(TRIM(Raw_Data!C835), "Review")</f>
        <v>Brown</v>
      </c>
      <c r="D835" s="2">
        <f>IF(Raw_Data!D835="", "", IFERROR(VALUE(Raw_Data!D835), ""))</f>
        <v>40</v>
      </c>
      <c r="E835" s="2" t="str">
        <f>IFERROR(LEFT(Raw_Data!E835,SEARCH("-",Raw_Data!E835)-1),"Review")</f>
        <v>Finance</v>
      </c>
      <c r="F835" s="2" t="str">
        <f>IFERROR(_xlfn.TEXTAFTER(Raw_Data!E835,"-"),"Review")</f>
        <v>Illinois</v>
      </c>
      <c r="G835" s="2" t="str">
        <f>IFERROR(TRIM(Raw_Data!F835), "Review")</f>
        <v>Inactive</v>
      </c>
      <c r="H835" s="3" t="str">
        <f>IFERROR(TEXT(Raw_Data!G835, "YYYY-MM-DD"),"Review")</f>
        <v>2023-03-21</v>
      </c>
      <c r="I835" s="4">
        <f>IF(Raw_Data!H835="", "", IFERROR(VALUE(Raw_Data!H835), ""))</f>
        <v>101367.02</v>
      </c>
      <c r="J835" s="2" t="str">
        <f>IF(Raw_Data!I835="", "", IF(ISNUMBER(FIND("@", Raw_Data!I835)), Raw_Data!I835, "Review"))</f>
        <v>alice.brown@example.com</v>
      </c>
      <c r="K835" s="5" t="str">
        <f>IFERROR(TEXT(ABS(Raw_Data!J835), "0"), "Review")</f>
        <v>5769277893</v>
      </c>
      <c r="L835" s="2" t="str">
        <f>IFERROR(TRIM(Raw_Data!K835), "Review")</f>
        <v>Excellent</v>
      </c>
      <c r="M835" s="2" t="b">
        <f>IF(Raw_Data!L835="", "",
    IF(ISLOGICAL(Raw_Data!L835), Raw_Data!L835,
        IF(OR(UPPER(Raw_Data!L835)="TRUE", UPPER(Raw_Data!L835)="YES", UPPER(Raw_Data!L835)="1"), TRUE,
            IF(OR(UPPER(Raw_Data!L835)="FALSE", UPPER(Raw_Data!L835)="NO", UPPER(Raw_Data!L835)="0"), FALSE, "Review")
        )
    )
)</f>
        <v>0</v>
      </c>
    </row>
    <row r="836" spans="1:13" x14ac:dyDescent="0.4">
      <c r="A836" s="2" t="str">
        <f>IFERROR(TRIM(Raw_Data!A836), "Review")</f>
        <v>EMP1834</v>
      </c>
      <c r="B836" s="2" t="str">
        <f>IFERROR(TRIM(Raw_Data!B836), "Review")</f>
        <v>Eva</v>
      </c>
      <c r="C836" s="2" t="str">
        <f>IFERROR(TRIM(Raw_Data!C836), "Review")</f>
        <v>Smith</v>
      </c>
      <c r="D836" s="2">
        <f>IF(Raw_Data!D836="", "", IFERROR(VALUE(Raw_Data!D836), ""))</f>
        <v>35</v>
      </c>
      <c r="E836" s="2" t="str">
        <f>IFERROR(LEFT(Raw_Data!E836,SEARCH("-",Raw_Data!E836)-1),"Review")</f>
        <v>Admin</v>
      </c>
      <c r="F836" s="2" t="str">
        <f>IFERROR(_xlfn.TEXTAFTER(Raw_Data!E836,"-"),"Review")</f>
        <v>Texas</v>
      </c>
      <c r="G836" s="2" t="str">
        <f>IFERROR(TRIM(Raw_Data!F836), "Review")</f>
        <v>Pending</v>
      </c>
      <c r="H836" s="3" t="str">
        <f>IFERROR(TEXT(Raw_Data!G836, "YYYY-MM-DD"),"Review")</f>
        <v>2023-05-08</v>
      </c>
      <c r="I836" s="4">
        <f>IF(Raw_Data!H836="", "", IFERROR(VALUE(Raw_Data!H836), ""))</f>
        <v>102459.77</v>
      </c>
      <c r="J836" s="2" t="str">
        <f>IF(Raw_Data!I836="", "", IF(ISNUMBER(FIND("@", Raw_Data!I836)), Raw_Data!I836, "Review"))</f>
        <v>eva.smith@example.com</v>
      </c>
      <c r="K836" s="5" t="str">
        <f>IFERROR(TEXT(ABS(Raw_Data!J836), "0"), "Review")</f>
        <v>3191009003</v>
      </c>
      <c r="L836" s="2" t="str">
        <f>IFERROR(TRIM(Raw_Data!K836), "Review")</f>
        <v>Poor</v>
      </c>
      <c r="M836" s="2" t="b">
        <f>IF(Raw_Data!L836="", "",
    IF(ISLOGICAL(Raw_Data!L836), Raw_Data!L836,
        IF(OR(UPPER(Raw_Data!L836)="TRUE", UPPER(Raw_Data!L836)="YES", UPPER(Raw_Data!L836)="1"), TRUE,
            IF(OR(UPPER(Raw_Data!L836)="FALSE", UPPER(Raw_Data!L836)="NO", UPPER(Raw_Data!L836)="0"), FALSE, "Review")
        )
    )
)</f>
        <v>0</v>
      </c>
    </row>
    <row r="837" spans="1:13" x14ac:dyDescent="0.4">
      <c r="A837" s="2" t="str">
        <f>IFERROR(TRIM(Raw_Data!A837), "Review")</f>
        <v>EMP1835</v>
      </c>
      <c r="B837" s="2" t="str">
        <f>IFERROR(TRIM(Raw_Data!B837), "Review")</f>
        <v>Eva</v>
      </c>
      <c r="C837" s="2" t="str">
        <f>IFERROR(TRIM(Raw_Data!C837), "Review")</f>
        <v>Brown</v>
      </c>
      <c r="D837" s="2">
        <f>IF(Raw_Data!D837="", "", IFERROR(VALUE(Raw_Data!D837), ""))</f>
        <v>25</v>
      </c>
      <c r="E837" s="2" t="str">
        <f>IFERROR(LEFT(Raw_Data!E837,SEARCH("-",Raw_Data!E837)-1),"Review")</f>
        <v>DevOps</v>
      </c>
      <c r="F837" s="2" t="str">
        <f>IFERROR(_xlfn.TEXTAFTER(Raw_Data!E837,"-"),"Review")</f>
        <v>Florida</v>
      </c>
      <c r="G837" s="2" t="str">
        <f>IFERROR(TRIM(Raw_Data!F837), "Review")</f>
        <v>Pending</v>
      </c>
      <c r="H837" s="3" t="str">
        <f>IFERROR(TEXT(Raw_Data!G837, "YYYY-MM-DD"),"Review")</f>
        <v>2020-12-12</v>
      </c>
      <c r="I837" s="4">
        <f>IF(Raw_Data!H837="", "", IFERROR(VALUE(Raw_Data!H837), ""))</f>
        <v>90100.2</v>
      </c>
      <c r="J837" s="2" t="str">
        <f>IF(Raw_Data!I837="", "", IF(ISNUMBER(FIND("@", Raw_Data!I837)), Raw_Data!I837, "Review"))</f>
        <v>eva.brown@example.com</v>
      </c>
      <c r="K837" s="5" t="str">
        <f>IFERROR(TEXT(ABS(Raw_Data!J837), "0"), "Review")</f>
        <v>476921052</v>
      </c>
      <c r="L837" s="2" t="str">
        <f>IFERROR(TRIM(Raw_Data!K837), "Review")</f>
        <v>Good</v>
      </c>
      <c r="M837" s="2" t="b">
        <f>IF(Raw_Data!L837="", "",
    IF(ISLOGICAL(Raw_Data!L837), Raw_Data!L837,
        IF(OR(UPPER(Raw_Data!L837)="TRUE", UPPER(Raw_Data!L837)="YES", UPPER(Raw_Data!L837)="1"), TRUE,
            IF(OR(UPPER(Raw_Data!L837)="FALSE", UPPER(Raw_Data!L837)="NO", UPPER(Raw_Data!L837)="0"), FALSE, "Review")
        )
    )
)</f>
        <v>0</v>
      </c>
    </row>
    <row r="838" spans="1:13" x14ac:dyDescent="0.4">
      <c r="A838" s="2" t="str">
        <f>IFERROR(TRIM(Raw_Data!A838), "Review")</f>
        <v>EMP1836</v>
      </c>
      <c r="B838" s="2" t="str">
        <f>IFERROR(TRIM(Raw_Data!B838), "Review")</f>
        <v>Eva</v>
      </c>
      <c r="C838" s="2" t="str">
        <f>IFERROR(TRIM(Raw_Data!C838), "Review")</f>
        <v>Williams</v>
      </c>
      <c r="D838" s="2" t="str">
        <f>IF(Raw_Data!D838="", "", IFERROR(VALUE(Raw_Data!D838), ""))</f>
        <v/>
      </c>
      <c r="E838" s="2" t="str">
        <f>IFERROR(LEFT(Raw_Data!E838,SEARCH("-",Raw_Data!E838)-1),"Review")</f>
        <v>Cloud Tech</v>
      </c>
      <c r="F838" s="2" t="str">
        <f>IFERROR(_xlfn.TEXTAFTER(Raw_Data!E838,"-"),"Review")</f>
        <v>California</v>
      </c>
      <c r="G838" s="2" t="str">
        <f>IFERROR(TRIM(Raw_Data!F838), "Review")</f>
        <v>Inactive</v>
      </c>
      <c r="H838" s="3" t="str">
        <f>IFERROR(TEXT(Raw_Data!G838, "YYYY-MM-DD"),"Review")</f>
        <v>2020-06-17</v>
      </c>
      <c r="I838" s="4">
        <f>IF(Raw_Data!H838="", "", IFERROR(VALUE(Raw_Data!H838), ""))</f>
        <v>58877.49</v>
      </c>
      <c r="J838" s="2" t="str">
        <f>IF(Raw_Data!I838="", "", IF(ISNUMBER(FIND("@", Raw_Data!I838)), Raw_Data!I838, "Review"))</f>
        <v>eva.williams@example.com</v>
      </c>
      <c r="K838" s="5" t="str">
        <f>IFERROR(TEXT(ABS(Raw_Data!J838), "0"), "Review")</f>
        <v>3651460400</v>
      </c>
      <c r="L838" s="2" t="str">
        <f>IFERROR(TRIM(Raw_Data!K838), "Review")</f>
        <v>Excellent</v>
      </c>
      <c r="M838" s="2" t="b">
        <f>IF(Raw_Data!L838="", "",
    IF(ISLOGICAL(Raw_Data!L838), Raw_Data!L838,
        IF(OR(UPPER(Raw_Data!L838)="TRUE", UPPER(Raw_Data!L838)="YES", UPPER(Raw_Data!L838)="1"), TRUE,
            IF(OR(UPPER(Raw_Data!L838)="FALSE", UPPER(Raw_Data!L838)="NO", UPPER(Raw_Data!L838)="0"), FALSE, "Review")
        )
    )
)</f>
        <v>0</v>
      </c>
    </row>
    <row r="839" spans="1:13" x14ac:dyDescent="0.4">
      <c r="A839" s="2" t="str">
        <f>IFERROR(TRIM(Raw_Data!A839), "Review")</f>
        <v>EMP1837</v>
      </c>
      <c r="B839" s="2" t="str">
        <f>IFERROR(TRIM(Raw_Data!B839), "Review")</f>
        <v>Eva</v>
      </c>
      <c r="C839" s="2" t="str">
        <f>IFERROR(TRIM(Raw_Data!C839), "Review")</f>
        <v>Jones</v>
      </c>
      <c r="D839" s="2">
        <f>IF(Raw_Data!D839="", "", IFERROR(VALUE(Raw_Data!D839), ""))</f>
        <v>35</v>
      </c>
      <c r="E839" s="2" t="str">
        <f>IFERROR(LEFT(Raw_Data!E839,SEARCH("-",Raw_Data!E839)-1),"Review")</f>
        <v>Admin</v>
      </c>
      <c r="F839" s="2" t="str">
        <f>IFERROR(_xlfn.TEXTAFTER(Raw_Data!E839,"-"),"Review")</f>
        <v>Illinois</v>
      </c>
      <c r="G839" s="2" t="str">
        <f>IFERROR(TRIM(Raw_Data!F839), "Review")</f>
        <v>Inactive</v>
      </c>
      <c r="H839" s="3" t="str">
        <f>IFERROR(TEXT(Raw_Data!G839, "YYYY-MM-DD"),"Review")</f>
        <v>2021-07-17</v>
      </c>
      <c r="I839" s="4" t="str">
        <f>IF(Raw_Data!H839="", "", IFERROR(VALUE(Raw_Data!H839), ""))</f>
        <v/>
      </c>
      <c r="J839" s="2" t="str">
        <f>IF(Raw_Data!I839="", "", IF(ISNUMBER(FIND("@", Raw_Data!I839)), Raw_Data!I839, "Review"))</f>
        <v>eva.jones@example.com</v>
      </c>
      <c r="K839" s="5" t="str">
        <f>IFERROR(TEXT(ABS(Raw_Data!J839), "0"), "Review")</f>
        <v>4247310719</v>
      </c>
      <c r="L839" s="2" t="str">
        <f>IFERROR(TRIM(Raw_Data!K839), "Review")</f>
        <v>Excellent</v>
      </c>
      <c r="M839" s="2" t="b">
        <f>IF(Raw_Data!L839="", "",
    IF(ISLOGICAL(Raw_Data!L839), Raw_Data!L839,
        IF(OR(UPPER(Raw_Data!L839)="TRUE", UPPER(Raw_Data!L839)="YES", UPPER(Raw_Data!L839)="1"), TRUE,
            IF(OR(UPPER(Raw_Data!L839)="FALSE", UPPER(Raw_Data!L839)="NO", UPPER(Raw_Data!L839)="0"), FALSE, "Review")
        )
    )
)</f>
        <v>0</v>
      </c>
    </row>
    <row r="840" spans="1:13" x14ac:dyDescent="0.4">
      <c r="A840" s="2" t="str">
        <f>IFERROR(TRIM(Raw_Data!A840), "Review")</f>
        <v>EMP1838</v>
      </c>
      <c r="B840" s="2" t="str">
        <f>IFERROR(TRIM(Raw_Data!B840), "Review")</f>
        <v>Bob</v>
      </c>
      <c r="C840" s="2" t="str">
        <f>IFERROR(TRIM(Raw_Data!C840), "Review")</f>
        <v>Brown</v>
      </c>
      <c r="D840" s="2" t="str">
        <f>IF(Raw_Data!D840="", "", IFERROR(VALUE(Raw_Data!D840), ""))</f>
        <v/>
      </c>
      <c r="E840" s="2" t="str">
        <f>IFERROR(LEFT(Raw_Data!E840,SEARCH("-",Raw_Data!E840)-1),"Review")</f>
        <v>Admin</v>
      </c>
      <c r="F840" s="2" t="str">
        <f>IFERROR(_xlfn.TEXTAFTER(Raw_Data!E840,"-"),"Review")</f>
        <v>Illinois</v>
      </c>
      <c r="G840" s="2" t="str">
        <f>IFERROR(TRIM(Raw_Data!F840), "Review")</f>
        <v>Pending</v>
      </c>
      <c r="H840" s="3" t="str">
        <f>IFERROR(TEXT(Raw_Data!G840, "YYYY-MM-DD"),"Review")</f>
        <v>2020-11-05</v>
      </c>
      <c r="I840" s="4">
        <f>IF(Raw_Data!H840="", "", IFERROR(VALUE(Raw_Data!H840), ""))</f>
        <v>96140.89</v>
      </c>
      <c r="J840" s="2" t="str">
        <f>IF(Raw_Data!I840="", "", IF(ISNUMBER(FIND("@", Raw_Data!I840)), Raw_Data!I840, "Review"))</f>
        <v>bob.brown@example.com</v>
      </c>
      <c r="K840" s="5" t="str">
        <f>IFERROR(TEXT(ABS(Raw_Data!J840), "0"), "Review")</f>
        <v>1137984408</v>
      </c>
      <c r="L840" s="2" t="str">
        <f>IFERROR(TRIM(Raw_Data!K840), "Review")</f>
        <v>Average</v>
      </c>
      <c r="M840" s="2" t="b">
        <f>IF(Raw_Data!L840="", "",
    IF(ISLOGICAL(Raw_Data!L840), Raw_Data!L840,
        IF(OR(UPPER(Raw_Data!L840)="TRUE", UPPER(Raw_Data!L840)="YES", UPPER(Raw_Data!L840)="1"), TRUE,
            IF(OR(UPPER(Raw_Data!L840)="FALSE", UPPER(Raw_Data!L840)="NO", UPPER(Raw_Data!L840)="0"), FALSE, "Review")
        )
    )
)</f>
        <v>1</v>
      </c>
    </row>
    <row r="841" spans="1:13" x14ac:dyDescent="0.4">
      <c r="A841" s="2" t="str">
        <f>IFERROR(TRIM(Raw_Data!A841), "Review")</f>
        <v>EMP1839</v>
      </c>
      <c r="B841" s="2" t="str">
        <f>IFERROR(TRIM(Raw_Data!B841), "Review")</f>
        <v>Charlie</v>
      </c>
      <c r="C841" s="2" t="str">
        <f>IFERROR(TRIM(Raw_Data!C841), "Review")</f>
        <v>Jones</v>
      </c>
      <c r="D841" s="2">
        <f>IF(Raw_Data!D841="", "", IFERROR(VALUE(Raw_Data!D841), ""))</f>
        <v>35</v>
      </c>
      <c r="E841" s="2" t="str">
        <f>IFERROR(LEFT(Raw_Data!E841,SEARCH("-",Raw_Data!E841)-1),"Review")</f>
        <v>DevOps</v>
      </c>
      <c r="F841" s="2" t="str">
        <f>IFERROR(_xlfn.TEXTAFTER(Raw_Data!E841,"-"),"Review")</f>
        <v>New York</v>
      </c>
      <c r="G841" s="2" t="str">
        <f>IFERROR(TRIM(Raw_Data!F841), "Review")</f>
        <v>Inactive</v>
      </c>
      <c r="H841" s="3" t="str">
        <f>IFERROR(TEXT(Raw_Data!G841, "YYYY-MM-DD"),"Review")</f>
        <v>2021-01-05</v>
      </c>
      <c r="I841" s="4">
        <f>IF(Raw_Data!H841="", "", IFERROR(VALUE(Raw_Data!H841), ""))</f>
        <v>105956.04</v>
      </c>
      <c r="J841" s="2" t="str">
        <f>IF(Raw_Data!I841="", "", IF(ISNUMBER(FIND("@", Raw_Data!I841)), Raw_Data!I841, "Review"))</f>
        <v>charlie.jones@example.com</v>
      </c>
      <c r="K841" s="5" t="str">
        <f>IFERROR(TEXT(ABS(Raw_Data!J841), "0"), "Review")</f>
        <v>7123166006</v>
      </c>
      <c r="L841" s="2" t="str">
        <f>IFERROR(TRIM(Raw_Data!K841), "Review")</f>
        <v>Excellent</v>
      </c>
      <c r="M841" s="2" t="b">
        <f>IF(Raw_Data!L841="", "",
    IF(ISLOGICAL(Raw_Data!L841), Raw_Data!L841,
        IF(OR(UPPER(Raw_Data!L841)="TRUE", UPPER(Raw_Data!L841)="YES", UPPER(Raw_Data!L841)="1"), TRUE,
            IF(OR(UPPER(Raw_Data!L841)="FALSE", UPPER(Raw_Data!L841)="NO", UPPER(Raw_Data!L841)="0"), FALSE, "Review")
        )
    )
)</f>
        <v>0</v>
      </c>
    </row>
    <row r="842" spans="1:13" x14ac:dyDescent="0.4">
      <c r="A842" s="2" t="str">
        <f>IFERROR(TRIM(Raw_Data!A842), "Review")</f>
        <v>EMP1840</v>
      </c>
      <c r="B842" s="2" t="str">
        <f>IFERROR(TRIM(Raw_Data!B842), "Review")</f>
        <v>Frank</v>
      </c>
      <c r="C842" s="2" t="str">
        <f>IFERROR(TRIM(Raw_Data!C842), "Review")</f>
        <v>Davis</v>
      </c>
      <c r="D842" s="2">
        <f>IF(Raw_Data!D842="", "", IFERROR(VALUE(Raw_Data!D842), ""))</f>
        <v>25</v>
      </c>
      <c r="E842" s="2" t="str">
        <f>IFERROR(LEFT(Raw_Data!E842,SEARCH("-",Raw_Data!E842)-1),"Review")</f>
        <v>Admin</v>
      </c>
      <c r="F842" s="2" t="str">
        <f>IFERROR(_xlfn.TEXTAFTER(Raw_Data!E842,"-"),"Review")</f>
        <v>Illinois</v>
      </c>
      <c r="G842" s="2" t="str">
        <f>IFERROR(TRIM(Raw_Data!F842), "Review")</f>
        <v>Active</v>
      </c>
      <c r="H842" s="3" t="str">
        <f>IFERROR(TEXT(Raw_Data!G842, "YYYY-MM-DD"),"Review")</f>
        <v>2024-09-11</v>
      </c>
      <c r="I842" s="4">
        <f>IF(Raw_Data!H842="", "", IFERROR(VALUE(Raw_Data!H842), ""))</f>
        <v>84716.38</v>
      </c>
      <c r="J842" s="2" t="str">
        <f>IF(Raw_Data!I842="", "", IF(ISNUMBER(FIND("@", Raw_Data!I842)), Raw_Data!I842, "Review"))</f>
        <v>frank.davis@example.com</v>
      </c>
      <c r="K842" s="5" t="str">
        <f>IFERROR(TEXT(ABS(Raw_Data!J842), "0"), "Review")</f>
        <v>6762090143</v>
      </c>
      <c r="L842" s="2" t="str">
        <f>IFERROR(TRIM(Raw_Data!K842), "Review")</f>
        <v>Good</v>
      </c>
      <c r="M842" s="2" t="b">
        <f>IF(Raw_Data!L842="", "",
    IF(ISLOGICAL(Raw_Data!L842), Raw_Data!L842,
        IF(OR(UPPER(Raw_Data!L842)="TRUE", UPPER(Raw_Data!L842)="YES", UPPER(Raw_Data!L842)="1"), TRUE,
            IF(OR(UPPER(Raw_Data!L842)="FALSE", UPPER(Raw_Data!L842)="NO", UPPER(Raw_Data!L842)="0"), FALSE, "Review")
        )
    )
)</f>
        <v>0</v>
      </c>
    </row>
    <row r="843" spans="1:13" x14ac:dyDescent="0.4">
      <c r="A843" s="2" t="str">
        <f>IFERROR(TRIM(Raw_Data!A843), "Review")</f>
        <v>EMP1841</v>
      </c>
      <c r="B843" s="2" t="str">
        <f>IFERROR(TRIM(Raw_Data!B843), "Review")</f>
        <v>Grace</v>
      </c>
      <c r="C843" s="2" t="str">
        <f>IFERROR(TRIM(Raw_Data!C843), "Review")</f>
        <v>Garcia</v>
      </c>
      <c r="D843" s="2">
        <f>IF(Raw_Data!D843="", "", IFERROR(VALUE(Raw_Data!D843), ""))</f>
        <v>30</v>
      </c>
      <c r="E843" s="2" t="str">
        <f>IFERROR(LEFT(Raw_Data!E843,SEARCH("-",Raw_Data!E843)-1),"Review")</f>
        <v>DevOps</v>
      </c>
      <c r="F843" s="2" t="str">
        <f>IFERROR(_xlfn.TEXTAFTER(Raw_Data!E843,"-"),"Review")</f>
        <v>Florida</v>
      </c>
      <c r="G843" s="2" t="str">
        <f>IFERROR(TRIM(Raw_Data!F843), "Review")</f>
        <v>Pending</v>
      </c>
      <c r="H843" s="3" t="str">
        <f>IFERROR(TEXT(Raw_Data!G843, "YYYY-MM-DD"),"Review")</f>
        <v>2023-07-29</v>
      </c>
      <c r="I843" s="4">
        <f>IF(Raw_Data!H843="", "", IFERROR(VALUE(Raw_Data!H843), ""))</f>
        <v>61709.83</v>
      </c>
      <c r="J843" s="2" t="str">
        <f>IF(Raw_Data!I843="", "", IF(ISNUMBER(FIND("@", Raw_Data!I843)), Raw_Data!I843, "Review"))</f>
        <v>grace.garcia@example.com</v>
      </c>
      <c r="K843" s="5" t="str">
        <f>IFERROR(TEXT(ABS(Raw_Data!J843), "0"), "Review")</f>
        <v>7340433699</v>
      </c>
      <c r="L843" s="2" t="str">
        <f>IFERROR(TRIM(Raw_Data!K843), "Review")</f>
        <v>Good</v>
      </c>
      <c r="M843" s="2" t="b">
        <f>IF(Raw_Data!L843="", "",
    IF(ISLOGICAL(Raw_Data!L843), Raw_Data!L843,
        IF(OR(UPPER(Raw_Data!L843)="TRUE", UPPER(Raw_Data!L843)="YES", UPPER(Raw_Data!L843)="1"), TRUE,
            IF(OR(UPPER(Raw_Data!L843)="FALSE", UPPER(Raw_Data!L843)="NO", UPPER(Raw_Data!L843)="0"), FALSE, "Review")
        )
    )
)</f>
        <v>1</v>
      </c>
    </row>
    <row r="844" spans="1:13" x14ac:dyDescent="0.4">
      <c r="A844" s="2" t="str">
        <f>IFERROR(TRIM(Raw_Data!A844), "Review")</f>
        <v>EMP1842</v>
      </c>
      <c r="B844" s="2" t="str">
        <f>IFERROR(TRIM(Raw_Data!B844), "Review")</f>
        <v>Frank</v>
      </c>
      <c r="C844" s="2" t="str">
        <f>IFERROR(TRIM(Raw_Data!C844), "Review")</f>
        <v>Smith</v>
      </c>
      <c r="D844" s="2">
        <f>IF(Raw_Data!D844="", "", IFERROR(VALUE(Raw_Data!D844), ""))</f>
        <v>25</v>
      </c>
      <c r="E844" s="2" t="str">
        <f>IFERROR(LEFT(Raw_Data!E844,SEARCH("-",Raw_Data!E844)-1),"Review")</f>
        <v>DevOps</v>
      </c>
      <c r="F844" s="2" t="str">
        <f>IFERROR(_xlfn.TEXTAFTER(Raw_Data!E844,"-"),"Review")</f>
        <v>California</v>
      </c>
      <c r="G844" s="2" t="str">
        <f>IFERROR(TRIM(Raw_Data!F844), "Review")</f>
        <v>Active</v>
      </c>
      <c r="H844" s="3" t="str">
        <f>IFERROR(TEXT(Raw_Data!G844, "YYYY-MM-DD"),"Review")</f>
        <v>2020-04-17</v>
      </c>
      <c r="I844" s="4">
        <f>IF(Raw_Data!H844="", "", IFERROR(VALUE(Raw_Data!H844), ""))</f>
        <v>61732.03</v>
      </c>
      <c r="J844" s="2" t="str">
        <f>IF(Raw_Data!I844="", "", IF(ISNUMBER(FIND("@", Raw_Data!I844)), Raw_Data!I844, "Review"))</f>
        <v>frank.smith@example.com</v>
      </c>
      <c r="K844" s="5" t="str">
        <f>IFERROR(TEXT(ABS(Raw_Data!J844), "0"), "Review")</f>
        <v>9687304518</v>
      </c>
      <c r="L844" s="2" t="str">
        <f>IFERROR(TRIM(Raw_Data!K844), "Review")</f>
        <v>Average</v>
      </c>
      <c r="M844" s="2" t="b">
        <f>IF(Raw_Data!L844="", "",
    IF(ISLOGICAL(Raw_Data!L844), Raw_Data!L844,
        IF(OR(UPPER(Raw_Data!L844)="TRUE", UPPER(Raw_Data!L844)="YES", UPPER(Raw_Data!L844)="1"), TRUE,
            IF(OR(UPPER(Raw_Data!L844)="FALSE", UPPER(Raw_Data!L844)="NO", UPPER(Raw_Data!L844)="0"), FALSE, "Review")
        )
    )
)</f>
        <v>1</v>
      </c>
    </row>
    <row r="845" spans="1:13" x14ac:dyDescent="0.4">
      <c r="A845" s="2" t="str">
        <f>IFERROR(TRIM(Raw_Data!A845), "Review")</f>
        <v>EMP1843</v>
      </c>
      <c r="B845" s="2" t="str">
        <f>IFERROR(TRIM(Raw_Data!B845), "Review")</f>
        <v>Eva</v>
      </c>
      <c r="C845" s="2" t="str">
        <f>IFERROR(TRIM(Raw_Data!C845), "Review")</f>
        <v>Davis</v>
      </c>
      <c r="D845" s="2">
        <f>IF(Raw_Data!D845="", "", IFERROR(VALUE(Raw_Data!D845), ""))</f>
        <v>40</v>
      </c>
      <c r="E845" s="2" t="str">
        <f>IFERROR(LEFT(Raw_Data!E845,SEARCH("-",Raw_Data!E845)-1),"Review")</f>
        <v>DevOps</v>
      </c>
      <c r="F845" s="2" t="str">
        <f>IFERROR(_xlfn.TEXTAFTER(Raw_Data!E845,"-"),"Review")</f>
        <v>Illinois</v>
      </c>
      <c r="G845" s="2" t="str">
        <f>IFERROR(TRIM(Raw_Data!F845), "Review")</f>
        <v>Active</v>
      </c>
      <c r="H845" s="3" t="str">
        <f>IFERROR(TEXT(Raw_Data!G845, "YYYY-MM-DD"),"Review")</f>
        <v>2022-02-16</v>
      </c>
      <c r="I845" s="4">
        <f>IF(Raw_Data!H845="", "", IFERROR(VALUE(Raw_Data!H845), ""))</f>
        <v>97845.7</v>
      </c>
      <c r="J845" s="2" t="str">
        <f>IF(Raw_Data!I845="", "", IF(ISNUMBER(FIND("@", Raw_Data!I845)), Raw_Data!I845, "Review"))</f>
        <v>eva.davis@example.com</v>
      </c>
      <c r="K845" s="5" t="str">
        <f>IFERROR(TEXT(ABS(Raw_Data!J845), "0"), "Review")</f>
        <v>5778255881</v>
      </c>
      <c r="L845" s="2" t="str">
        <f>IFERROR(TRIM(Raw_Data!K845), "Review")</f>
        <v>Good</v>
      </c>
      <c r="M845" s="2" t="b">
        <f>IF(Raw_Data!L845="", "",
    IF(ISLOGICAL(Raw_Data!L845), Raw_Data!L845,
        IF(OR(UPPER(Raw_Data!L845)="TRUE", UPPER(Raw_Data!L845)="YES", UPPER(Raw_Data!L845)="1"), TRUE,
            IF(OR(UPPER(Raw_Data!L845)="FALSE", UPPER(Raw_Data!L845)="NO", UPPER(Raw_Data!L845)="0"), FALSE, "Review")
        )
    )
)</f>
        <v>1</v>
      </c>
    </row>
    <row r="846" spans="1:13" x14ac:dyDescent="0.4">
      <c r="A846" s="2" t="str">
        <f>IFERROR(TRIM(Raw_Data!A846), "Review")</f>
        <v>EMP1844</v>
      </c>
      <c r="B846" s="2" t="str">
        <f>IFERROR(TRIM(Raw_Data!B846), "Review")</f>
        <v>Eva</v>
      </c>
      <c r="C846" s="2" t="str">
        <f>IFERROR(TRIM(Raw_Data!C846), "Review")</f>
        <v>Jones</v>
      </c>
      <c r="D846" s="2">
        <f>IF(Raw_Data!D846="", "", IFERROR(VALUE(Raw_Data!D846), ""))</f>
        <v>30</v>
      </c>
      <c r="E846" s="2" t="str">
        <f>IFERROR(LEFT(Raw_Data!E846,SEARCH("-",Raw_Data!E846)-1),"Review")</f>
        <v>Sales</v>
      </c>
      <c r="F846" s="2" t="str">
        <f>IFERROR(_xlfn.TEXTAFTER(Raw_Data!E846,"-"),"Review")</f>
        <v>Florida</v>
      </c>
      <c r="G846" s="2" t="str">
        <f>IFERROR(TRIM(Raw_Data!F846), "Review")</f>
        <v>Active</v>
      </c>
      <c r="H846" s="3" t="str">
        <f>IFERROR(TEXT(Raw_Data!G846, "YYYY-MM-DD"),"Review")</f>
        <v>2021-08-14</v>
      </c>
      <c r="I846" s="4">
        <f>IF(Raw_Data!H846="", "", IFERROR(VALUE(Raw_Data!H846), ""))</f>
        <v>114905.58</v>
      </c>
      <c r="J846" s="2" t="str">
        <f>IF(Raw_Data!I846="", "", IF(ISNUMBER(FIND("@", Raw_Data!I846)), Raw_Data!I846, "Review"))</f>
        <v>eva.jones@example.com</v>
      </c>
      <c r="K846" s="5" t="str">
        <f>IFERROR(TEXT(ABS(Raw_Data!J846), "0"), "Review")</f>
        <v>5562965753</v>
      </c>
      <c r="L846" s="2" t="str">
        <f>IFERROR(TRIM(Raw_Data!K846), "Review")</f>
        <v>Poor</v>
      </c>
      <c r="M846" s="2" t="b">
        <f>IF(Raw_Data!L846="", "",
    IF(ISLOGICAL(Raw_Data!L846), Raw_Data!L846,
        IF(OR(UPPER(Raw_Data!L846)="TRUE", UPPER(Raw_Data!L846)="YES", UPPER(Raw_Data!L846)="1"), TRUE,
            IF(OR(UPPER(Raw_Data!L846)="FALSE", UPPER(Raw_Data!L846)="NO", UPPER(Raw_Data!L846)="0"), FALSE, "Review")
        )
    )
)</f>
        <v>0</v>
      </c>
    </row>
    <row r="847" spans="1:13" x14ac:dyDescent="0.4">
      <c r="A847" s="2" t="str">
        <f>IFERROR(TRIM(Raw_Data!A847), "Review")</f>
        <v>EMP1845</v>
      </c>
      <c r="B847" s="2" t="str">
        <f>IFERROR(TRIM(Raw_Data!B847), "Review")</f>
        <v>Frank</v>
      </c>
      <c r="C847" s="2" t="str">
        <f>IFERROR(TRIM(Raw_Data!C847), "Review")</f>
        <v>Jones</v>
      </c>
      <c r="D847" s="2" t="str">
        <f>IF(Raw_Data!D847="", "", IFERROR(VALUE(Raw_Data!D847), ""))</f>
        <v/>
      </c>
      <c r="E847" s="2" t="str">
        <f>IFERROR(LEFT(Raw_Data!E847,SEARCH("-",Raw_Data!E847)-1),"Review")</f>
        <v>DevOps</v>
      </c>
      <c r="F847" s="2" t="str">
        <f>IFERROR(_xlfn.TEXTAFTER(Raw_Data!E847,"-"),"Review")</f>
        <v>Texas</v>
      </c>
      <c r="G847" s="2" t="str">
        <f>IFERROR(TRIM(Raw_Data!F847), "Review")</f>
        <v>Active</v>
      </c>
      <c r="H847" s="3" t="str">
        <f>IFERROR(TEXT(Raw_Data!G847, "YYYY-MM-DD"),"Review")</f>
        <v>2022-12-24</v>
      </c>
      <c r="I847" s="4">
        <f>IF(Raw_Data!H847="", "", IFERROR(VALUE(Raw_Data!H847), ""))</f>
        <v>94619.69</v>
      </c>
      <c r="J847" s="2" t="str">
        <f>IF(Raw_Data!I847="", "", IF(ISNUMBER(FIND("@", Raw_Data!I847)), Raw_Data!I847, "Review"))</f>
        <v>frank.jones@example.com</v>
      </c>
      <c r="K847" s="5" t="str">
        <f>IFERROR(TEXT(ABS(Raw_Data!J847), "0"), "Review")</f>
        <v>2786561941</v>
      </c>
      <c r="L847" s="2" t="str">
        <f>IFERROR(TRIM(Raw_Data!K847), "Review")</f>
        <v>Good</v>
      </c>
      <c r="M847" s="2" t="b">
        <f>IF(Raw_Data!L847="", "",
    IF(ISLOGICAL(Raw_Data!L847), Raw_Data!L847,
        IF(OR(UPPER(Raw_Data!L847)="TRUE", UPPER(Raw_Data!L847)="YES", UPPER(Raw_Data!L847)="1"), TRUE,
            IF(OR(UPPER(Raw_Data!L847)="FALSE", UPPER(Raw_Data!L847)="NO", UPPER(Raw_Data!L847)="0"), FALSE, "Review")
        )
    )
)</f>
        <v>1</v>
      </c>
    </row>
    <row r="848" spans="1:13" x14ac:dyDescent="0.4">
      <c r="A848" s="2" t="str">
        <f>IFERROR(TRIM(Raw_Data!A848), "Review")</f>
        <v>EMP1846</v>
      </c>
      <c r="B848" s="2" t="str">
        <f>IFERROR(TRIM(Raw_Data!B848), "Review")</f>
        <v>Grace</v>
      </c>
      <c r="C848" s="2" t="str">
        <f>IFERROR(TRIM(Raw_Data!C848), "Review")</f>
        <v>Johnson</v>
      </c>
      <c r="D848" s="2" t="str">
        <f>IF(Raw_Data!D848="", "", IFERROR(VALUE(Raw_Data!D848), ""))</f>
        <v/>
      </c>
      <c r="E848" s="2" t="str">
        <f>IFERROR(LEFT(Raw_Data!E848,SEARCH("-",Raw_Data!E848)-1),"Review")</f>
        <v>DevOps</v>
      </c>
      <c r="F848" s="2" t="str">
        <f>IFERROR(_xlfn.TEXTAFTER(Raw_Data!E848,"-"),"Review")</f>
        <v>California</v>
      </c>
      <c r="G848" s="2" t="str">
        <f>IFERROR(TRIM(Raw_Data!F848), "Review")</f>
        <v>Inactive</v>
      </c>
      <c r="H848" s="3" t="str">
        <f>IFERROR(TEXT(Raw_Data!G848, "YYYY-MM-DD"),"Review")</f>
        <v>2021-07-07</v>
      </c>
      <c r="I848" s="4">
        <f>IF(Raw_Data!H848="", "", IFERROR(VALUE(Raw_Data!H848), ""))</f>
        <v>68696.149999999994</v>
      </c>
      <c r="J848" s="2" t="str">
        <f>IF(Raw_Data!I848="", "", IF(ISNUMBER(FIND("@", Raw_Data!I848)), Raw_Data!I848, "Review"))</f>
        <v>grace.johnson@example.com</v>
      </c>
      <c r="K848" s="5" t="str">
        <f>IFERROR(TEXT(ABS(Raw_Data!J848), "0"), "Review")</f>
        <v>5577820581</v>
      </c>
      <c r="L848" s="2" t="str">
        <f>IFERROR(TRIM(Raw_Data!K848), "Review")</f>
        <v>Good</v>
      </c>
      <c r="M848" s="2" t="b">
        <f>IF(Raw_Data!L848="", "",
    IF(ISLOGICAL(Raw_Data!L848), Raw_Data!L848,
        IF(OR(UPPER(Raw_Data!L848)="TRUE", UPPER(Raw_Data!L848)="YES", UPPER(Raw_Data!L848)="1"), TRUE,
            IF(OR(UPPER(Raw_Data!L848)="FALSE", UPPER(Raw_Data!L848)="NO", UPPER(Raw_Data!L848)="0"), FALSE, "Review")
        )
    )
)</f>
        <v>0</v>
      </c>
    </row>
    <row r="849" spans="1:13" x14ac:dyDescent="0.4">
      <c r="A849" s="2" t="str">
        <f>IFERROR(TRIM(Raw_Data!A849), "Review")</f>
        <v>EMP1847</v>
      </c>
      <c r="B849" s="2" t="str">
        <f>IFERROR(TRIM(Raw_Data!B849), "Review")</f>
        <v>Grace</v>
      </c>
      <c r="C849" s="2" t="str">
        <f>IFERROR(TRIM(Raw_Data!C849), "Review")</f>
        <v>Johnson</v>
      </c>
      <c r="D849" s="2">
        <f>IF(Raw_Data!D849="", "", IFERROR(VALUE(Raw_Data!D849), ""))</f>
        <v>40</v>
      </c>
      <c r="E849" s="2" t="str">
        <f>IFERROR(LEFT(Raw_Data!E849,SEARCH("-",Raw_Data!E849)-1),"Review")</f>
        <v>DevOps</v>
      </c>
      <c r="F849" s="2" t="str">
        <f>IFERROR(_xlfn.TEXTAFTER(Raw_Data!E849,"-"),"Review")</f>
        <v>Nevada</v>
      </c>
      <c r="G849" s="2" t="str">
        <f>IFERROR(TRIM(Raw_Data!F849), "Review")</f>
        <v>Active</v>
      </c>
      <c r="H849" s="3" t="str">
        <f>IFERROR(TEXT(Raw_Data!G849, "YYYY-MM-DD"),"Review")</f>
        <v>2024-02-12</v>
      </c>
      <c r="I849" s="4">
        <f>IF(Raw_Data!H849="", "", IFERROR(VALUE(Raw_Data!H849), ""))</f>
        <v>97032.29</v>
      </c>
      <c r="J849" s="2" t="str">
        <f>IF(Raw_Data!I849="", "", IF(ISNUMBER(FIND("@", Raw_Data!I849)), Raw_Data!I849, "Review"))</f>
        <v>grace.johnson@example.com</v>
      </c>
      <c r="K849" s="5" t="str">
        <f>IFERROR(TEXT(ABS(Raw_Data!J849), "0"), "Review")</f>
        <v>9582923615</v>
      </c>
      <c r="L849" s="2" t="str">
        <f>IFERROR(TRIM(Raw_Data!K849), "Review")</f>
        <v>Excellent</v>
      </c>
      <c r="M849" s="2" t="b">
        <f>IF(Raw_Data!L849="", "",
    IF(ISLOGICAL(Raw_Data!L849), Raw_Data!L849,
        IF(OR(UPPER(Raw_Data!L849)="TRUE", UPPER(Raw_Data!L849)="YES", UPPER(Raw_Data!L849)="1"), TRUE,
            IF(OR(UPPER(Raw_Data!L849)="FALSE", UPPER(Raw_Data!L849)="NO", UPPER(Raw_Data!L849)="0"), FALSE, "Review")
        )
    )
)</f>
        <v>0</v>
      </c>
    </row>
    <row r="850" spans="1:13" x14ac:dyDescent="0.4">
      <c r="A850" s="2" t="str">
        <f>IFERROR(TRIM(Raw_Data!A850), "Review")</f>
        <v>EMP1848</v>
      </c>
      <c r="B850" s="2" t="str">
        <f>IFERROR(TRIM(Raw_Data!B850), "Review")</f>
        <v>Frank</v>
      </c>
      <c r="C850" s="2" t="str">
        <f>IFERROR(TRIM(Raw_Data!C850), "Review")</f>
        <v>Davis</v>
      </c>
      <c r="D850" s="2">
        <f>IF(Raw_Data!D850="", "", IFERROR(VALUE(Raw_Data!D850), ""))</f>
        <v>30</v>
      </c>
      <c r="E850" s="2" t="str">
        <f>IFERROR(LEFT(Raw_Data!E850,SEARCH("-",Raw_Data!E850)-1),"Review")</f>
        <v>HR</v>
      </c>
      <c r="F850" s="2" t="str">
        <f>IFERROR(_xlfn.TEXTAFTER(Raw_Data!E850,"-"),"Review")</f>
        <v>Illinois</v>
      </c>
      <c r="G850" s="2" t="str">
        <f>IFERROR(TRIM(Raw_Data!F850), "Review")</f>
        <v>Active</v>
      </c>
      <c r="H850" s="3" t="str">
        <f>IFERROR(TEXT(Raw_Data!G850, "YYYY-MM-DD"),"Review")</f>
        <v>2023-10-09</v>
      </c>
      <c r="I850" s="4">
        <f>IF(Raw_Data!H850="", "", IFERROR(VALUE(Raw_Data!H850), ""))</f>
        <v>50593.33</v>
      </c>
      <c r="J850" s="2" t="str">
        <f>IF(Raw_Data!I850="", "", IF(ISNUMBER(FIND("@", Raw_Data!I850)), Raw_Data!I850, "Review"))</f>
        <v>frank.davis@example.com</v>
      </c>
      <c r="K850" s="5" t="str">
        <f>IFERROR(TEXT(ABS(Raw_Data!J850), "0"), "Review")</f>
        <v>1880819047</v>
      </c>
      <c r="L850" s="2" t="str">
        <f>IFERROR(TRIM(Raw_Data!K850), "Review")</f>
        <v>Excellent</v>
      </c>
      <c r="M850" s="2" t="b">
        <f>IF(Raw_Data!L850="", "",
    IF(ISLOGICAL(Raw_Data!L850), Raw_Data!L850,
        IF(OR(UPPER(Raw_Data!L850)="TRUE", UPPER(Raw_Data!L850)="YES", UPPER(Raw_Data!L850)="1"), TRUE,
            IF(OR(UPPER(Raw_Data!L850)="FALSE", UPPER(Raw_Data!L850)="NO", UPPER(Raw_Data!L850)="0"), FALSE, "Review")
        )
    )
)</f>
        <v>1</v>
      </c>
    </row>
    <row r="851" spans="1:13" x14ac:dyDescent="0.4">
      <c r="A851" s="2" t="str">
        <f>IFERROR(TRIM(Raw_Data!A851), "Review")</f>
        <v>EMP1849</v>
      </c>
      <c r="B851" s="2" t="str">
        <f>IFERROR(TRIM(Raw_Data!B851), "Review")</f>
        <v>Grace</v>
      </c>
      <c r="C851" s="2" t="str">
        <f>IFERROR(TRIM(Raw_Data!C851), "Review")</f>
        <v>Miller</v>
      </c>
      <c r="D851" s="2">
        <f>IF(Raw_Data!D851="", "", IFERROR(VALUE(Raw_Data!D851), ""))</f>
        <v>25</v>
      </c>
      <c r="E851" s="2" t="str">
        <f>IFERROR(LEFT(Raw_Data!E851,SEARCH("-",Raw_Data!E851)-1),"Review")</f>
        <v>Sales</v>
      </c>
      <c r="F851" s="2" t="str">
        <f>IFERROR(_xlfn.TEXTAFTER(Raw_Data!E851,"-"),"Review")</f>
        <v>Texas</v>
      </c>
      <c r="G851" s="2" t="str">
        <f>IFERROR(TRIM(Raw_Data!F851), "Review")</f>
        <v>Pending</v>
      </c>
      <c r="H851" s="3" t="str">
        <f>IFERROR(TEXT(Raw_Data!G851, "YYYY-MM-DD"),"Review")</f>
        <v>2022-07-02</v>
      </c>
      <c r="I851" s="4">
        <f>IF(Raw_Data!H851="", "", IFERROR(VALUE(Raw_Data!H851), ""))</f>
        <v>74606.149999999994</v>
      </c>
      <c r="J851" s="2" t="str">
        <f>IF(Raw_Data!I851="", "", IF(ISNUMBER(FIND("@", Raw_Data!I851)), Raw_Data!I851, "Review"))</f>
        <v>grace.miller@example.com</v>
      </c>
      <c r="K851" s="5" t="str">
        <f>IFERROR(TEXT(ABS(Raw_Data!J851), "0"), "Review")</f>
        <v>2357155867</v>
      </c>
      <c r="L851" s="2" t="str">
        <f>IFERROR(TRIM(Raw_Data!K851), "Review")</f>
        <v>Good</v>
      </c>
      <c r="M851" s="2" t="b">
        <f>IF(Raw_Data!L851="", "",
    IF(ISLOGICAL(Raw_Data!L851), Raw_Data!L851,
        IF(OR(UPPER(Raw_Data!L851)="TRUE", UPPER(Raw_Data!L851)="YES", UPPER(Raw_Data!L851)="1"), TRUE,
            IF(OR(UPPER(Raw_Data!L851)="FALSE", UPPER(Raw_Data!L851)="NO", UPPER(Raw_Data!L851)="0"), FALSE, "Review")
        )
    )
)</f>
        <v>1</v>
      </c>
    </row>
    <row r="852" spans="1:13" x14ac:dyDescent="0.4">
      <c r="A852" s="2" t="str">
        <f>IFERROR(TRIM(Raw_Data!A852), "Review")</f>
        <v>EMP1850</v>
      </c>
      <c r="B852" s="2" t="str">
        <f>IFERROR(TRIM(Raw_Data!B852), "Review")</f>
        <v>Eva</v>
      </c>
      <c r="C852" s="2" t="str">
        <f>IFERROR(TRIM(Raw_Data!C852), "Review")</f>
        <v>Davis</v>
      </c>
      <c r="D852" s="2">
        <f>IF(Raw_Data!D852="", "", IFERROR(VALUE(Raw_Data!D852), ""))</f>
        <v>30</v>
      </c>
      <c r="E852" s="2" t="str">
        <f>IFERROR(LEFT(Raw_Data!E852,SEARCH("-",Raw_Data!E852)-1),"Review")</f>
        <v>Cloud Tech</v>
      </c>
      <c r="F852" s="2" t="str">
        <f>IFERROR(_xlfn.TEXTAFTER(Raw_Data!E852,"-"),"Review")</f>
        <v>Texas</v>
      </c>
      <c r="G852" s="2" t="str">
        <f>IFERROR(TRIM(Raw_Data!F852), "Review")</f>
        <v>Pending</v>
      </c>
      <c r="H852" s="3" t="str">
        <f>IFERROR(TEXT(Raw_Data!G852, "YYYY-MM-DD"),"Review")</f>
        <v>2020-07-07</v>
      </c>
      <c r="I852" s="4">
        <f>IF(Raw_Data!H852="", "", IFERROR(VALUE(Raw_Data!H852), ""))</f>
        <v>53981.73</v>
      </c>
      <c r="J852" s="2" t="str">
        <f>IF(Raw_Data!I852="", "", IF(ISNUMBER(FIND("@", Raw_Data!I852)), Raw_Data!I852, "Review"))</f>
        <v>eva.davis@example.com</v>
      </c>
      <c r="K852" s="5" t="str">
        <f>IFERROR(TEXT(ABS(Raw_Data!J852), "0"), "Review")</f>
        <v>6395613722</v>
      </c>
      <c r="L852" s="2" t="str">
        <f>IFERROR(TRIM(Raw_Data!K852), "Review")</f>
        <v>Average</v>
      </c>
      <c r="M852" s="2" t="b">
        <f>IF(Raw_Data!L852="", "",
    IF(ISLOGICAL(Raw_Data!L852), Raw_Data!L852,
        IF(OR(UPPER(Raw_Data!L852)="TRUE", UPPER(Raw_Data!L852)="YES", UPPER(Raw_Data!L852)="1"), TRUE,
            IF(OR(UPPER(Raw_Data!L852)="FALSE", UPPER(Raw_Data!L852)="NO", UPPER(Raw_Data!L852)="0"), FALSE, "Review")
        )
    )
)</f>
        <v>0</v>
      </c>
    </row>
    <row r="853" spans="1:13" x14ac:dyDescent="0.4">
      <c r="A853" s="2" t="str">
        <f>IFERROR(TRIM(Raw_Data!A853), "Review")</f>
        <v>EMP1851</v>
      </c>
      <c r="B853" s="2" t="str">
        <f>IFERROR(TRIM(Raw_Data!B853), "Review")</f>
        <v>David</v>
      </c>
      <c r="C853" s="2" t="str">
        <f>IFERROR(TRIM(Raw_Data!C853), "Review")</f>
        <v>Johnson</v>
      </c>
      <c r="D853" s="2" t="str">
        <f>IF(Raw_Data!D853="", "", IFERROR(VALUE(Raw_Data!D853), ""))</f>
        <v/>
      </c>
      <c r="E853" s="2" t="str">
        <f>IFERROR(LEFT(Raw_Data!E853,SEARCH("-",Raw_Data!E853)-1),"Review")</f>
        <v>DevOps</v>
      </c>
      <c r="F853" s="2" t="str">
        <f>IFERROR(_xlfn.TEXTAFTER(Raw_Data!E853,"-"),"Review")</f>
        <v>Texas</v>
      </c>
      <c r="G853" s="2" t="str">
        <f>IFERROR(TRIM(Raw_Data!F853), "Review")</f>
        <v>Pending</v>
      </c>
      <c r="H853" s="3" t="str">
        <f>IFERROR(TEXT(Raw_Data!G853, "YYYY-MM-DD"),"Review")</f>
        <v>2020-09-02</v>
      </c>
      <c r="I853" s="4">
        <f>IF(Raw_Data!H853="", "", IFERROR(VALUE(Raw_Data!H853), ""))</f>
        <v>56047.05</v>
      </c>
      <c r="J853" s="2" t="str">
        <f>IF(Raw_Data!I853="", "", IF(ISNUMBER(FIND("@", Raw_Data!I853)), Raw_Data!I853, "Review"))</f>
        <v>david.johnson@example.com</v>
      </c>
      <c r="K853" s="5" t="str">
        <f>IFERROR(TEXT(ABS(Raw_Data!J853), "0"), "Review")</f>
        <v>817214363</v>
      </c>
      <c r="L853" s="2" t="str">
        <f>IFERROR(TRIM(Raw_Data!K853), "Review")</f>
        <v>Excellent</v>
      </c>
      <c r="M853" s="2" t="b">
        <f>IF(Raw_Data!L853="", "",
    IF(ISLOGICAL(Raw_Data!L853), Raw_Data!L853,
        IF(OR(UPPER(Raw_Data!L853)="TRUE", UPPER(Raw_Data!L853)="YES", UPPER(Raw_Data!L853)="1"), TRUE,
            IF(OR(UPPER(Raw_Data!L853)="FALSE", UPPER(Raw_Data!L853)="NO", UPPER(Raw_Data!L853)="0"), FALSE, "Review")
        )
    )
)</f>
        <v>1</v>
      </c>
    </row>
    <row r="854" spans="1:13" x14ac:dyDescent="0.4">
      <c r="A854" s="2" t="str">
        <f>IFERROR(TRIM(Raw_Data!A854), "Review")</f>
        <v>EMP1852</v>
      </c>
      <c r="B854" s="2" t="str">
        <f>IFERROR(TRIM(Raw_Data!B854), "Review")</f>
        <v>Grace</v>
      </c>
      <c r="C854" s="2" t="str">
        <f>IFERROR(TRIM(Raw_Data!C854), "Review")</f>
        <v>Jones</v>
      </c>
      <c r="D854" s="2" t="str">
        <f>IF(Raw_Data!D854="", "", IFERROR(VALUE(Raw_Data!D854), ""))</f>
        <v/>
      </c>
      <c r="E854" s="2" t="str">
        <f>IFERROR(LEFT(Raw_Data!E854,SEARCH("-",Raw_Data!E854)-1),"Review")</f>
        <v>Admin</v>
      </c>
      <c r="F854" s="2" t="str">
        <f>IFERROR(_xlfn.TEXTAFTER(Raw_Data!E854,"-"),"Review")</f>
        <v>Texas</v>
      </c>
      <c r="G854" s="2" t="str">
        <f>IFERROR(TRIM(Raw_Data!F854), "Review")</f>
        <v>Pending</v>
      </c>
      <c r="H854" s="3" t="str">
        <f>IFERROR(TEXT(Raw_Data!G854, "YYYY-MM-DD"),"Review")</f>
        <v>2021-01-12</v>
      </c>
      <c r="I854" s="4">
        <f>IF(Raw_Data!H854="", "", IFERROR(VALUE(Raw_Data!H854), ""))</f>
        <v>67733.5</v>
      </c>
      <c r="J854" s="2" t="str">
        <f>IF(Raw_Data!I854="", "", IF(ISNUMBER(FIND("@", Raw_Data!I854)), Raw_Data!I854, "Review"))</f>
        <v>grace.jones@example.com</v>
      </c>
      <c r="K854" s="5" t="str">
        <f>IFERROR(TEXT(ABS(Raw_Data!J854), "0"), "Review")</f>
        <v>3813000412</v>
      </c>
      <c r="L854" s="2" t="str">
        <f>IFERROR(TRIM(Raw_Data!K854), "Review")</f>
        <v>Average</v>
      </c>
      <c r="M854" s="2" t="b">
        <f>IF(Raw_Data!L854="", "",
    IF(ISLOGICAL(Raw_Data!L854), Raw_Data!L854,
        IF(OR(UPPER(Raw_Data!L854)="TRUE", UPPER(Raw_Data!L854)="YES", UPPER(Raw_Data!L854)="1"), TRUE,
            IF(OR(UPPER(Raw_Data!L854)="FALSE", UPPER(Raw_Data!L854)="NO", UPPER(Raw_Data!L854)="0"), FALSE, "Review")
        )
    )
)</f>
        <v>0</v>
      </c>
    </row>
    <row r="855" spans="1:13" x14ac:dyDescent="0.4">
      <c r="A855" s="2" t="str">
        <f>IFERROR(TRIM(Raw_Data!A855), "Review")</f>
        <v>EMP1853</v>
      </c>
      <c r="B855" s="2" t="str">
        <f>IFERROR(TRIM(Raw_Data!B855), "Review")</f>
        <v>Bob</v>
      </c>
      <c r="C855" s="2" t="str">
        <f>IFERROR(TRIM(Raw_Data!C855), "Review")</f>
        <v>Williams</v>
      </c>
      <c r="D855" s="2">
        <f>IF(Raw_Data!D855="", "", IFERROR(VALUE(Raw_Data!D855), ""))</f>
        <v>40</v>
      </c>
      <c r="E855" s="2" t="str">
        <f>IFERROR(LEFT(Raw_Data!E855,SEARCH("-",Raw_Data!E855)-1),"Review")</f>
        <v>HR</v>
      </c>
      <c r="F855" s="2" t="str">
        <f>IFERROR(_xlfn.TEXTAFTER(Raw_Data!E855,"-"),"Review")</f>
        <v>Florida</v>
      </c>
      <c r="G855" s="2" t="str">
        <f>IFERROR(TRIM(Raw_Data!F855), "Review")</f>
        <v>Pending</v>
      </c>
      <c r="H855" s="3" t="str">
        <f>IFERROR(TEXT(Raw_Data!G855, "YYYY-MM-DD"),"Review")</f>
        <v>2023-09-29</v>
      </c>
      <c r="I855" s="4">
        <f>IF(Raw_Data!H855="", "", IFERROR(VALUE(Raw_Data!H855), ""))</f>
        <v>103891.64</v>
      </c>
      <c r="J855" s="2" t="str">
        <f>IF(Raw_Data!I855="", "", IF(ISNUMBER(FIND("@", Raw_Data!I855)), Raw_Data!I855, "Review"))</f>
        <v>bob.williams@example.com</v>
      </c>
      <c r="K855" s="5" t="str">
        <f>IFERROR(TEXT(ABS(Raw_Data!J855), "0"), "Review")</f>
        <v>2114716559</v>
      </c>
      <c r="L855" s="2" t="str">
        <f>IFERROR(TRIM(Raw_Data!K855), "Review")</f>
        <v>Good</v>
      </c>
      <c r="M855" s="2" t="b">
        <f>IF(Raw_Data!L855="", "",
    IF(ISLOGICAL(Raw_Data!L855), Raw_Data!L855,
        IF(OR(UPPER(Raw_Data!L855)="TRUE", UPPER(Raw_Data!L855)="YES", UPPER(Raw_Data!L855)="1"), TRUE,
            IF(OR(UPPER(Raw_Data!L855)="FALSE", UPPER(Raw_Data!L855)="NO", UPPER(Raw_Data!L855)="0"), FALSE, "Review")
        )
    )
)</f>
        <v>1</v>
      </c>
    </row>
    <row r="856" spans="1:13" x14ac:dyDescent="0.4">
      <c r="A856" s="2" t="str">
        <f>IFERROR(TRIM(Raw_Data!A856), "Review")</f>
        <v>EMP1854</v>
      </c>
      <c r="B856" s="2" t="str">
        <f>IFERROR(TRIM(Raw_Data!B856), "Review")</f>
        <v>Charlie</v>
      </c>
      <c r="C856" s="2" t="str">
        <f>IFERROR(TRIM(Raw_Data!C856), "Review")</f>
        <v>Davis</v>
      </c>
      <c r="D856" s="2">
        <f>IF(Raw_Data!D856="", "", IFERROR(VALUE(Raw_Data!D856), ""))</f>
        <v>25</v>
      </c>
      <c r="E856" s="2" t="str">
        <f>IFERROR(LEFT(Raw_Data!E856,SEARCH("-",Raw_Data!E856)-1),"Review")</f>
        <v>HR</v>
      </c>
      <c r="F856" s="2" t="str">
        <f>IFERROR(_xlfn.TEXTAFTER(Raw_Data!E856,"-"),"Review")</f>
        <v>Texas</v>
      </c>
      <c r="G856" s="2" t="str">
        <f>IFERROR(TRIM(Raw_Data!F856), "Review")</f>
        <v>Inactive</v>
      </c>
      <c r="H856" s="3" t="str">
        <f>IFERROR(TEXT(Raw_Data!G856, "YYYY-MM-DD"),"Review")</f>
        <v>2022-03-06</v>
      </c>
      <c r="I856" s="4">
        <f>IF(Raw_Data!H856="", "", IFERROR(VALUE(Raw_Data!H856), ""))</f>
        <v>73285.83</v>
      </c>
      <c r="J856" s="2" t="str">
        <f>IF(Raw_Data!I856="", "", IF(ISNUMBER(FIND("@", Raw_Data!I856)), Raw_Data!I856, "Review"))</f>
        <v>charlie.davis@example.com</v>
      </c>
      <c r="K856" s="5" t="str">
        <f>IFERROR(TEXT(ABS(Raw_Data!J856), "0"), "Review")</f>
        <v>9456534698</v>
      </c>
      <c r="L856" s="2" t="str">
        <f>IFERROR(TRIM(Raw_Data!K856), "Review")</f>
        <v>Good</v>
      </c>
      <c r="M856" s="2" t="b">
        <f>IF(Raw_Data!L856="", "",
    IF(ISLOGICAL(Raw_Data!L856), Raw_Data!L856,
        IF(OR(UPPER(Raw_Data!L856)="TRUE", UPPER(Raw_Data!L856)="YES", UPPER(Raw_Data!L856)="1"), TRUE,
            IF(OR(UPPER(Raw_Data!L856)="FALSE", UPPER(Raw_Data!L856)="NO", UPPER(Raw_Data!L856)="0"), FALSE, "Review")
        )
    )
)</f>
        <v>1</v>
      </c>
    </row>
    <row r="857" spans="1:13" x14ac:dyDescent="0.4">
      <c r="A857" s="2" t="str">
        <f>IFERROR(TRIM(Raw_Data!A857), "Review")</f>
        <v>EMP1855</v>
      </c>
      <c r="B857" s="2" t="str">
        <f>IFERROR(TRIM(Raw_Data!B857), "Review")</f>
        <v>Eva</v>
      </c>
      <c r="C857" s="2" t="str">
        <f>IFERROR(TRIM(Raw_Data!C857), "Review")</f>
        <v>Jones</v>
      </c>
      <c r="D857" s="2">
        <f>IF(Raw_Data!D857="", "", IFERROR(VALUE(Raw_Data!D857), ""))</f>
        <v>30</v>
      </c>
      <c r="E857" s="2" t="str">
        <f>IFERROR(LEFT(Raw_Data!E857,SEARCH("-",Raw_Data!E857)-1),"Review")</f>
        <v>Finance</v>
      </c>
      <c r="F857" s="2" t="str">
        <f>IFERROR(_xlfn.TEXTAFTER(Raw_Data!E857,"-"),"Review")</f>
        <v>Texas</v>
      </c>
      <c r="G857" s="2" t="str">
        <f>IFERROR(TRIM(Raw_Data!F857), "Review")</f>
        <v>Inactive</v>
      </c>
      <c r="H857" s="3" t="str">
        <f>IFERROR(TEXT(Raw_Data!G857, "YYYY-MM-DD"),"Review")</f>
        <v>2021-02-14</v>
      </c>
      <c r="I857" s="4">
        <f>IF(Raw_Data!H857="", "", IFERROR(VALUE(Raw_Data!H857), ""))</f>
        <v>92721.13</v>
      </c>
      <c r="J857" s="2" t="str">
        <f>IF(Raw_Data!I857="", "", IF(ISNUMBER(FIND("@", Raw_Data!I857)), Raw_Data!I857, "Review"))</f>
        <v>eva.jones@example.com</v>
      </c>
      <c r="K857" s="5" t="str">
        <f>IFERROR(TEXT(ABS(Raw_Data!J857), "0"), "Review")</f>
        <v>7990707549</v>
      </c>
      <c r="L857" s="2" t="str">
        <f>IFERROR(TRIM(Raw_Data!K857), "Review")</f>
        <v>Poor</v>
      </c>
      <c r="M857" s="2" t="b">
        <f>IF(Raw_Data!L857="", "",
    IF(ISLOGICAL(Raw_Data!L857), Raw_Data!L857,
        IF(OR(UPPER(Raw_Data!L857)="TRUE", UPPER(Raw_Data!L857)="YES", UPPER(Raw_Data!L857)="1"), TRUE,
            IF(OR(UPPER(Raw_Data!L857)="FALSE", UPPER(Raw_Data!L857)="NO", UPPER(Raw_Data!L857)="0"), FALSE, "Review")
        )
    )
)</f>
        <v>1</v>
      </c>
    </row>
    <row r="858" spans="1:13" x14ac:dyDescent="0.4">
      <c r="A858" s="2" t="str">
        <f>IFERROR(TRIM(Raw_Data!A858), "Review")</f>
        <v>EMP1856</v>
      </c>
      <c r="B858" s="2" t="str">
        <f>IFERROR(TRIM(Raw_Data!B858), "Review")</f>
        <v>Heidi</v>
      </c>
      <c r="C858" s="2" t="str">
        <f>IFERROR(TRIM(Raw_Data!C858), "Review")</f>
        <v>Williams</v>
      </c>
      <c r="D858" s="2">
        <f>IF(Raw_Data!D858="", "", IFERROR(VALUE(Raw_Data!D858), ""))</f>
        <v>25</v>
      </c>
      <c r="E858" s="2" t="str">
        <f>IFERROR(LEFT(Raw_Data!E858,SEARCH("-",Raw_Data!E858)-1),"Review")</f>
        <v>Admin</v>
      </c>
      <c r="F858" s="2" t="str">
        <f>IFERROR(_xlfn.TEXTAFTER(Raw_Data!E858,"-"),"Review")</f>
        <v>Illinois</v>
      </c>
      <c r="G858" s="2" t="str">
        <f>IFERROR(TRIM(Raw_Data!F858), "Review")</f>
        <v>Inactive</v>
      </c>
      <c r="H858" s="3" t="str">
        <f>IFERROR(TEXT(Raw_Data!G858, "YYYY-MM-DD"),"Review")</f>
        <v>2021-03-23</v>
      </c>
      <c r="I858" s="4">
        <f>IF(Raw_Data!H858="", "", IFERROR(VALUE(Raw_Data!H858), ""))</f>
        <v>92977.64</v>
      </c>
      <c r="J858" s="2" t="str">
        <f>IF(Raw_Data!I858="", "", IF(ISNUMBER(FIND("@", Raw_Data!I858)), Raw_Data!I858, "Review"))</f>
        <v>heidi.williams@example.com</v>
      </c>
      <c r="K858" s="5" t="str">
        <f>IFERROR(TEXT(ABS(Raw_Data!J858), "0"), "Review")</f>
        <v>4768169956</v>
      </c>
      <c r="L858" s="2" t="str">
        <f>IFERROR(TRIM(Raw_Data!K858), "Review")</f>
        <v>Excellent</v>
      </c>
      <c r="M858" s="2" t="b">
        <f>IF(Raw_Data!L858="", "",
    IF(ISLOGICAL(Raw_Data!L858), Raw_Data!L858,
        IF(OR(UPPER(Raw_Data!L858)="TRUE", UPPER(Raw_Data!L858)="YES", UPPER(Raw_Data!L858)="1"), TRUE,
            IF(OR(UPPER(Raw_Data!L858)="FALSE", UPPER(Raw_Data!L858)="NO", UPPER(Raw_Data!L858)="0"), FALSE, "Review")
        )
    )
)</f>
        <v>0</v>
      </c>
    </row>
    <row r="859" spans="1:13" x14ac:dyDescent="0.4">
      <c r="A859" s="2" t="str">
        <f>IFERROR(TRIM(Raw_Data!A859), "Review")</f>
        <v>EMP1857</v>
      </c>
      <c r="B859" s="2" t="str">
        <f>IFERROR(TRIM(Raw_Data!B859), "Review")</f>
        <v>Heidi</v>
      </c>
      <c r="C859" s="2" t="str">
        <f>IFERROR(TRIM(Raw_Data!C859), "Review")</f>
        <v>Williams</v>
      </c>
      <c r="D859" s="2">
        <f>IF(Raw_Data!D859="", "", IFERROR(VALUE(Raw_Data!D859), ""))</f>
        <v>35</v>
      </c>
      <c r="E859" s="2" t="str">
        <f>IFERROR(LEFT(Raw_Data!E859,SEARCH("-",Raw_Data!E859)-1),"Review")</f>
        <v>Cloud Tech</v>
      </c>
      <c r="F859" s="2" t="str">
        <f>IFERROR(_xlfn.TEXTAFTER(Raw_Data!E859,"-"),"Review")</f>
        <v>Texas</v>
      </c>
      <c r="G859" s="2" t="str">
        <f>IFERROR(TRIM(Raw_Data!F859), "Review")</f>
        <v>Active</v>
      </c>
      <c r="H859" s="3" t="str">
        <f>IFERROR(TEXT(Raw_Data!G859, "YYYY-MM-DD"),"Review")</f>
        <v>2020-05-24</v>
      </c>
      <c r="I859" s="4">
        <f>IF(Raw_Data!H859="", "", IFERROR(VALUE(Raw_Data!H859), ""))</f>
        <v>89994.12</v>
      </c>
      <c r="J859" s="2" t="str">
        <f>IF(Raw_Data!I859="", "", IF(ISNUMBER(FIND("@", Raw_Data!I859)), Raw_Data!I859, "Review"))</f>
        <v>heidi.williams@example.com</v>
      </c>
      <c r="K859" s="5" t="str">
        <f>IFERROR(TEXT(ABS(Raw_Data!J859), "0"), "Review")</f>
        <v>607174810</v>
      </c>
      <c r="L859" s="2" t="str">
        <f>IFERROR(TRIM(Raw_Data!K859), "Review")</f>
        <v>Good</v>
      </c>
      <c r="M859" s="2" t="b">
        <f>IF(Raw_Data!L859="", "",
    IF(ISLOGICAL(Raw_Data!L859), Raw_Data!L859,
        IF(OR(UPPER(Raw_Data!L859)="TRUE", UPPER(Raw_Data!L859)="YES", UPPER(Raw_Data!L859)="1"), TRUE,
            IF(OR(UPPER(Raw_Data!L859)="FALSE", UPPER(Raw_Data!L859)="NO", UPPER(Raw_Data!L859)="0"), FALSE, "Review")
        )
    )
)</f>
        <v>1</v>
      </c>
    </row>
    <row r="860" spans="1:13" x14ac:dyDescent="0.4">
      <c r="A860" s="2" t="str">
        <f>IFERROR(TRIM(Raw_Data!A860), "Review")</f>
        <v>EMP1858</v>
      </c>
      <c r="B860" s="2" t="str">
        <f>IFERROR(TRIM(Raw_Data!B860), "Review")</f>
        <v>Heidi</v>
      </c>
      <c r="C860" s="2" t="str">
        <f>IFERROR(TRIM(Raw_Data!C860), "Review")</f>
        <v>Johnson</v>
      </c>
      <c r="D860" s="2">
        <f>IF(Raw_Data!D860="", "", IFERROR(VALUE(Raw_Data!D860), ""))</f>
        <v>25</v>
      </c>
      <c r="E860" s="2" t="str">
        <f>IFERROR(LEFT(Raw_Data!E860,SEARCH("-",Raw_Data!E860)-1),"Review")</f>
        <v>Finance</v>
      </c>
      <c r="F860" s="2" t="str">
        <f>IFERROR(_xlfn.TEXTAFTER(Raw_Data!E860,"-"),"Review")</f>
        <v>New York</v>
      </c>
      <c r="G860" s="2" t="str">
        <f>IFERROR(TRIM(Raw_Data!F860), "Review")</f>
        <v>Pending</v>
      </c>
      <c r="H860" s="3" t="str">
        <f>IFERROR(TEXT(Raw_Data!G860, "YYYY-MM-DD"),"Review")</f>
        <v>2023-08-04</v>
      </c>
      <c r="I860" s="4">
        <f>IF(Raw_Data!H860="", "", IFERROR(VALUE(Raw_Data!H860), ""))</f>
        <v>50060.73</v>
      </c>
      <c r="J860" s="2" t="str">
        <f>IF(Raw_Data!I860="", "", IF(ISNUMBER(FIND("@", Raw_Data!I860)), Raw_Data!I860, "Review"))</f>
        <v>heidi.johnson@example.com</v>
      </c>
      <c r="K860" s="5" t="str">
        <f>IFERROR(TEXT(ABS(Raw_Data!J860), "0"), "Review")</f>
        <v>3176539704</v>
      </c>
      <c r="L860" s="2" t="str">
        <f>IFERROR(TRIM(Raw_Data!K860), "Review")</f>
        <v>Poor</v>
      </c>
      <c r="M860" s="2" t="b">
        <f>IF(Raw_Data!L860="", "",
    IF(ISLOGICAL(Raw_Data!L860), Raw_Data!L860,
        IF(OR(UPPER(Raw_Data!L860)="TRUE", UPPER(Raw_Data!L860)="YES", UPPER(Raw_Data!L860)="1"), TRUE,
            IF(OR(UPPER(Raw_Data!L860)="FALSE", UPPER(Raw_Data!L860)="NO", UPPER(Raw_Data!L860)="0"), FALSE, "Review")
        )
    )
)</f>
        <v>0</v>
      </c>
    </row>
    <row r="861" spans="1:13" x14ac:dyDescent="0.4">
      <c r="A861" s="2" t="str">
        <f>IFERROR(TRIM(Raw_Data!A861), "Review")</f>
        <v>EMP1859</v>
      </c>
      <c r="B861" s="2" t="str">
        <f>IFERROR(TRIM(Raw_Data!B861), "Review")</f>
        <v>Grace</v>
      </c>
      <c r="C861" s="2" t="str">
        <f>IFERROR(TRIM(Raw_Data!C861), "Review")</f>
        <v>Davis</v>
      </c>
      <c r="D861" s="2">
        <f>IF(Raw_Data!D861="", "", IFERROR(VALUE(Raw_Data!D861), ""))</f>
        <v>35</v>
      </c>
      <c r="E861" s="2" t="str">
        <f>IFERROR(LEFT(Raw_Data!E861,SEARCH("-",Raw_Data!E861)-1),"Review")</f>
        <v>Admin</v>
      </c>
      <c r="F861" s="2" t="str">
        <f>IFERROR(_xlfn.TEXTAFTER(Raw_Data!E861,"-"),"Review")</f>
        <v>Nevada</v>
      </c>
      <c r="G861" s="2" t="str">
        <f>IFERROR(TRIM(Raw_Data!F861), "Review")</f>
        <v>Inactive</v>
      </c>
      <c r="H861" s="3" t="str">
        <f>IFERROR(TEXT(Raw_Data!G861, "YYYY-MM-DD"),"Review")</f>
        <v>2022-03-12</v>
      </c>
      <c r="I861" s="4">
        <f>IF(Raw_Data!H861="", "", IFERROR(VALUE(Raw_Data!H861), ""))</f>
        <v>90224.82</v>
      </c>
      <c r="J861" s="2" t="str">
        <f>IF(Raw_Data!I861="", "", IF(ISNUMBER(FIND("@", Raw_Data!I861)), Raw_Data!I861, "Review"))</f>
        <v>grace.davis@example.com</v>
      </c>
      <c r="K861" s="5" t="str">
        <f>IFERROR(TEXT(ABS(Raw_Data!J861), "0"), "Review")</f>
        <v>4873961028</v>
      </c>
      <c r="L861" s="2" t="str">
        <f>IFERROR(TRIM(Raw_Data!K861), "Review")</f>
        <v>Excellent</v>
      </c>
      <c r="M861" s="2" t="b">
        <f>IF(Raw_Data!L861="", "",
    IF(ISLOGICAL(Raw_Data!L861), Raw_Data!L861,
        IF(OR(UPPER(Raw_Data!L861)="TRUE", UPPER(Raw_Data!L861)="YES", UPPER(Raw_Data!L861)="1"), TRUE,
            IF(OR(UPPER(Raw_Data!L861)="FALSE", UPPER(Raw_Data!L861)="NO", UPPER(Raw_Data!L861)="0"), FALSE, "Review")
        )
    )
)</f>
        <v>0</v>
      </c>
    </row>
    <row r="862" spans="1:13" x14ac:dyDescent="0.4">
      <c r="A862" s="2" t="str">
        <f>IFERROR(TRIM(Raw_Data!A862), "Review")</f>
        <v>EMP1860</v>
      </c>
      <c r="B862" s="2" t="str">
        <f>IFERROR(TRIM(Raw_Data!B862), "Review")</f>
        <v>Heidi</v>
      </c>
      <c r="C862" s="2" t="str">
        <f>IFERROR(TRIM(Raw_Data!C862), "Review")</f>
        <v>Brown</v>
      </c>
      <c r="D862" s="2">
        <f>IF(Raw_Data!D862="", "", IFERROR(VALUE(Raw_Data!D862), ""))</f>
        <v>40</v>
      </c>
      <c r="E862" s="2" t="str">
        <f>IFERROR(LEFT(Raw_Data!E862,SEARCH("-",Raw_Data!E862)-1),"Review")</f>
        <v>Finance</v>
      </c>
      <c r="F862" s="2" t="str">
        <f>IFERROR(_xlfn.TEXTAFTER(Raw_Data!E862,"-"),"Review")</f>
        <v>Florida</v>
      </c>
      <c r="G862" s="2" t="str">
        <f>IFERROR(TRIM(Raw_Data!F862), "Review")</f>
        <v>Pending</v>
      </c>
      <c r="H862" s="3" t="str">
        <f>IFERROR(TEXT(Raw_Data!G862, "YYYY-MM-DD"),"Review")</f>
        <v>2024-05-18</v>
      </c>
      <c r="I862" s="4">
        <f>IF(Raw_Data!H862="", "", IFERROR(VALUE(Raw_Data!H862), ""))</f>
        <v>106859.3</v>
      </c>
      <c r="J862" s="2" t="str">
        <f>IF(Raw_Data!I862="", "", IF(ISNUMBER(FIND("@", Raw_Data!I862)), Raw_Data!I862, "Review"))</f>
        <v>heidi.brown@example.com</v>
      </c>
      <c r="K862" s="5" t="str">
        <f>IFERROR(TEXT(ABS(Raw_Data!J862), "0"), "Review")</f>
        <v>871827495</v>
      </c>
      <c r="L862" s="2" t="str">
        <f>IFERROR(TRIM(Raw_Data!K862), "Review")</f>
        <v>Good</v>
      </c>
      <c r="M862" s="2" t="b">
        <f>IF(Raw_Data!L862="", "",
    IF(ISLOGICAL(Raw_Data!L862), Raw_Data!L862,
        IF(OR(UPPER(Raw_Data!L862)="TRUE", UPPER(Raw_Data!L862)="YES", UPPER(Raw_Data!L862)="1"), TRUE,
            IF(OR(UPPER(Raw_Data!L862)="FALSE", UPPER(Raw_Data!L862)="NO", UPPER(Raw_Data!L862)="0"), FALSE, "Review")
        )
    )
)</f>
        <v>0</v>
      </c>
    </row>
    <row r="863" spans="1:13" x14ac:dyDescent="0.4">
      <c r="A863" s="2" t="str">
        <f>IFERROR(TRIM(Raw_Data!A863), "Review")</f>
        <v>EMP1861</v>
      </c>
      <c r="B863" s="2" t="str">
        <f>IFERROR(TRIM(Raw_Data!B863), "Review")</f>
        <v>David</v>
      </c>
      <c r="C863" s="2" t="str">
        <f>IFERROR(TRIM(Raw_Data!C863), "Review")</f>
        <v>Smith</v>
      </c>
      <c r="D863" s="2">
        <f>IF(Raw_Data!D863="", "", IFERROR(VALUE(Raw_Data!D863), ""))</f>
        <v>25</v>
      </c>
      <c r="E863" s="2" t="str">
        <f>IFERROR(LEFT(Raw_Data!E863,SEARCH("-",Raw_Data!E863)-1),"Review")</f>
        <v>Finance</v>
      </c>
      <c r="F863" s="2" t="str">
        <f>IFERROR(_xlfn.TEXTAFTER(Raw_Data!E863,"-"),"Review")</f>
        <v>Nevada</v>
      </c>
      <c r="G863" s="2" t="str">
        <f>IFERROR(TRIM(Raw_Data!F863), "Review")</f>
        <v>Inactive</v>
      </c>
      <c r="H863" s="3" t="str">
        <f>IFERROR(TEXT(Raw_Data!G863, "YYYY-MM-DD"),"Review")</f>
        <v>2020-09-05</v>
      </c>
      <c r="I863" s="4">
        <f>IF(Raw_Data!H863="", "", IFERROR(VALUE(Raw_Data!H863), ""))</f>
        <v>89707.07</v>
      </c>
      <c r="J863" s="2" t="str">
        <f>IF(Raw_Data!I863="", "", IF(ISNUMBER(FIND("@", Raw_Data!I863)), Raw_Data!I863, "Review"))</f>
        <v>david.smith@example.com</v>
      </c>
      <c r="K863" s="5" t="str">
        <f>IFERROR(TEXT(ABS(Raw_Data!J863), "0"), "Review")</f>
        <v>8049187273</v>
      </c>
      <c r="L863" s="2" t="str">
        <f>IFERROR(TRIM(Raw_Data!K863), "Review")</f>
        <v>Good</v>
      </c>
      <c r="M863" s="2" t="b">
        <f>IF(Raw_Data!L863="", "",
    IF(ISLOGICAL(Raw_Data!L863), Raw_Data!L863,
        IF(OR(UPPER(Raw_Data!L863)="TRUE", UPPER(Raw_Data!L863)="YES", UPPER(Raw_Data!L863)="1"), TRUE,
            IF(OR(UPPER(Raw_Data!L863)="FALSE", UPPER(Raw_Data!L863)="NO", UPPER(Raw_Data!L863)="0"), FALSE, "Review")
        )
    )
)</f>
        <v>0</v>
      </c>
    </row>
    <row r="864" spans="1:13" x14ac:dyDescent="0.4">
      <c r="A864" s="2" t="str">
        <f>IFERROR(TRIM(Raw_Data!A864), "Review")</f>
        <v>EMP1862</v>
      </c>
      <c r="B864" s="2" t="str">
        <f>IFERROR(TRIM(Raw_Data!B864), "Review")</f>
        <v>Frank</v>
      </c>
      <c r="C864" s="2" t="str">
        <f>IFERROR(TRIM(Raw_Data!C864), "Review")</f>
        <v>Johnson</v>
      </c>
      <c r="D864" s="2">
        <f>IF(Raw_Data!D864="", "", IFERROR(VALUE(Raw_Data!D864), ""))</f>
        <v>35</v>
      </c>
      <c r="E864" s="2" t="str">
        <f>IFERROR(LEFT(Raw_Data!E864,SEARCH("-",Raw_Data!E864)-1),"Review")</f>
        <v>DevOps</v>
      </c>
      <c r="F864" s="2" t="str">
        <f>IFERROR(_xlfn.TEXTAFTER(Raw_Data!E864,"-"),"Review")</f>
        <v>California</v>
      </c>
      <c r="G864" s="2" t="str">
        <f>IFERROR(TRIM(Raw_Data!F864), "Review")</f>
        <v>Inactive</v>
      </c>
      <c r="H864" s="3" t="str">
        <f>IFERROR(TEXT(Raw_Data!G864, "YYYY-MM-DD"),"Review")</f>
        <v>2020-04-23</v>
      </c>
      <c r="I864" s="4">
        <f>IF(Raw_Data!H864="", "", IFERROR(VALUE(Raw_Data!H864), ""))</f>
        <v>94259.08</v>
      </c>
      <c r="J864" s="2" t="str">
        <f>IF(Raw_Data!I864="", "", IF(ISNUMBER(FIND("@", Raw_Data!I864)), Raw_Data!I864, "Review"))</f>
        <v>frank.johnson@example.com</v>
      </c>
      <c r="K864" s="5" t="str">
        <f>IFERROR(TEXT(ABS(Raw_Data!J864), "0"), "Review")</f>
        <v>2049561212</v>
      </c>
      <c r="L864" s="2" t="str">
        <f>IFERROR(TRIM(Raw_Data!K864), "Review")</f>
        <v>Excellent</v>
      </c>
      <c r="M864" s="2" t="b">
        <f>IF(Raw_Data!L864="", "",
    IF(ISLOGICAL(Raw_Data!L864), Raw_Data!L864,
        IF(OR(UPPER(Raw_Data!L864)="TRUE", UPPER(Raw_Data!L864)="YES", UPPER(Raw_Data!L864)="1"), TRUE,
            IF(OR(UPPER(Raw_Data!L864)="FALSE", UPPER(Raw_Data!L864)="NO", UPPER(Raw_Data!L864)="0"), FALSE, "Review")
        )
    )
)</f>
        <v>1</v>
      </c>
    </row>
    <row r="865" spans="1:13" x14ac:dyDescent="0.4">
      <c r="A865" s="2" t="str">
        <f>IFERROR(TRIM(Raw_Data!A865), "Review")</f>
        <v>EMP1863</v>
      </c>
      <c r="B865" s="2" t="str">
        <f>IFERROR(TRIM(Raw_Data!B865), "Review")</f>
        <v>Bob</v>
      </c>
      <c r="C865" s="2" t="str">
        <f>IFERROR(TRIM(Raw_Data!C865), "Review")</f>
        <v>Johnson</v>
      </c>
      <c r="D865" s="2">
        <f>IF(Raw_Data!D865="", "", IFERROR(VALUE(Raw_Data!D865), ""))</f>
        <v>35</v>
      </c>
      <c r="E865" s="2" t="str">
        <f>IFERROR(LEFT(Raw_Data!E865,SEARCH("-",Raw_Data!E865)-1),"Review")</f>
        <v>Sales</v>
      </c>
      <c r="F865" s="2" t="str">
        <f>IFERROR(_xlfn.TEXTAFTER(Raw_Data!E865,"-"),"Review")</f>
        <v>California</v>
      </c>
      <c r="G865" s="2" t="str">
        <f>IFERROR(TRIM(Raw_Data!F865), "Review")</f>
        <v>Active</v>
      </c>
      <c r="H865" s="3" t="str">
        <f>IFERROR(TEXT(Raw_Data!G865, "YYYY-MM-DD"),"Review")</f>
        <v>2024-09-18</v>
      </c>
      <c r="I865" s="4">
        <f>IF(Raw_Data!H865="", "", IFERROR(VALUE(Raw_Data!H865), ""))</f>
        <v>82174.75</v>
      </c>
      <c r="J865" s="2" t="str">
        <f>IF(Raw_Data!I865="", "", IF(ISNUMBER(FIND("@", Raw_Data!I865)), Raw_Data!I865, "Review"))</f>
        <v>bob.johnson@example.com</v>
      </c>
      <c r="K865" s="5" t="str">
        <f>IFERROR(TEXT(ABS(Raw_Data!J865), "0"), "Review")</f>
        <v>7730626041</v>
      </c>
      <c r="L865" s="2" t="str">
        <f>IFERROR(TRIM(Raw_Data!K865), "Review")</f>
        <v>Excellent</v>
      </c>
      <c r="M865" s="2" t="b">
        <f>IF(Raw_Data!L865="", "",
    IF(ISLOGICAL(Raw_Data!L865), Raw_Data!L865,
        IF(OR(UPPER(Raw_Data!L865)="TRUE", UPPER(Raw_Data!L865)="YES", UPPER(Raw_Data!L865)="1"), TRUE,
            IF(OR(UPPER(Raw_Data!L865)="FALSE", UPPER(Raw_Data!L865)="NO", UPPER(Raw_Data!L865)="0"), FALSE, "Review")
        )
    )
)</f>
        <v>0</v>
      </c>
    </row>
    <row r="866" spans="1:13" x14ac:dyDescent="0.4">
      <c r="A866" s="2" t="str">
        <f>IFERROR(TRIM(Raw_Data!A866), "Review")</f>
        <v>EMP1864</v>
      </c>
      <c r="B866" s="2" t="str">
        <f>IFERROR(TRIM(Raw_Data!B866), "Review")</f>
        <v>David</v>
      </c>
      <c r="C866" s="2" t="str">
        <f>IFERROR(TRIM(Raw_Data!C866), "Review")</f>
        <v>Brown</v>
      </c>
      <c r="D866" s="2">
        <f>IF(Raw_Data!D866="", "", IFERROR(VALUE(Raw_Data!D866), ""))</f>
        <v>30</v>
      </c>
      <c r="E866" s="2" t="str">
        <f>IFERROR(LEFT(Raw_Data!E866,SEARCH("-",Raw_Data!E866)-1),"Review")</f>
        <v>Sales</v>
      </c>
      <c r="F866" s="2" t="str">
        <f>IFERROR(_xlfn.TEXTAFTER(Raw_Data!E866,"-"),"Review")</f>
        <v>Texas</v>
      </c>
      <c r="G866" s="2" t="str">
        <f>IFERROR(TRIM(Raw_Data!F866), "Review")</f>
        <v>Inactive</v>
      </c>
      <c r="H866" s="3" t="str">
        <f>IFERROR(TEXT(Raw_Data!G866, "YYYY-MM-DD"),"Review")</f>
        <v>2023-09-15</v>
      </c>
      <c r="I866" s="4">
        <f>IF(Raw_Data!H866="", "", IFERROR(VALUE(Raw_Data!H866), ""))</f>
        <v>63370.22</v>
      </c>
      <c r="J866" s="2" t="str">
        <f>IF(Raw_Data!I866="", "", IF(ISNUMBER(FIND("@", Raw_Data!I866)), Raw_Data!I866, "Review"))</f>
        <v>david.brown@example.com</v>
      </c>
      <c r="K866" s="5" t="str">
        <f>IFERROR(TEXT(ABS(Raw_Data!J866), "0"), "Review")</f>
        <v>3597371121</v>
      </c>
      <c r="L866" s="2" t="str">
        <f>IFERROR(TRIM(Raw_Data!K866), "Review")</f>
        <v>Excellent</v>
      </c>
      <c r="M866" s="2" t="b">
        <f>IF(Raw_Data!L866="", "",
    IF(ISLOGICAL(Raw_Data!L866), Raw_Data!L866,
        IF(OR(UPPER(Raw_Data!L866)="TRUE", UPPER(Raw_Data!L866)="YES", UPPER(Raw_Data!L866)="1"), TRUE,
            IF(OR(UPPER(Raw_Data!L866)="FALSE", UPPER(Raw_Data!L866)="NO", UPPER(Raw_Data!L866)="0"), FALSE, "Review")
        )
    )
)</f>
        <v>0</v>
      </c>
    </row>
    <row r="867" spans="1:13" x14ac:dyDescent="0.4">
      <c r="A867" s="2" t="str">
        <f>IFERROR(TRIM(Raw_Data!A867), "Review")</f>
        <v>EMP1865</v>
      </c>
      <c r="B867" s="2" t="str">
        <f>IFERROR(TRIM(Raw_Data!B867), "Review")</f>
        <v>Bob</v>
      </c>
      <c r="C867" s="2" t="str">
        <f>IFERROR(TRIM(Raw_Data!C867), "Review")</f>
        <v>Smith</v>
      </c>
      <c r="D867" s="2">
        <f>IF(Raw_Data!D867="", "", IFERROR(VALUE(Raw_Data!D867), ""))</f>
        <v>35</v>
      </c>
      <c r="E867" s="2" t="str">
        <f>IFERROR(LEFT(Raw_Data!E867,SEARCH("-",Raw_Data!E867)-1),"Review")</f>
        <v>Finance</v>
      </c>
      <c r="F867" s="2" t="str">
        <f>IFERROR(_xlfn.TEXTAFTER(Raw_Data!E867,"-"),"Review")</f>
        <v>Texas</v>
      </c>
      <c r="G867" s="2" t="str">
        <f>IFERROR(TRIM(Raw_Data!F867), "Review")</f>
        <v>Pending</v>
      </c>
      <c r="H867" s="3" t="str">
        <f>IFERROR(TEXT(Raw_Data!G867, "YYYY-MM-DD"),"Review")</f>
        <v>2022-06-15</v>
      </c>
      <c r="I867" s="4">
        <f>IF(Raw_Data!H867="", "", IFERROR(VALUE(Raw_Data!H867), ""))</f>
        <v>101472.69</v>
      </c>
      <c r="J867" s="2" t="str">
        <f>IF(Raw_Data!I867="", "", IF(ISNUMBER(FIND("@", Raw_Data!I867)), Raw_Data!I867, "Review"))</f>
        <v>bob.smith@example.com</v>
      </c>
      <c r="K867" s="5" t="str">
        <f>IFERROR(TEXT(ABS(Raw_Data!J867), "0"), "Review")</f>
        <v>2990775607</v>
      </c>
      <c r="L867" s="2" t="str">
        <f>IFERROR(TRIM(Raw_Data!K867), "Review")</f>
        <v>Good</v>
      </c>
      <c r="M867" s="2" t="b">
        <f>IF(Raw_Data!L867="", "",
    IF(ISLOGICAL(Raw_Data!L867), Raw_Data!L867,
        IF(OR(UPPER(Raw_Data!L867)="TRUE", UPPER(Raw_Data!L867)="YES", UPPER(Raw_Data!L867)="1"), TRUE,
            IF(OR(UPPER(Raw_Data!L867)="FALSE", UPPER(Raw_Data!L867)="NO", UPPER(Raw_Data!L867)="0"), FALSE, "Review")
        )
    )
)</f>
        <v>1</v>
      </c>
    </row>
    <row r="868" spans="1:13" x14ac:dyDescent="0.4">
      <c r="A868" s="2" t="str">
        <f>IFERROR(TRIM(Raw_Data!A868), "Review")</f>
        <v>EMP1866</v>
      </c>
      <c r="B868" s="2" t="str">
        <f>IFERROR(TRIM(Raw_Data!B868), "Review")</f>
        <v>David</v>
      </c>
      <c r="C868" s="2" t="str">
        <f>IFERROR(TRIM(Raw_Data!C868), "Review")</f>
        <v>Jones</v>
      </c>
      <c r="D868" s="2">
        <f>IF(Raw_Data!D868="", "", IFERROR(VALUE(Raw_Data!D868), ""))</f>
        <v>25</v>
      </c>
      <c r="E868" s="2" t="str">
        <f>IFERROR(LEFT(Raw_Data!E868,SEARCH("-",Raw_Data!E868)-1),"Review")</f>
        <v>DevOps</v>
      </c>
      <c r="F868" s="2" t="str">
        <f>IFERROR(_xlfn.TEXTAFTER(Raw_Data!E868,"-"),"Review")</f>
        <v>Illinois</v>
      </c>
      <c r="G868" s="2" t="str">
        <f>IFERROR(TRIM(Raw_Data!F868), "Review")</f>
        <v>Active</v>
      </c>
      <c r="H868" s="3" t="str">
        <f>IFERROR(TEXT(Raw_Data!G868, "YYYY-MM-DD"),"Review")</f>
        <v>2022-09-28</v>
      </c>
      <c r="I868" s="4">
        <f>IF(Raw_Data!H868="", "", IFERROR(VALUE(Raw_Data!H868), ""))</f>
        <v>77213.73</v>
      </c>
      <c r="J868" s="2" t="str">
        <f>IF(Raw_Data!I868="", "", IF(ISNUMBER(FIND("@", Raw_Data!I868)), Raw_Data!I868, "Review"))</f>
        <v>david.jones@example.com</v>
      </c>
      <c r="K868" s="5" t="str">
        <f>IFERROR(TEXT(ABS(Raw_Data!J868), "0"), "Review")</f>
        <v>5816704685</v>
      </c>
      <c r="L868" s="2" t="str">
        <f>IFERROR(TRIM(Raw_Data!K868), "Review")</f>
        <v>Good</v>
      </c>
      <c r="M868" s="2" t="b">
        <f>IF(Raw_Data!L868="", "",
    IF(ISLOGICAL(Raw_Data!L868), Raw_Data!L868,
        IF(OR(UPPER(Raw_Data!L868)="TRUE", UPPER(Raw_Data!L868)="YES", UPPER(Raw_Data!L868)="1"), TRUE,
            IF(OR(UPPER(Raw_Data!L868)="FALSE", UPPER(Raw_Data!L868)="NO", UPPER(Raw_Data!L868)="0"), FALSE, "Review")
        )
    )
)</f>
        <v>0</v>
      </c>
    </row>
    <row r="869" spans="1:13" x14ac:dyDescent="0.4">
      <c r="A869" s="2" t="str">
        <f>IFERROR(TRIM(Raw_Data!A869), "Review")</f>
        <v>EMP1867</v>
      </c>
      <c r="B869" s="2" t="str">
        <f>IFERROR(TRIM(Raw_Data!B869), "Review")</f>
        <v>Eva</v>
      </c>
      <c r="C869" s="2" t="str">
        <f>IFERROR(TRIM(Raw_Data!C869), "Review")</f>
        <v>Miller</v>
      </c>
      <c r="D869" s="2">
        <f>IF(Raw_Data!D869="", "", IFERROR(VALUE(Raw_Data!D869), ""))</f>
        <v>40</v>
      </c>
      <c r="E869" s="2" t="str">
        <f>IFERROR(LEFT(Raw_Data!E869,SEARCH("-",Raw_Data!E869)-1),"Review")</f>
        <v>Sales</v>
      </c>
      <c r="F869" s="2" t="str">
        <f>IFERROR(_xlfn.TEXTAFTER(Raw_Data!E869,"-"),"Review")</f>
        <v>Florida</v>
      </c>
      <c r="G869" s="2" t="str">
        <f>IFERROR(TRIM(Raw_Data!F869), "Review")</f>
        <v>Active</v>
      </c>
      <c r="H869" s="3" t="str">
        <f>IFERROR(TEXT(Raw_Data!G869, "YYYY-MM-DD"),"Review")</f>
        <v>2020-03-16</v>
      </c>
      <c r="I869" s="4">
        <f>IF(Raw_Data!H869="", "", IFERROR(VALUE(Raw_Data!H869), ""))</f>
        <v>73749.960000000006</v>
      </c>
      <c r="J869" s="2" t="str">
        <f>IF(Raw_Data!I869="", "", IF(ISNUMBER(FIND("@", Raw_Data!I869)), Raw_Data!I869, "Review"))</f>
        <v>eva.miller@example.com</v>
      </c>
      <c r="K869" s="5" t="str">
        <f>IFERROR(TEXT(ABS(Raw_Data!J869), "0"), "Review")</f>
        <v>1114576831</v>
      </c>
      <c r="L869" s="2" t="str">
        <f>IFERROR(TRIM(Raw_Data!K869), "Review")</f>
        <v>Poor</v>
      </c>
      <c r="M869" s="2" t="b">
        <f>IF(Raw_Data!L869="", "",
    IF(ISLOGICAL(Raw_Data!L869), Raw_Data!L869,
        IF(OR(UPPER(Raw_Data!L869)="TRUE", UPPER(Raw_Data!L869)="YES", UPPER(Raw_Data!L869)="1"), TRUE,
            IF(OR(UPPER(Raw_Data!L869)="FALSE", UPPER(Raw_Data!L869)="NO", UPPER(Raw_Data!L869)="0"), FALSE, "Review")
        )
    )
)</f>
        <v>1</v>
      </c>
    </row>
    <row r="870" spans="1:13" x14ac:dyDescent="0.4">
      <c r="A870" s="2" t="str">
        <f>IFERROR(TRIM(Raw_Data!A870), "Review")</f>
        <v>EMP1868</v>
      </c>
      <c r="B870" s="2" t="str">
        <f>IFERROR(TRIM(Raw_Data!B870), "Review")</f>
        <v>Alice</v>
      </c>
      <c r="C870" s="2" t="str">
        <f>IFERROR(TRIM(Raw_Data!C870), "Review")</f>
        <v>Davis</v>
      </c>
      <c r="D870" s="2">
        <f>IF(Raw_Data!D870="", "", IFERROR(VALUE(Raw_Data!D870), ""))</f>
        <v>40</v>
      </c>
      <c r="E870" s="2" t="str">
        <f>IFERROR(LEFT(Raw_Data!E870,SEARCH("-",Raw_Data!E870)-1),"Review")</f>
        <v>Cloud Tech</v>
      </c>
      <c r="F870" s="2" t="str">
        <f>IFERROR(_xlfn.TEXTAFTER(Raw_Data!E870,"-"),"Review")</f>
        <v>New York</v>
      </c>
      <c r="G870" s="2" t="str">
        <f>IFERROR(TRIM(Raw_Data!F870), "Review")</f>
        <v>Pending</v>
      </c>
      <c r="H870" s="3" t="str">
        <f>IFERROR(TEXT(Raw_Data!G870, "YYYY-MM-DD"),"Review")</f>
        <v>2023-09-28</v>
      </c>
      <c r="I870" s="4">
        <f>IF(Raw_Data!H870="", "", IFERROR(VALUE(Raw_Data!H870), ""))</f>
        <v>86618.37</v>
      </c>
      <c r="J870" s="2" t="str">
        <f>IF(Raw_Data!I870="", "", IF(ISNUMBER(FIND("@", Raw_Data!I870)), Raw_Data!I870, "Review"))</f>
        <v>alice.davis@example.com</v>
      </c>
      <c r="K870" s="5" t="str">
        <f>IFERROR(TEXT(ABS(Raw_Data!J870), "0"), "Review")</f>
        <v>1021923784</v>
      </c>
      <c r="L870" s="2" t="str">
        <f>IFERROR(TRIM(Raw_Data!K870), "Review")</f>
        <v>Average</v>
      </c>
      <c r="M870" s="2" t="b">
        <f>IF(Raw_Data!L870="", "",
    IF(ISLOGICAL(Raw_Data!L870), Raw_Data!L870,
        IF(OR(UPPER(Raw_Data!L870)="TRUE", UPPER(Raw_Data!L870)="YES", UPPER(Raw_Data!L870)="1"), TRUE,
            IF(OR(UPPER(Raw_Data!L870)="FALSE", UPPER(Raw_Data!L870)="NO", UPPER(Raw_Data!L870)="0"), FALSE, "Review")
        )
    )
)</f>
        <v>0</v>
      </c>
    </row>
    <row r="871" spans="1:13" x14ac:dyDescent="0.4">
      <c r="A871" s="2" t="str">
        <f>IFERROR(TRIM(Raw_Data!A871), "Review")</f>
        <v>EMP1869</v>
      </c>
      <c r="B871" s="2" t="str">
        <f>IFERROR(TRIM(Raw_Data!B871), "Review")</f>
        <v>Charlie</v>
      </c>
      <c r="C871" s="2" t="str">
        <f>IFERROR(TRIM(Raw_Data!C871), "Review")</f>
        <v>Miller</v>
      </c>
      <c r="D871" s="2" t="str">
        <f>IF(Raw_Data!D871="", "", IFERROR(VALUE(Raw_Data!D871), ""))</f>
        <v/>
      </c>
      <c r="E871" s="2" t="str">
        <f>IFERROR(LEFT(Raw_Data!E871,SEARCH("-",Raw_Data!E871)-1),"Review")</f>
        <v>Admin</v>
      </c>
      <c r="F871" s="2" t="str">
        <f>IFERROR(_xlfn.TEXTAFTER(Raw_Data!E871,"-"),"Review")</f>
        <v>Texas</v>
      </c>
      <c r="G871" s="2" t="str">
        <f>IFERROR(TRIM(Raw_Data!F871), "Review")</f>
        <v>Active</v>
      </c>
      <c r="H871" s="3" t="str">
        <f>IFERROR(TEXT(Raw_Data!G871, "YYYY-MM-DD"),"Review")</f>
        <v>2024-02-15</v>
      </c>
      <c r="I871" s="4">
        <f>IF(Raw_Data!H871="", "", IFERROR(VALUE(Raw_Data!H871), ""))</f>
        <v>59911.33</v>
      </c>
      <c r="J871" s="2" t="str">
        <f>IF(Raw_Data!I871="", "", IF(ISNUMBER(FIND("@", Raw_Data!I871)), Raw_Data!I871, "Review"))</f>
        <v>charlie.miller@example.com</v>
      </c>
      <c r="K871" s="5" t="str">
        <f>IFERROR(TEXT(ABS(Raw_Data!J871), "0"), "Review")</f>
        <v>8471296179</v>
      </c>
      <c r="L871" s="2" t="str">
        <f>IFERROR(TRIM(Raw_Data!K871), "Review")</f>
        <v>Excellent</v>
      </c>
      <c r="M871" s="2" t="b">
        <f>IF(Raw_Data!L871="", "",
    IF(ISLOGICAL(Raw_Data!L871), Raw_Data!L871,
        IF(OR(UPPER(Raw_Data!L871)="TRUE", UPPER(Raw_Data!L871)="YES", UPPER(Raw_Data!L871)="1"), TRUE,
            IF(OR(UPPER(Raw_Data!L871)="FALSE", UPPER(Raw_Data!L871)="NO", UPPER(Raw_Data!L871)="0"), FALSE, "Review")
        )
    )
)</f>
        <v>1</v>
      </c>
    </row>
    <row r="872" spans="1:13" x14ac:dyDescent="0.4">
      <c r="A872" s="2" t="str">
        <f>IFERROR(TRIM(Raw_Data!A872), "Review")</f>
        <v>EMP1870</v>
      </c>
      <c r="B872" s="2" t="str">
        <f>IFERROR(TRIM(Raw_Data!B872), "Review")</f>
        <v>Heidi</v>
      </c>
      <c r="C872" s="2" t="str">
        <f>IFERROR(TRIM(Raw_Data!C872), "Review")</f>
        <v>Jones</v>
      </c>
      <c r="D872" s="2" t="str">
        <f>IF(Raw_Data!D872="", "", IFERROR(VALUE(Raw_Data!D872), ""))</f>
        <v/>
      </c>
      <c r="E872" s="2" t="str">
        <f>IFERROR(LEFT(Raw_Data!E872,SEARCH("-",Raw_Data!E872)-1),"Review")</f>
        <v>Cloud Tech</v>
      </c>
      <c r="F872" s="2" t="str">
        <f>IFERROR(_xlfn.TEXTAFTER(Raw_Data!E872,"-"),"Review")</f>
        <v>New York</v>
      </c>
      <c r="G872" s="2" t="str">
        <f>IFERROR(TRIM(Raw_Data!F872), "Review")</f>
        <v>Pending</v>
      </c>
      <c r="H872" s="3" t="str">
        <f>IFERROR(TEXT(Raw_Data!G872, "YYYY-MM-DD"),"Review")</f>
        <v>2023-08-21</v>
      </c>
      <c r="I872" s="4">
        <f>IF(Raw_Data!H872="", "", IFERROR(VALUE(Raw_Data!H872), ""))</f>
        <v>59137.64</v>
      </c>
      <c r="J872" s="2" t="str">
        <f>IF(Raw_Data!I872="", "", IF(ISNUMBER(FIND("@", Raw_Data!I872)), Raw_Data!I872, "Review"))</f>
        <v>heidi.jones@example.com</v>
      </c>
      <c r="K872" s="5" t="str">
        <f>IFERROR(TEXT(ABS(Raw_Data!J872), "0"), "Review")</f>
        <v>3324260507</v>
      </c>
      <c r="L872" s="2" t="str">
        <f>IFERROR(TRIM(Raw_Data!K872), "Review")</f>
        <v>Good</v>
      </c>
      <c r="M872" s="2" t="b">
        <f>IF(Raw_Data!L872="", "",
    IF(ISLOGICAL(Raw_Data!L872), Raw_Data!L872,
        IF(OR(UPPER(Raw_Data!L872)="TRUE", UPPER(Raw_Data!L872)="YES", UPPER(Raw_Data!L872)="1"), TRUE,
            IF(OR(UPPER(Raw_Data!L872)="FALSE", UPPER(Raw_Data!L872)="NO", UPPER(Raw_Data!L872)="0"), FALSE, "Review")
        )
    )
)</f>
        <v>0</v>
      </c>
    </row>
    <row r="873" spans="1:13" x14ac:dyDescent="0.4">
      <c r="A873" s="2" t="str">
        <f>IFERROR(TRIM(Raw_Data!A873), "Review")</f>
        <v>EMP1871</v>
      </c>
      <c r="B873" s="2" t="str">
        <f>IFERROR(TRIM(Raw_Data!B873), "Review")</f>
        <v>Alice</v>
      </c>
      <c r="C873" s="2" t="str">
        <f>IFERROR(TRIM(Raw_Data!C873), "Review")</f>
        <v>Garcia</v>
      </c>
      <c r="D873" s="2">
        <f>IF(Raw_Data!D873="", "", IFERROR(VALUE(Raw_Data!D873), ""))</f>
        <v>35</v>
      </c>
      <c r="E873" s="2" t="str">
        <f>IFERROR(LEFT(Raw_Data!E873,SEARCH("-",Raw_Data!E873)-1),"Review")</f>
        <v>Cloud Tech</v>
      </c>
      <c r="F873" s="2" t="str">
        <f>IFERROR(_xlfn.TEXTAFTER(Raw_Data!E873,"-"),"Review")</f>
        <v>Florida</v>
      </c>
      <c r="G873" s="2" t="str">
        <f>IFERROR(TRIM(Raw_Data!F873), "Review")</f>
        <v>Pending</v>
      </c>
      <c r="H873" s="3" t="str">
        <f>IFERROR(TEXT(Raw_Data!G873, "YYYY-MM-DD"),"Review")</f>
        <v>2020-12-15</v>
      </c>
      <c r="I873" s="4">
        <f>IF(Raw_Data!H873="", "", IFERROR(VALUE(Raw_Data!H873), ""))</f>
        <v>108474.65</v>
      </c>
      <c r="J873" s="2" t="str">
        <f>IF(Raw_Data!I873="", "", IF(ISNUMBER(FIND("@", Raw_Data!I873)), Raw_Data!I873, "Review"))</f>
        <v>alice.garcia@example.com</v>
      </c>
      <c r="K873" s="5" t="str">
        <f>IFERROR(TEXT(ABS(Raw_Data!J873), "0"), "Review")</f>
        <v>184980424</v>
      </c>
      <c r="L873" s="2" t="str">
        <f>IFERROR(TRIM(Raw_Data!K873), "Review")</f>
        <v>Good</v>
      </c>
      <c r="M873" s="2" t="b">
        <f>IF(Raw_Data!L873="", "",
    IF(ISLOGICAL(Raw_Data!L873), Raw_Data!L873,
        IF(OR(UPPER(Raw_Data!L873)="TRUE", UPPER(Raw_Data!L873)="YES", UPPER(Raw_Data!L873)="1"), TRUE,
            IF(OR(UPPER(Raw_Data!L873)="FALSE", UPPER(Raw_Data!L873)="NO", UPPER(Raw_Data!L873)="0"), FALSE, "Review")
        )
    )
)</f>
        <v>1</v>
      </c>
    </row>
    <row r="874" spans="1:13" x14ac:dyDescent="0.4">
      <c r="A874" s="2" t="str">
        <f>IFERROR(TRIM(Raw_Data!A874), "Review")</f>
        <v>EMP1872</v>
      </c>
      <c r="B874" s="2" t="str">
        <f>IFERROR(TRIM(Raw_Data!B874), "Review")</f>
        <v>Bob</v>
      </c>
      <c r="C874" s="2" t="str">
        <f>IFERROR(TRIM(Raw_Data!C874), "Review")</f>
        <v>Johnson</v>
      </c>
      <c r="D874" s="2">
        <f>IF(Raw_Data!D874="", "", IFERROR(VALUE(Raw_Data!D874), ""))</f>
        <v>25</v>
      </c>
      <c r="E874" s="2" t="str">
        <f>IFERROR(LEFT(Raw_Data!E874,SEARCH("-",Raw_Data!E874)-1),"Review")</f>
        <v>Finance</v>
      </c>
      <c r="F874" s="2" t="str">
        <f>IFERROR(_xlfn.TEXTAFTER(Raw_Data!E874,"-"),"Review")</f>
        <v>Illinois</v>
      </c>
      <c r="G874" s="2" t="str">
        <f>IFERROR(TRIM(Raw_Data!F874), "Review")</f>
        <v>Pending</v>
      </c>
      <c r="H874" s="3" t="str">
        <f>IFERROR(TEXT(Raw_Data!G874, "YYYY-MM-DD"),"Review")</f>
        <v>2021-03-27</v>
      </c>
      <c r="I874" s="4">
        <f>IF(Raw_Data!H874="", "", IFERROR(VALUE(Raw_Data!H874), ""))</f>
        <v>54417.71</v>
      </c>
      <c r="J874" s="2" t="str">
        <f>IF(Raw_Data!I874="", "", IF(ISNUMBER(FIND("@", Raw_Data!I874)), Raw_Data!I874, "Review"))</f>
        <v>bob.johnson@example.com</v>
      </c>
      <c r="K874" s="5" t="str">
        <f>IFERROR(TEXT(ABS(Raw_Data!J874), "0"), "Review")</f>
        <v>3733777311</v>
      </c>
      <c r="L874" s="2" t="str">
        <f>IFERROR(TRIM(Raw_Data!K874), "Review")</f>
        <v>Excellent</v>
      </c>
      <c r="M874" s="2" t="b">
        <f>IF(Raw_Data!L874="", "",
    IF(ISLOGICAL(Raw_Data!L874), Raw_Data!L874,
        IF(OR(UPPER(Raw_Data!L874)="TRUE", UPPER(Raw_Data!L874)="YES", UPPER(Raw_Data!L874)="1"), TRUE,
            IF(OR(UPPER(Raw_Data!L874)="FALSE", UPPER(Raw_Data!L874)="NO", UPPER(Raw_Data!L874)="0"), FALSE, "Review")
        )
    )
)</f>
        <v>0</v>
      </c>
    </row>
    <row r="875" spans="1:13" x14ac:dyDescent="0.4">
      <c r="A875" s="2" t="str">
        <f>IFERROR(TRIM(Raw_Data!A875), "Review")</f>
        <v>EMP1873</v>
      </c>
      <c r="B875" s="2" t="str">
        <f>IFERROR(TRIM(Raw_Data!B875), "Review")</f>
        <v>Frank</v>
      </c>
      <c r="C875" s="2" t="str">
        <f>IFERROR(TRIM(Raw_Data!C875), "Review")</f>
        <v>Smith</v>
      </c>
      <c r="D875" s="2">
        <f>IF(Raw_Data!D875="", "", IFERROR(VALUE(Raw_Data!D875), ""))</f>
        <v>40</v>
      </c>
      <c r="E875" s="2" t="str">
        <f>IFERROR(LEFT(Raw_Data!E875,SEARCH("-",Raw_Data!E875)-1),"Review")</f>
        <v>HR</v>
      </c>
      <c r="F875" s="2" t="str">
        <f>IFERROR(_xlfn.TEXTAFTER(Raw_Data!E875,"-"),"Review")</f>
        <v>Texas</v>
      </c>
      <c r="G875" s="2" t="str">
        <f>IFERROR(TRIM(Raw_Data!F875), "Review")</f>
        <v>Pending</v>
      </c>
      <c r="H875" s="3" t="str">
        <f>IFERROR(TEXT(Raw_Data!G875, "YYYY-MM-DD"),"Review")</f>
        <v>2023-03-25</v>
      </c>
      <c r="I875" s="4">
        <f>IF(Raw_Data!H875="", "", IFERROR(VALUE(Raw_Data!H875), ""))</f>
        <v>88211.94</v>
      </c>
      <c r="J875" s="2" t="str">
        <f>IF(Raw_Data!I875="", "", IF(ISNUMBER(FIND("@", Raw_Data!I875)), Raw_Data!I875, "Review"))</f>
        <v>frank.smith@example.com</v>
      </c>
      <c r="K875" s="5" t="str">
        <f>IFERROR(TEXT(ABS(Raw_Data!J875), "0"), "Review")</f>
        <v>6881228216</v>
      </c>
      <c r="L875" s="2" t="str">
        <f>IFERROR(TRIM(Raw_Data!K875), "Review")</f>
        <v>Average</v>
      </c>
      <c r="M875" s="2" t="b">
        <f>IF(Raw_Data!L875="", "",
    IF(ISLOGICAL(Raw_Data!L875), Raw_Data!L875,
        IF(OR(UPPER(Raw_Data!L875)="TRUE", UPPER(Raw_Data!L875)="YES", UPPER(Raw_Data!L875)="1"), TRUE,
            IF(OR(UPPER(Raw_Data!L875)="FALSE", UPPER(Raw_Data!L875)="NO", UPPER(Raw_Data!L875)="0"), FALSE, "Review")
        )
    )
)</f>
        <v>0</v>
      </c>
    </row>
    <row r="876" spans="1:13" x14ac:dyDescent="0.4">
      <c r="A876" s="2" t="str">
        <f>IFERROR(TRIM(Raw_Data!A876), "Review")</f>
        <v>EMP1874</v>
      </c>
      <c r="B876" s="2" t="str">
        <f>IFERROR(TRIM(Raw_Data!B876), "Review")</f>
        <v>David</v>
      </c>
      <c r="C876" s="2" t="str">
        <f>IFERROR(TRIM(Raw_Data!C876), "Review")</f>
        <v>Johnson</v>
      </c>
      <c r="D876" s="2">
        <f>IF(Raw_Data!D876="", "", IFERROR(VALUE(Raw_Data!D876), ""))</f>
        <v>25</v>
      </c>
      <c r="E876" s="2" t="str">
        <f>IFERROR(LEFT(Raw_Data!E876,SEARCH("-",Raw_Data!E876)-1),"Review")</f>
        <v>Sales</v>
      </c>
      <c r="F876" s="2" t="str">
        <f>IFERROR(_xlfn.TEXTAFTER(Raw_Data!E876,"-"),"Review")</f>
        <v>New York</v>
      </c>
      <c r="G876" s="2" t="str">
        <f>IFERROR(TRIM(Raw_Data!F876), "Review")</f>
        <v>Inactive</v>
      </c>
      <c r="H876" s="3" t="str">
        <f>IFERROR(TEXT(Raw_Data!G876, "YYYY-MM-DD"),"Review")</f>
        <v>2020-05-09</v>
      </c>
      <c r="I876" s="4">
        <f>IF(Raw_Data!H876="", "", IFERROR(VALUE(Raw_Data!H876), ""))</f>
        <v>58452.18</v>
      </c>
      <c r="J876" s="2" t="str">
        <f>IF(Raw_Data!I876="", "", IF(ISNUMBER(FIND("@", Raw_Data!I876)), Raw_Data!I876, "Review"))</f>
        <v>david.johnson@example.com</v>
      </c>
      <c r="K876" s="5" t="str">
        <f>IFERROR(TEXT(ABS(Raw_Data!J876), "0"), "Review")</f>
        <v>8192365345</v>
      </c>
      <c r="L876" s="2" t="str">
        <f>IFERROR(TRIM(Raw_Data!K876), "Review")</f>
        <v>Excellent</v>
      </c>
      <c r="M876" s="2" t="b">
        <f>IF(Raw_Data!L876="", "",
    IF(ISLOGICAL(Raw_Data!L876), Raw_Data!L876,
        IF(OR(UPPER(Raw_Data!L876)="TRUE", UPPER(Raw_Data!L876)="YES", UPPER(Raw_Data!L876)="1"), TRUE,
            IF(OR(UPPER(Raw_Data!L876)="FALSE", UPPER(Raw_Data!L876)="NO", UPPER(Raw_Data!L876)="0"), FALSE, "Review")
        )
    )
)</f>
        <v>1</v>
      </c>
    </row>
    <row r="877" spans="1:13" x14ac:dyDescent="0.4">
      <c r="A877" s="2" t="str">
        <f>IFERROR(TRIM(Raw_Data!A877), "Review")</f>
        <v>EMP1875</v>
      </c>
      <c r="B877" s="2" t="str">
        <f>IFERROR(TRIM(Raw_Data!B877), "Review")</f>
        <v>Grace</v>
      </c>
      <c r="C877" s="2" t="str">
        <f>IFERROR(TRIM(Raw_Data!C877), "Review")</f>
        <v>Williams</v>
      </c>
      <c r="D877" s="2">
        <f>IF(Raw_Data!D877="", "", IFERROR(VALUE(Raw_Data!D877), ""))</f>
        <v>30</v>
      </c>
      <c r="E877" s="2" t="str">
        <f>IFERROR(LEFT(Raw_Data!E877,SEARCH("-",Raw_Data!E877)-1),"Review")</f>
        <v>DevOps</v>
      </c>
      <c r="F877" s="2" t="str">
        <f>IFERROR(_xlfn.TEXTAFTER(Raw_Data!E877,"-"),"Review")</f>
        <v>California</v>
      </c>
      <c r="G877" s="2" t="str">
        <f>IFERROR(TRIM(Raw_Data!F877), "Review")</f>
        <v>Pending</v>
      </c>
      <c r="H877" s="3" t="str">
        <f>IFERROR(TEXT(Raw_Data!G877, "YYYY-MM-DD"),"Review")</f>
        <v>2020-12-03</v>
      </c>
      <c r="I877" s="4">
        <f>IF(Raw_Data!H877="", "", IFERROR(VALUE(Raw_Data!H877), ""))</f>
        <v>80706.28</v>
      </c>
      <c r="J877" s="2" t="str">
        <f>IF(Raw_Data!I877="", "", IF(ISNUMBER(FIND("@", Raw_Data!I877)), Raw_Data!I877, "Review"))</f>
        <v>grace.williams@example.com</v>
      </c>
      <c r="K877" s="5" t="str">
        <f>IFERROR(TEXT(ABS(Raw_Data!J877), "0"), "Review")</f>
        <v>605603566</v>
      </c>
      <c r="L877" s="2" t="str">
        <f>IFERROR(TRIM(Raw_Data!K877), "Review")</f>
        <v>Average</v>
      </c>
      <c r="M877" s="2" t="b">
        <f>IF(Raw_Data!L877="", "",
    IF(ISLOGICAL(Raw_Data!L877), Raw_Data!L877,
        IF(OR(UPPER(Raw_Data!L877)="TRUE", UPPER(Raw_Data!L877)="YES", UPPER(Raw_Data!L877)="1"), TRUE,
            IF(OR(UPPER(Raw_Data!L877)="FALSE", UPPER(Raw_Data!L877)="NO", UPPER(Raw_Data!L877)="0"), FALSE, "Review")
        )
    )
)</f>
        <v>1</v>
      </c>
    </row>
    <row r="878" spans="1:13" x14ac:dyDescent="0.4">
      <c r="A878" s="2" t="str">
        <f>IFERROR(TRIM(Raw_Data!A878), "Review")</f>
        <v>EMP1876</v>
      </c>
      <c r="B878" s="2" t="str">
        <f>IFERROR(TRIM(Raw_Data!B878), "Review")</f>
        <v>Alice</v>
      </c>
      <c r="C878" s="2" t="str">
        <f>IFERROR(TRIM(Raw_Data!C878), "Review")</f>
        <v>Johnson</v>
      </c>
      <c r="D878" s="2">
        <f>IF(Raw_Data!D878="", "", IFERROR(VALUE(Raw_Data!D878), ""))</f>
        <v>30</v>
      </c>
      <c r="E878" s="2" t="str">
        <f>IFERROR(LEFT(Raw_Data!E878,SEARCH("-",Raw_Data!E878)-1),"Review")</f>
        <v>Cloud Tech</v>
      </c>
      <c r="F878" s="2" t="str">
        <f>IFERROR(_xlfn.TEXTAFTER(Raw_Data!E878,"-"),"Review")</f>
        <v>Nevada</v>
      </c>
      <c r="G878" s="2" t="str">
        <f>IFERROR(TRIM(Raw_Data!F878), "Review")</f>
        <v>Pending</v>
      </c>
      <c r="H878" s="3" t="str">
        <f>IFERROR(TEXT(Raw_Data!G878, "YYYY-MM-DD"),"Review")</f>
        <v>2022-02-09</v>
      </c>
      <c r="I878" s="4" t="str">
        <f>IF(Raw_Data!H878="", "", IFERROR(VALUE(Raw_Data!H878), ""))</f>
        <v/>
      </c>
      <c r="J878" s="2" t="str">
        <f>IF(Raw_Data!I878="", "", IF(ISNUMBER(FIND("@", Raw_Data!I878)), Raw_Data!I878, "Review"))</f>
        <v>alice.johnson@example.com</v>
      </c>
      <c r="K878" s="5" t="str">
        <f>IFERROR(TEXT(ABS(Raw_Data!J878), "0"), "Review")</f>
        <v>9327986238</v>
      </c>
      <c r="L878" s="2" t="str">
        <f>IFERROR(TRIM(Raw_Data!K878), "Review")</f>
        <v>Good</v>
      </c>
      <c r="M878" s="2" t="b">
        <f>IF(Raw_Data!L878="", "",
    IF(ISLOGICAL(Raw_Data!L878), Raw_Data!L878,
        IF(OR(UPPER(Raw_Data!L878)="TRUE", UPPER(Raw_Data!L878)="YES", UPPER(Raw_Data!L878)="1"), TRUE,
            IF(OR(UPPER(Raw_Data!L878)="FALSE", UPPER(Raw_Data!L878)="NO", UPPER(Raw_Data!L878)="0"), FALSE, "Review")
        )
    )
)</f>
        <v>1</v>
      </c>
    </row>
    <row r="879" spans="1:13" x14ac:dyDescent="0.4">
      <c r="A879" s="2" t="str">
        <f>IFERROR(TRIM(Raw_Data!A879), "Review")</f>
        <v>EMP1877</v>
      </c>
      <c r="B879" s="2" t="str">
        <f>IFERROR(TRIM(Raw_Data!B879), "Review")</f>
        <v>Heidi</v>
      </c>
      <c r="C879" s="2" t="str">
        <f>IFERROR(TRIM(Raw_Data!C879), "Review")</f>
        <v>Johnson</v>
      </c>
      <c r="D879" s="2">
        <f>IF(Raw_Data!D879="", "", IFERROR(VALUE(Raw_Data!D879), ""))</f>
        <v>25</v>
      </c>
      <c r="E879" s="2" t="str">
        <f>IFERROR(LEFT(Raw_Data!E879,SEARCH("-",Raw_Data!E879)-1),"Review")</f>
        <v>Cloud Tech</v>
      </c>
      <c r="F879" s="2" t="str">
        <f>IFERROR(_xlfn.TEXTAFTER(Raw_Data!E879,"-"),"Review")</f>
        <v>Texas</v>
      </c>
      <c r="G879" s="2" t="str">
        <f>IFERROR(TRIM(Raw_Data!F879), "Review")</f>
        <v>Active</v>
      </c>
      <c r="H879" s="3" t="str">
        <f>IFERROR(TEXT(Raw_Data!G879, "YYYY-MM-DD"),"Review")</f>
        <v>2020-07-01</v>
      </c>
      <c r="I879" s="4">
        <f>IF(Raw_Data!H879="", "", IFERROR(VALUE(Raw_Data!H879), ""))</f>
        <v>99471.89</v>
      </c>
      <c r="J879" s="2" t="str">
        <f>IF(Raw_Data!I879="", "", IF(ISNUMBER(FIND("@", Raw_Data!I879)), Raw_Data!I879, "Review"))</f>
        <v>heidi.johnson@example.com</v>
      </c>
      <c r="K879" s="5" t="str">
        <f>IFERROR(TEXT(ABS(Raw_Data!J879), "0"), "Review")</f>
        <v>8471690617</v>
      </c>
      <c r="L879" s="2" t="str">
        <f>IFERROR(TRIM(Raw_Data!K879), "Review")</f>
        <v>Average</v>
      </c>
      <c r="M879" s="2" t="b">
        <f>IF(Raw_Data!L879="", "",
    IF(ISLOGICAL(Raw_Data!L879), Raw_Data!L879,
        IF(OR(UPPER(Raw_Data!L879)="TRUE", UPPER(Raw_Data!L879)="YES", UPPER(Raw_Data!L879)="1"), TRUE,
            IF(OR(UPPER(Raw_Data!L879)="FALSE", UPPER(Raw_Data!L879)="NO", UPPER(Raw_Data!L879)="0"), FALSE, "Review")
        )
    )
)</f>
        <v>1</v>
      </c>
    </row>
    <row r="880" spans="1:13" x14ac:dyDescent="0.4">
      <c r="A880" s="2" t="str">
        <f>IFERROR(TRIM(Raw_Data!A880), "Review")</f>
        <v>EMP1878</v>
      </c>
      <c r="B880" s="2" t="str">
        <f>IFERROR(TRIM(Raw_Data!B880), "Review")</f>
        <v>Eva</v>
      </c>
      <c r="C880" s="2" t="str">
        <f>IFERROR(TRIM(Raw_Data!C880), "Review")</f>
        <v>Jones</v>
      </c>
      <c r="D880" s="2">
        <f>IF(Raw_Data!D880="", "", IFERROR(VALUE(Raw_Data!D880), ""))</f>
        <v>40</v>
      </c>
      <c r="E880" s="2" t="str">
        <f>IFERROR(LEFT(Raw_Data!E880,SEARCH("-",Raw_Data!E880)-1),"Review")</f>
        <v>DevOps</v>
      </c>
      <c r="F880" s="2" t="str">
        <f>IFERROR(_xlfn.TEXTAFTER(Raw_Data!E880,"-"),"Review")</f>
        <v>Florida</v>
      </c>
      <c r="G880" s="2" t="str">
        <f>IFERROR(TRIM(Raw_Data!F880), "Review")</f>
        <v>Pending</v>
      </c>
      <c r="H880" s="3" t="str">
        <f>IFERROR(TEXT(Raw_Data!G880, "YYYY-MM-DD"),"Review")</f>
        <v>2020-09-16</v>
      </c>
      <c r="I880" s="4">
        <f>IF(Raw_Data!H880="", "", IFERROR(VALUE(Raw_Data!H880), ""))</f>
        <v>64431.22</v>
      </c>
      <c r="J880" s="2" t="str">
        <f>IF(Raw_Data!I880="", "", IF(ISNUMBER(FIND("@", Raw_Data!I880)), Raw_Data!I880, "Review"))</f>
        <v>eva.jones@example.com</v>
      </c>
      <c r="K880" s="5" t="str">
        <f>IFERROR(TEXT(ABS(Raw_Data!J880), "0"), "Review")</f>
        <v>1205464753</v>
      </c>
      <c r="L880" s="2" t="str">
        <f>IFERROR(TRIM(Raw_Data!K880), "Review")</f>
        <v>Poor</v>
      </c>
      <c r="M880" s="2" t="b">
        <f>IF(Raw_Data!L880="", "",
    IF(ISLOGICAL(Raw_Data!L880), Raw_Data!L880,
        IF(OR(UPPER(Raw_Data!L880)="TRUE", UPPER(Raw_Data!L880)="YES", UPPER(Raw_Data!L880)="1"), TRUE,
            IF(OR(UPPER(Raw_Data!L880)="FALSE", UPPER(Raw_Data!L880)="NO", UPPER(Raw_Data!L880)="0"), FALSE, "Review")
        )
    )
)</f>
        <v>0</v>
      </c>
    </row>
    <row r="881" spans="1:13" x14ac:dyDescent="0.4">
      <c r="A881" s="2" t="str">
        <f>IFERROR(TRIM(Raw_Data!A881), "Review")</f>
        <v>EMP1879</v>
      </c>
      <c r="B881" s="2" t="str">
        <f>IFERROR(TRIM(Raw_Data!B881), "Review")</f>
        <v>Heidi</v>
      </c>
      <c r="C881" s="2" t="str">
        <f>IFERROR(TRIM(Raw_Data!C881), "Review")</f>
        <v>Jones</v>
      </c>
      <c r="D881" s="2">
        <f>IF(Raw_Data!D881="", "", IFERROR(VALUE(Raw_Data!D881), ""))</f>
        <v>40</v>
      </c>
      <c r="E881" s="2" t="str">
        <f>IFERROR(LEFT(Raw_Data!E881,SEARCH("-",Raw_Data!E881)-1),"Review")</f>
        <v>Admin</v>
      </c>
      <c r="F881" s="2" t="str">
        <f>IFERROR(_xlfn.TEXTAFTER(Raw_Data!E881,"-"),"Review")</f>
        <v>New York</v>
      </c>
      <c r="G881" s="2" t="str">
        <f>IFERROR(TRIM(Raw_Data!F881), "Review")</f>
        <v>Pending</v>
      </c>
      <c r="H881" s="3" t="str">
        <f>IFERROR(TEXT(Raw_Data!G881, "YYYY-MM-DD"),"Review")</f>
        <v>2023-11-17</v>
      </c>
      <c r="I881" s="4">
        <f>IF(Raw_Data!H881="", "", IFERROR(VALUE(Raw_Data!H881), ""))</f>
        <v>52633.48</v>
      </c>
      <c r="J881" s="2" t="str">
        <f>IF(Raw_Data!I881="", "", IF(ISNUMBER(FIND("@", Raw_Data!I881)), Raw_Data!I881, "Review"))</f>
        <v>heidi.jones@example.com</v>
      </c>
      <c r="K881" s="5" t="str">
        <f>IFERROR(TEXT(ABS(Raw_Data!J881), "0"), "Review")</f>
        <v>8954787697</v>
      </c>
      <c r="L881" s="2" t="str">
        <f>IFERROR(TRIM(Raw_Data!K881), "Review")</f>
        <v>Good</v>
      </c>
      <c r="M881" s="2" t="b">
        <f>IF(Raw_Data!L881="", "",
    IF(ISLOGICAL(Raw_Data!L881), Raw_Data!L881,
        IF(OR(UPPER(Raw_Data!L881)="TRUE", UPPER(Raw_Data!L881)="YES", UPPER(Raw_Data!L881)="1"), TRUE,
            IF(OR(UPPER(Raw_Data!L881)="FALSE", UPPER(Raw_Data!L881)="NO", UPPER(Raw_Data!L881)="0"), FALSE, "Review")
        )
    )
)</f>
        <v>0</v>
      </c>
    </row>
    <row r="882" spans="1:13" x14ac:dyDescent="0.4">
      <c r="A882" s="2" t="str">
        <f>IFERROR(TRIM(Raw_Data!A882), "Review")</f>
        <v>EMP1880</v>
      </c>
      <c r="B882" s="2" t="str">
        <f>IFERROR(TRIM(Raw_Data!B882), "Review")</f>
        <v>Heidi</v>
      </c>
      <c r="C882" s="2" t="str">
        <f>IFERROR(TRIM(Raw_Data!C882), "Review")</f>
        <v>Jones</v>
      </c>
      <c r="D882" s="2" t="str">
        <f>IF(Raw_Data!D882="", "", IFERROR(VALUE(Raw_Data!D882), ""))</f>
        <v/>
      </c>
      <c r="E882" s="2" t="str">
        <f>IFERROR(LEFT(Raw_Data!E882,SEARCH("-",Raw_Data!E882)-1),"Review")</f>
        <v>Cloud Tech</v>
      </c>
      <c r="F882" s="2" t="str">
        <f>IFERROR(_xlfn.TEXTAFTER(Raw_Data!E882,"-"),"Review")</f>
        <v>Nevada</v>
      </c>
      <c r="G882" s="2" t="str">
        <f>IFERROR(TRIM(Raw_Data!F882), "Review")</f>
        <v>Inactive</v>
      </c>
      <c r="H882" s="3" t="str">
        <f>IFERROR(TEXT(Raw_Data!G882, "YYYY-MM-DD"),"Review")</f>
        <v>2021-12-13</v>
      </c>
      <c r="I882" s="4">
        <f>IF(Raw_Data!H882="", "", IFERROR(VALUE(Raw_Data!H882), ""))</f>
        <v>79315.009999999995</v>
      </c>
      <c r="J882" s="2" t="str">
        <f>IF(Raw_Data!I882="", "", IF(ISNUMBER(FIND("@", Raw_Data!I882)), Raw_Data!I882, "Review"))</f>
        <v>heidi.jones@example.com</v>
      </c>
      <c r="K882" s="5" t="str">
        <f>IFERROR(TEXT(ABS(Raw_Data!J882), "0"), "Review")</f>
        <v>9992751757</v>
      </c>
      <c r="L882" s="2" t="str">
        <f>IFERROR(TRIM(Raw_Data!K882), "Review")</f>
        <v>Poor</v>
      </c>
      <c r="M882" s="2" t="b">
        <f>IF(Raw_Data!L882="", "",
    IF(ISLOGICAL(Raw_Data!L882), Raw_Data!L882,
        IF(OR(UPPER(Raw_Data!L882)="TRUE", UPPER(Raw_Data!L882)="YES", UPPER(Raw_Data!L882)="1"), TRUE,
            IF(OR(UPPER(Raw_Data!L882)="FALSE", UPPER(Raw_Data!L882)="NO", UPPER(Raw_Data!L882)="0"), FALSE, "Review")
        )
    )
)</f>
        <v>1</v>
      </c>
    </row>
    <row r="883" spans="1:13" x14ac:dyDescent="0.4">
      <c r="A883" s="2" t="str">
        <f>IFERROR(TRIM(Raw_Data!A883), "Review")</f>
        <v>EMP1881</v>
      </c>
      <c r="B883" s="2" t="str">
        <f>IFERROR(TRIM(Raw_Data!B883), "Review")</f>
        <v>David</v>
      </c>
      <c r="C883" s="2" t="str">
        <f>IFERROR(TRIM(Raw_Data!C883), "Review")</f>
        <v>Miller</v>
      </c>
      <c r="D883" s="2">
        <f>IF(Raw_Data!D883="", "", IFERROR(VALUE(Raw_Data!D883), ""))</f>
        <v>25</v>
      </c>
      <c r="E883" s="2" t="str">
        <f>IFERROR(LEFT(Raw_Data!E883,SEARCH("-",Raw_Data!E883)-1),"Review")</f>
        <v>Sales</v>
      </c>
      <c r="F883" s="2" t="str">
        <f>IFERROR(_xlfn.TEXTAFTER(Raw_Data!E883,"-"),"Review")</f>
        <v>Texas</v>
      </c>
      <c r="G883" s="2" t="str">
        <f>IFERROR(TRIM(Raw_Data!F883), "Review")</f>
        <v>Pending</v>
      </c>
      <c r="H883" s="3" t="str">
        <f>IFERROR(TEXT(Raw_Data!G883, "YYYY-MM-DD"),"Review")</f>
        <v>2022-01-11</v>
      </c>
      <c r="I883" s="4">
        <f>IF(Raw_Data!H883="", "", IFERROR(VALUE(Raw_Data!H883), ""))</f>
        <v>110391.17</v>
      </c>
      <c r="J883" s="2" t="str">
        <f>IF(Raw_Data!I883="", "", IF(ISNUMBER(FIND("@", Raw_Data!I883)), Raw_Data!I883, "Review"))</f>
        <v>david.miller@example.com</v>
      </c>
      <c r="K883" s="5" t="str">
        <f>IFERROR(TEXT(ABS(Raw_Data!J883), "0"), "Review")</f>
        <v>8914444982</v>
      </c>
      <c r="L883" s="2" t="str">
        <f>IFERROR(TRIM(Raw_Data!K883), "Review")</f>
        <v>Excellent</v>
      </c>
      <c r="M883" s="2" t="b">
        <f>IF(Raw_Data!L883="", "",
    IF(ISLOGICAL(Raw_Data!L883), Raw_Data!L883,
        IF(OR(UPPER(Raw_Data!L883)="TRUE", UPPER(Raw_Data!L883)="YES", UPPER(Raw_Data!L883)="1"), TRUE,
            IF(OR(UPPER(Raw_Data!L883)="FALSE", UPPER(Raw_Data!L883)="NO", UPPER(Raw_Data!L883)="0"), FALSE, "Review")
        )
    )
)</f>
        <v>0</v>
      </c>
    </row>
    <row r="884" spans="1:13" x14ac:dyDescent="0.4">
      <c r="A884" s="2" t="str">
        <f>IFERROR(TRIM(Raw_Data!A884), "Review")</f>
        <v>EMP1882</v>
      </c>
      <c r="B884" s="2" t="str">
        <f>IFERROR(TRIM(Raw_Data!B884), "Review")</f>
        <v>David</v>
      </c>
      <c r="C884" s="2" t="str">
        <f>IFERROR(TRIM(Raw_Data!C884), "Review")</f>
        <v>Williams</v>
      </c>
      <c r="D884" s="2">
        <f>IF(Raw_Data!D884="", "", IFERROR(VALUE(Raw_Data!D884), ""))</f>
        <v>40</v>
      </c>
      <c r="E884" s="2" t="str">
        <f>IFERROR(LEFT(Raw_Data!E884,SEARCH("-",Raw_Data!E884)-1),"Review")</f>
        <v>DevOps</v>
      </c>
      <c r="F884" s="2" t="str">
        <f>IFERROR(_xlfn.TEXTAFTER(Raw_Data!E884,"-"),"Review")</f>
        <v>Nevada</v>
      </c>
      <c r="G884" s="2" t="str">
        <f>IFERROR(TRIM(Raw_Data!F884), "Review")</f>
        <v>Active</v>
      </c>
      <c r="H884" s="3" t="str">
        <f>IFERROR(TEXT(Raw_Data!G884, "YYYY-MM-DD"),"Review")</f>
        <v>2021-07-20</v>
      </c>
      <c r="I884" s="4">
        <f>IF(Raw_Data!H884="", "", IFERROR(VALUE(Raw_Data!H884), ""))</f>
        <v>53714.83</v>
      </c>
      <c r="J884" s="2" t="str">
        <f>IF(Raw_Data!I884="", "", IF(ISNUMBER(FIND("@", Raw_Data!I884)), Raw_Data!I884, "Review"))</f>
        <v>david.williams@example.com</v>
      </c>
      <c r="K884" s="5" t="str">
        <f>IFERROR(TEXT(ABS(Raw_Data!J884), "0"), "Review")</f>
        <v>5539354357</v>
      </c>
      <c r="L884" s="2" t="str">
        <f>IFERROR(TRIM(Raw_Data!K884), "Review")</f>
        <v>Excellent</v>
      </c>
      <c r="M884" s="2" t="b">
        <f>IF(Raw_Data!L884="", "",
    IF(ISLOGICAL(Raw_Data!L884), Raw_Data!L884,
        IF(OR(UPPER(Raw_Data!L884)="TRUE", UPPER(Raw_Data!L884)="YES", UPPER(Raw_Data!L884)="1"), TRUE,
            IF(OR(UPPER(Raw_Data!L884)="FALSE", UPPER(Raw_Data!L884)="NO", UPPER(Raw_Data!L884)="0"), FALSE, "Review")
        )
    )
)</f>
        <v>1</v>
      </c>
    </row>
    <row r="885" spans="1:13" x14ac:dyDescent="0.4">
      <c r="A885" s="2" t="str">
        <f>IFERROR(TRIM(Raw_Data!A885), "Review")</f>
        <v>EMP1883</v>
      </c>
      <c r="B885" s="2" t="str">
        <f>IFERROR(TRIM(Raw_Data!B885), "Review")</f>
        <v>Charlie</v>
      </c>
      <c r="C885" s="2" t="str">
        <f>IFERROR(TRIM(Raw_Data!C885), "Review")</f>
        <v>Garcia</v>
      </c>
      <c r="D885" s="2">
        <f>IF(Raw_Data!D885="", "", IFERROR(VALUE(Raw_Data!D885), ""))</f>
        <v>40</v>
      </c>
      <c r="E885" s="2" t="str">
        <f>IFERROR(LEFT(Raw_Data!E885,SEARCH("-",Raw_Data!E885)-1),"Review")</f>
        <v>Finance</v>
      </c>
      <c r="F885" s="2" t="str">
        <f>IFERROR(_xlfn.TEXTAFTER(Raw_Data!E885,"-"),"Review")</f>
        <v>New York</v>
      </c>
      <c r="G885" s="2" t="str">
        <f>IFERROR(TRIM(Raw_Data!F885), "Review")</f>
        <v>Active</v>
      </c>
      <c r="H885" s="3" t="str">
        <f>IFERROR(TEXT(Raw_Data!G885, "YYYY-MM-DD"),"Review")</f>
        <v>2023-10-04</v>
      </c>
      <c r="I885" s="4">
        <f>IF(Raw_Data!H885="", "", IFERROR(VALUE(Raw_Data!H885), ""))</f>
        <v>114587.11</v>
      </c>
      <c r="J885" s="2" t="str">
        <f>IF(Raw_Data!I885="", "", IF(ISNUMBER(FIND("@", Raw_Data!I885)), Raw_Data!I885, "Review"))</f>
        <v>charlie.garcia@example.com</v>
      </c>
      <c r="K885" s="5" t="str">
        <f>IFERROR(TEXT(ABS(Raw_Data!J885), "0"), "Review")</f>
        <v>6449639242</v>
      </c>
      <c r="L885" s="2" t="str">
        <f>IFERROR(TRIM(Raw_Data!K885), "Review")</f>
        <v>Excellent</v>
      </c>
      <c r="M885" s="2" t="b">
        <f>IF(Raw_Data!L885="", "",
    IF(ISLOGICAL(Raw_Data!L885), Raw_Data!L885,
        IF(OR(UPPER(Raw_Data!L885)="TRUE", UPPER(Raw_Data!L885)="YES", UPPER(Raw_Data!L885)="1"), TRUE,
            IF(OR(UPPER(Raw_Data!L885)="FALSE", UPPER(Raw_Data!L885)="NO", UPPER(Raw_Data!L885)="0"), FALSE, "Review")
        )
    )
)</f>
        <v>1</v>
      </c>
    </row>
    <row r="886" spans="1:13" x14ac:dyDescent="0.4">
      <c r="A886" s="2" t="str">
        <f>IFERROR(TRIM(Raw_Data!A886), "Review")</f>
        <v>EMP1884</v>
      </c>
      <c r="B886" s="2" t="str">
        <f>IFERROR(TRIM(Raw_Data!B886), "Review")</f>
        <v>Frank</v>
      </c>
      <c r="C886" s="2" t="str">
        <f>IFERROR(TRIM(Raw_Data!C886), "Review")</f>
        <v>Garcia</v>
      </c>
      <c r="D886" s="2">
        <f>IF(Raw_Data!D886="", "", IFERROR(VALUE(Raw_Data!D886), ""))</f>
        <v>35</v>
      </c>
      <c r="E886" s="2" t="str">
        <f>IFERROR(LEFT(Raw_Data!E886,SEARCH("-",Raw_Data!E886)-1),"Review")</f>
        <v>Admin</v>
      </c>
      <c r="F886" s="2" t="str">
        <f>IFERROR(_xlfn.TEXTAFTER(Raw_Data!E886,"-"),"Review")</f>
        <v>Florida</v>
      </c>
      <c r="G886" s="2" t="str">
        <f>IFERROR(TRIM(Raw_Data!F886), "Review")</f>
        <v>Inactive</v>
      </c>
      <c r="H886" s="3" t="str">
        <f>IFERROR(TEXT(Raw_Data!G886, "YYYY-MM-DD"),"Review")</f>
        <v>2021-11-15</v>
      </c>
      <c r="I886" s="4">
        <f>IF(Raw_Data!H886="", "", IFERROR(VALUE(Raw_Data!H886), ""))</f>
        <v>93177.35</v>
      </c>
      <c r="J886" s="2" t="str">
        <f>IF(Raw_Data!I886="", "", IF(ISNUMBER(FIND("@", Raw_Data!I886)), Raw_Data!I886, "Review"))</f>
        <v>frank.garcia@example.com</v>
      </c>
      <c r="K886" s="5" t="str">
        <f>IFERROR(TEXT(ABS(Raw_Data!J886), "0"), "Review")</f>
        <v>5885379820</v>
      </c>
      <c r="L886" s="2" t="str">
        <f>IFERROR(TRIM(Raw_Data!K886), "Review")</f>
        <v>Average</v>
      </c>
      <c r="M886" s="2" t="b">
        <f>IF(Raw_Data!L886="", "",
    IF(ISLOGICAL(Raw_Data!L886), Raw_Data!L886,
        IF(OR(UPPER(Raw_Data!L886)="TRUE", UPPER(Raw_Data!L886)="YES", UPPER(Raw_Data!L886)="1"), TRUE,
            IF(OR(UPPER(Raw_Data!L886)="FALSE", UPPER(Raw_Data!L886)="NO", UPPER(Raw_Data!L886)="0"), FALSE, "Review")
        )
    )
)</f>
        <v>0</v>
      </c>
    </row>
    <row r="887" spans="1:13" x14ac:dyDescent="0.4">
      <c r="A887" s="2" t="str">
        <f>IFERROR(TRIM(Raw_Data!A887), "Review")</f>
        <v>EMP1885</v>
      </c>
      <c r="B887" s="2" t="str">
        <f>IFERROR(TRIM(Raw_Data!B887), "Review")</f>
        <v>Heidi</v>
      </c>
      <c r="C887" s="2" t="str">
        <f>IFERROR(TRIM(Raw_Data!C887), "Review")</f>
        <v>Jones</v>
      </c>
      <c r="D887" s="2">
        <f>IF(Raw_Data!D887="", "", IFERROR(VALUE(Raw_Data!D887), ""))</f>
        <v>25</v>
      </c>
      <c r="E887" s="2" t="str">
        <f>IFERROR(LEFT(Raw_Data!E887,SEARCH("-",Raw_Data!E887)-1),"Review")</f>
        <v>Cloud Tech</v>
      </c>
      <c r="F887" s="2" t="str">
        <f>IFERROR(_xlfn.TEXTAFTER(Raw_Data!E887,"-"),"Review")</f>
        <v>Nevada</v>
      </c>
      <c r="G887" s="2" t="str">
        <f>IFERROR(TRIM(Raw_Data!F887), "Review")</f>
        <v>Active</v>
      </c>
      <c r="H887" s="3" t="str">
        <f>IFERROR(TEXT(Raw_Data!G887, "YYYY-MM-DD"),"Review")</f>
        <v>2023-01-05</v>
      </c>
      <c r="I887" s="4">
        <f>IF(Raw_Data!H887="", "", IFERROR(VALUE(Raw_Data!H887), ""))</f>
        <v>62312.13</v>
      </c>
      <c r="J887" s="2" t="str">
        <f>IF(Raw_Data!I887="", "", IF(ISNUMBER(FIND("@", Raw_Data!I887)), Raw_Data!I887, "Review"))</f>
        <v>heidi.jones@example.com</v>
      </c>
      <c r="K887" s="5" t="str">
        <f>IFERROR(TEXT(ABS(Raw_Data!J887), "0"), "Review")</f>
        <v>4339527535</v>
      </c>
      <c r="L887" s="2" t="str">
        <f>IFERROR(TRIM(Raw_Data!K887), "Review")</f>
        <v>Good</v>
      </c>
      <c r="M887" s="2" t="b">
        <f>IF(Raw_Data!L887="", "",
    IF(ISLOGICAL(Raw_Data!L887), Raw_Data!L887,
        IF(OR(UPPER(Raw_Data!L887)="TRUE", UPPER(Raw_Data!L887)="YES", UPPER(Raw_Data!L887)="1"), TRUE,
            IF(OR(UPPER(Raw_Data!L887)="FALSE", UPPER(Raw_Data!L887)="NO", UPPER(Raw_Data!L887)="0"), FALSE, "Review")
        )
    )
)</f>
        <v>0</v>
      </c>
    </row>
    <row r="888" spans="1:13" x14ac:dyDescent="0.4">
      <c r="A888" s="2" t="str">
        <f>IFERROR(TRIM(Raw_Data!A888), "Review")</f>
        <v>EMP1886</v>
      </c>
      <c r="B888" s="2" t="str">
        <f>IFERROR(TRIM(Raw_Data!B888), "Review")</f>
        <v>Heidi</v>
      </c>
      <c r="C888" s="2" t="str">
        <f>IFERROR(TRIM(Raw_Data!C888), "Review")</f>
        <v>Smith</v>
      </c>
      <c r="D888" s="2" t="str">
        <f>IF(Raw_Data!D888="", "", IFERROR(VALUE(Raw_Data!D888), ""))</f>
        <v/>
      </c>
      <c r="E888" s="2" t="str">
        <f>IFERROR(LEFT(Raw_Data!E888,SEARCH("-",Raw_Data!E888)-1),"Review")</f>
        <v>Cloud Tech</v>
      </c>
      <c r="F888" s="2" t="str">
        <f>IFERROR(_xlfn.TEXTAFTER(Raw_Data!E888,"-"),"Review")</f>
        <v>Texas</v>
      </c>
      <c r="G888" s="2" t="str">
        <f>IFERROR(TRIM(Raw_Data!F888), "Review")</f>
        <v>Active</v>
      </c>
      <c r="H888" s="3" t="str">
        <f>IFERROR(TEXT(Raw_Data!G888, "YYYY-MM-DD"),"Review")</f>
        <v>2024-01-17</v>
      </c>
      <c r="I888" s="4">
        <f>IF(Raw_Data!H888="", "", IFERROR(VALUE(Raw_Data!H888), ""))</f>
        <v>81137.460000000006</v>
      </c>
      <c r="J888" s="2" t="str">
        <f>IF(Raw_Data!I888="", "", IF(ISNUMBER(FIND("@", Raw_Data!I888)), Raw_Data!I888, "Review"))</f>
        <v>heidi.smith@example.com</v>
      </c>
      <c r="K888" s="5" t="str">
        <f>IFERROR(TEXT(ABS(Raw_Data!J888), "0"), "Review")</f>
        <v>7497852490</v>
      </c>
      <c r="L888" s="2" t="str">
        <f>IFERROR(TRIM(Raw_Data!K888), "Review")</f>
        <v>Excellent</v>
      </c>
      <c r="M888" s="2" t="b">
        <f>IF(Raw_Data!L888="", "",
    IF(ISLOGICAL(Raw_Data!L888), Raw_Data!L888,
        IF(OR(UPPER(Raw_Data!L888)="TRUE", UPPER(Raw_Data!L888)="YES", UPPER(Raw_Data!L888)="1"), TRUE,
            IF(OR(UPPER(Raw_Data!L888)="FALSE", UPPER(Raw_Data!L888)="NO", UPPER(Raw_Data!L888)="0"), FALSE, "Review")
        )
    )
)</f>
        <v>0</v>
      </c>
    </row>
    <row r="889" spans="1:13" x14ac:dyDescent="0.4">
      <c r="A889" s="2" t="str">
        <f>IFERROR(TRIM(Raw_Data!A889), "Review")</f>
        <v>EMP1887</v>
      </c>
      <c r="B889" s="2" t="str">
        <f>IFERROR(TRIM(Raw_Data!B889), "Review")</f>
        <v>Grace</v>
      </c>
      <c r="C889" s="2" t="str">
        <f>IFERROR(TRIM(Raw_Data!C889), "Review")</f>
        <v>Miller</v>
      </c>
      <c r="D889" s="2">
        <f>IF(Raw_Data!D889="", "", IFERROR(VALUE(Raw_Data!D889), ""))</f>
        <v>30</v>
      </c>
      <c r="E889" s="2" t="str">
        <f>IFERROR(LEFT(Raw_Data!E889,SEARCH("-",Raw_Data!E889)-1),"Review")</f>
        <v>DevOps</v>
      </c>
      <c r="F889" s="2" t="str">
        <f>IFERROR(_xlfn.TEXTAFTER(Raw_Data!E889,"-"),"Review")</f>
        <v>Nevada</v>
      </c>
      <c r="G889" s="2" t="str">
        <f>IFERROR(TRIM(Raw_Data!F889), "Review")</f>
        <v>Inactive</v>
      </c>
      <c r="H889" s="3" t="str">
        <f>IFERROR(TEXT(Raw_Data!G889, "YYYY-MM-DD"),"Review")</f>
        <v>2021-04-16</v>
      </c>
      <c r="I889" s="4">
        <f>IF(Raw_Data!H889="", "", IFERROR(VALUE(Raw_Data!H889), ""))</f>
        <v>104528.27</v>
      </c>
      <c r="J889" s="2" t="str">
        <f>IF(Raw_Data!I889="", "", IF(ISNUMBER(FIND("@", Raw_Data!I889)), Raw_Data!I889, "Review"))</f>
        <v>grace.miller@example.com</v>
      </c>
      <c r="K889" s="5" t="str">
        <f>IFERROR(TEXT(ABS(Raw_Data!J889), "0"), "Review")</f>
        <v>4168601346</v>
      </c>
      <c r="L889" s="2" t="str">
        <f>IFERROR(TRIM(Raw_Data!K889), "Review")</f>
        <v>Excellent</v>
      </c>
      <c r="M889" s="2" t="b">
        <f>IF(Raw_Data!L889="", "",
    IF(ISLOGICAL(Raw_Data!L889), Raw_Data!L889,
        IF(OR(UPPER(Raw_Data!L889)="TRUE", UPPER(Raw_Data!L889)="YES", UPPER(Raw_Data!L889)="1"), TRUE,
            IF(OR(UPPER(Raw_Data!L889)="FALSE", UPPER(Raw_Data!L889)="NO", UPPER(Raw_Data!L889)="0"), FALSE, "Review")
        )
    )
)</f>
        <v>0</v>
      </c>
    </row>
    <row r="890" spans="1:13" x14ac:dyDescent="0.4">
      <c r="A890" s="2" t="str">
        <f>IFERROR(TRIM(Raw_Data!A890), "Review")</f>
        <v>EMP1888</v>
      </c>
      <c r="B890" s="2" t="str">
        <f>IFERROR(TRIM(Raw_Data!B890), "Review")</f>
        <v>Bob</v>
      </c>
      <c r="C890" s="2" t="str">
        <f>IFERROR(TRIM(Raw_Data!C890), "Review")</f>
        <v>Brown</v>
      </c>
      <c r="D890" s="2">
        <f>IF(Raw_Data!D890="", "", IFERROR(VALUE(Raw_Data!D890), ""))</f>
        <v>30</v>
      </c>
      <c r="E890" s="2" t="str">
        <f>IFERROR(LEFT(Raw_Data!E890,SEARCH("-",Raw_Data!E890)-1),"Review")</f>
        <v>DevOps</v>
      </c>
      <c r="F890" s="2" t="str">
        <f>IFERROR(_xlfn.TEXTAFTER(Raw_Data!E890,"-"),"Review")</f>
        <v>Florida</v>
      </c>
      <c r="G890" s="2" t="str">
        <f>IFERROR(TRIM(Raw_Data!F890), "Review")</f>
        <v>Active</v>
      </c>
      <c r="H890" s="3" t="str">
        <f>IFERROR(TEXT(Raw_Data!G890, "YYYY-MM-DD"),"Review")</f>
        <v>2022-02-08</v>
      </c>
      <c r="I890" s="4">
        <f>IF(Raw_Data!H890="", "", IFERROR(VALUE(Raw_Data!H890), ""))</f>
        <v>112395.56</v>
      </c>
      <c r="J890" s="2" t="str">
        <f>IF(Raw_Data!I890="", "", IF(ISNUMBER(FIND("@", Raw_Data!I890)), Raw_Data!I890, "Review"))</f>
        <v>bob.brown@example.com</v>
      </c>
      <c r="K890" s="5" t="str">
        <f>IFERROR(TEXT(ABS(Raw_Data!J890), "0"), "Review")</f>
        <v>7894896339</v>
      </c>
      <c r="L890" s="2" t="str">
        <f>IFERROR(TRIM(Raw_Data!K890), "Review")</f>
        <v>Good</v>
      </c>
      <c r="M890" s="2" t="b">
        <f>IF(Raw_Data!L890="", "",
    IF(ISLOGICAL(Raw_Data!L890), Raw_Data!L890,
        IF(OR(UPPER(Raw_Data!L890)="TRUE", UPPER(Raw_Data!L890)="YES", UPPER(Raw_Data!L890)="1"), TRUE,
            IF(OR(UPPER(Raw_Data!L890)="FALSE", UPPER(Raw_Data!L890)="NO", UPPER(Raw_Data!L890)="0"), FALSE, "Review")
        )
    )
)</f>
        <v>0</v>
      </c>
    </row>
    <row r="891" spans="1:13" x14ac:dyDescent="0.4">
      <c r="A891" s="2" t="str">
        <f>IFERROR(TRIM(Raw_Data!A891), "Review")</f>
        <v>EMP1889</v>
      </c>
      <c r="B891" s="2" t="str">
        <f>IFERROR(TRIM(Raw_Data!B891), "Review")</f>
        <v>Heidi</v>
      </c>
      <c r="C891" s="2" t="str">
        <f>IFERROR(TRIM(Raw_Data!C891), "Review")</f>
        <v>Smith</v>
      </c>
      <c r="D891" s="2">
        <f>IF(Raw_Data!D891="", "", IFERROR(VALUE(Raw_Data!D891), ""))</f>
        <v>25</v>
      </c>
      <c r="E891" s="2" t="str">
        <f>IFERROR(LEFT(Raw_Data!E891,SEARCH("-",Raw_Data!E891)-1),"Review")</f>
        <v>Finance</v>
      </c>
      <c r="F891" s="2" t="str">
        <f>IFERROR(_xlfn.TEXTAFTER(Raw_Data!E891,"-"),"Review")</f>
        <v>New York</v>
      </c>
      <c r="G891" s="2" t="str">
        <f>IFERROR(TRIM(Raw_Data!F891), "Review")</f>
        <v>Active</v>
      </c>
      <c r="H891" s="3" t="str">
        <f>IFERROR(TEXT(Raw_Data!G891, "YYYY-MM-DD"),"Review")</f>
        <v>2023-06-02</v>
      </c>
      <c r="I891" s="4">
        <f>IF(Raw_Data!H891="", "", IFERROR(VALUE(Raw_Data!H891), ""))</f>
        <v>81849.36</v>
      </c>
      <c r="J891" s="2" t="str">
        <f>IF(Raw_Data!I891="", "", IF(ISNUMBER(FIND("@", Raw_Data!I891)), Raw_Data!I891, "Review"))</f>
        <v>heidi.smith@example.com</v>
      </c>
      <c r="K891" s="5" t="str">
        <f>IFERROR(TEXT(ABS(Raw_Data!J891), "0"), "Review")</f>
        <v>6791766511</v>
      </c>
      <c r="L891" s="2" t="str">
        <f>IFERROR(TRIM(Raw_Data!K891), "Review")</f>
        <v>Excellent</v>
      </c>
      <c r="M891" s="2" t="b">
        <f>IF(Raw_Data!L891="", "",
    IF(ISLOGICAL(Raw_Data!L891), Raw_Data!L891,
        IF(OR(UPPER(Raw_Data!L891)="TRUE", UPPER(Raw_Data!L891)="YES", UPPER(Raw_Data!L891)="1"), TRUE,
            IF(OR(UPPER(Raw_Data!L891)="FALSE", UPPER(Raw_Data!L891)="NO", UPPER(Raw_Data!L891)="0"), FALSE, "Review")
        )
    )
)</f>
        <v>0</v>
      </c>
    </row>
    <row r="892" spans="1:13" x14ac:dyDescent="0.4">
      <c r="A892" s="2" t="str">
        <f>IFERROR(TRIM(Raw_Data!A892), "Review")</f>
        <v>EMP1890</v>
      </c>
      <c r="B892" s="2" t="str">
        <f>IFERROR(TRIM(Raw_Data!B892), "Review")</f>
        <v>Charlie</v>
      </c>
      <c r="C892" s="2" t="str">
        <f>IFERROR(TRIM(Raw_Data!C892), "Review")</f>
        <v>Davis</v>
      </c>
      <c r="D892" s="2">
        <f>IF(Raw_Data!D892="", "", IFERROR(VALUE(Raw_Data!D892), ""))</f>
        <v>40</v>
      </c>
      <c r="E892" s="2" t="str">
        <f>IFERROR(LEFT(Raw_Data!E892,SEARCH("-",Raw_Data!E892)-1),"Review")</f>
        <v>DevOps</v>
      </c>
      <c r="F892" s="2" t="str">
        <f>IFERROR(_xlfn.TEXTAFTER(Raw_Data!E892,"-"),"Review")</f>
        <v>New York</v>
      </c>
      <c r="G892" s="2" t="str">
        <f>IFERROR(TRIM(Raw_Data!F892), "Review")</f>
        <v>Pending</v>
      </c>
      <c r="H892" s="3" t="str">
        <f>IFERROR(TEXT(Raw_Data!G892, "YYYY-MM-DD"),"Review")</f>
        <v>2022-01-04</v>
      </c>
      <c r="I892" s="4">
        <f>IF(Raw_Data!H892="", "", IFERROR(VALUE(Raw_Data!H892), ""))</f>
        <v>118288.91</v>
      </c>
      <c r="J892" s="2" t="str">
        <f>IF(Raw_Data!I892="", "", IF(ISNUMBER(FIND("@", Raw_Data!I892)), Raw_Data!I892, "Review"))</f>
        <v>charlie.davis@example.com</v>
      </c>
      <c r="K892" s="5" t="str">
        <f>IFERROR(TEXT(ABS(Raw_Data!J892), "0"), "Review")</f>
        <v>2150014187</v>
      </c>
      <c r="L892" s="2" t="str">
        <f>IFERROR(TRIM(Raw_Data!K892), "Review")</f>
        <v>Poor</v>
      </c>
      <c r="M892" s="2" t="b">
        <f>IF(Raw_Data!L892="", "",
    IF(ISLOGICAL(Raw_Data!L892), Raw_Data!L892,
        IF(OR(UPPER(Raw_Data!L892)="TRUE", UPPER(Raw_Data!L892)="YES", UPPER(Raw_Data!L892)="1"), TRUE,
            IF(OR(UPPER(Raw_Data!L892)="FALSE", UPPER(Raw_Data!L892)="NO", UPPER(Raw_Data!L892)="0"), FALSE, "Review")
        )
    )
)</f>
        <v>0</v>
      </c>
    </row>
    <row r="893" spans="1:13" x14ac:dyDescent="0.4">
      <c r="A893" s="2" t="str">
        <f>IFERROR(TRIM(Raw_Data!A893), "Review")</f>
        <v>EMP1891</v>
      </c>
      <c r="B893" s="2" t="str">
        <f>IFERROR(TRIM(Raw_Data!B893), "Review")</f>
        <v>Charlie</v>
      </c>
      <c r="C893" s="2" t="str">
        <f>IFERROR(TRIM(Raw_Data!C893), "Review")</f>
        <v>Davis</v>
      </c>
      <c r="D893" s="2">
        <f>IF(Raw_Data!D893="", "", IFERROR(VALUE(Raw_Data!D893), ""))</f>
        <v>25</v>
      </c>
      <c r="E893" s="2" t="str">
        <f>IFERROR(LEFT(Raw_Data!E893,SEARCH("-",Raw_Data!E893)-1),"Review")</f>
        <v>DevOps</v>
      </c>
      <c r="F893" s="2" t="str">
        <f>IFERROR(_xlfn.TEXTAFTER(Raw_Data!E893,"-"),"Review")</f>
        <v>Illinois</v>
      </c>
      <c r="G893" s="2" t="str">
        <f>IFERROR(TRIM(Raw_Data!F893), "Review")</f>
        <v>Active</v>
      </c>
      <c r="H893" s="3" t="str">
        <f>IFERROR(TEXT(Raw_Data!G893, "YYYY-MM-DD"),"Review")</f>
        <v>2021-07-28</v>
      </c>
      <c r="I893" s="4">
        <f>IF(Raw_Data!H893="", "", IFERROR(VALUE(Raw_Data!H893), ""))</f>
        <v>59555.1</v>
      </c>
      <c r="J893" s="2" t="str">
        <f>IF(Raw_Data!I893="", "", IF(ISNUMBER(FIND("@", Raw_Data!I893)), Raw_Data!I893, "Review"))</f>
        <v>charlie.davis@example.com</v>
      </c>
      <c r="K893" s="5" t="str">
        <f>IFERROR(TEXT(ABS(Raw_Data!J893), "0"), "Review")</f>
        <v>4216309000</v>
      </c>
      <c r="L893" s="2" t="str">
        <f>IFERROR(TRIM(Raw_Data!K893), "Review")</f>
        <v>Good</v>
      </c>
      <c r="M893" s="2" t="b">
        <f>IF(Raw_Data!L893="", "",
    IF(ISLOGICAL(Raw_Data!L893), Raw_Data!L893,
        IF(OR(UPPER(Raw_Data!L893)="TRUE", UPPER(Raw_Data!L893)="YES", UPPER(Raw_Data!L893)="1"), TRUE,
            IF(OR(UPPER(Raw_Data!L893)="FALSE", UPPER(Raw_Data!L893)="NO", UPPER(Raw_Data!L893)="0"), FALSE, "Review")
        )
    )
)</f>
        <v>1</v>
      </c>
    </row>
    <row r="894" spans="1:13" x14ac:dyDescent="0.4">
      <c r="A894" s="2" t="str">
        <f>IFERROR(TRIM(Raw_Data!A894), "Review")</f>
        <v>EMP1892</v>
      </c>
      <c r="B894" s="2" t="str">
        <f>IFERROR(TRIM(Raw_Data!B894), "Review")</f>
        <v>Heidi</v>
      </c>
      <c r="C894" s="2" t="str">
        <f>IFERROR(TRIM(Raw_Data!C894), "Review")</f>
        <v>Smith</v>
      </c>
      <c r="D894" s="2">
        <f>IF(Raw_Data!D894="", "", IFERROR(VALUE(Raw_Data!D894), ""))</f>
        <v>40</v>
      </c>
      <c r="E894" s="2" t="str">
        <f>IFERROR(LEFT(Raw_Data!E894,SEARCH("-",Raw_Data!E894)-1),"Review")</f>
        <v>Admin</v>
      </c>
      <c r="F894" s="2" t="str">
        <f>IFERROR(_xlfn.TEXTAFTER(Raw_Data!E894,"-"),"Review")</f>
        <v>California</v>
      </c>
      <c r="G894" s="2" t="str">
        <f>IFERROR(TRIM(Raw_Data!F894), "Review")</f>
        <v>Active</v>
      </c>
      <c r="H894" s="3" t="str">
        <f>IFERROR(TEXT(Raw_Data!G894, "YYYY-MM-DD"),"Review")</f>
        <v>2024-12-20</v>
      </c>
      <c r="I894" s="4">
        <f>IF(Raw_Data!H894="", "", IFERROR(VALUE(Raw_Data!H894), ""))</f>
        <v>70661.31</v>
      </c>
      <c r="J894" s="2" t="str">
        <f>IF(Raw_Data!I894="", "", IF(ISNUMBER(FIND("@", Raw_Data!I894)), Raw_Data!I894, "Review"))</f>
        <v>heidi.smith@example.com</v>
      </c>
      <c r="K894" s="5" t="str">
        <f>IFERROR(TEXT(ABS(Raw_Data!J894), "0"), "Review")</f>
        <v>5944633398</v>
      </c>
      <c r="L894" s="2" t="str">
        <f>IFERROR(TRIM(Raw_Data!K894), "Review")</f>
        <v>Good</v>
      </c>
      <c r="M894" s="2" t="b">
        <f>IF(Raw_Data!L894="", "",
    IF(ISLOGICAL(Raw_Data!L894), Raw_Data!L894,
        IF(OR(UPPER(Raw_Data!L894)="TRUE", UPPER(Raw_Data!L894)="YES", UPPER(Raw_Data!L894)="1"), TRUE,
            IF(OR(UPPER(Raw_Data!L894)="FALSE", UPPER(Raw_Data!L894)="NO", UPPER(Raw_Data!L894)="0"), FALSE, "Review")
        )
    )
)</f>
        <v>1</v>
      </c>
    </row>
    <row r="895" spans="1:13" x14ac:dyDescent="0.4">
      <c r="A895" s="2" t="str">
        <f>IFERROR(TRIM(Raw_Data!A895), "Review")</f>
        <v>EMP1893</v>
      </c>
      <c r="B895" s="2" t="str">
        <f>IFERROR(TRIM(Raw_Data!B895), "Review")</f>
        <v>Charlie</v>
      </c>
      <c r="C895" s="2" t="str">
        <f>IFERROR(TRIM(Raw_Data!C895), "Review")</f>
        <v>Jones</v>
      </c>
      <c r="D895" s="2" t="str">
        <f>IF(Raw_Data!D895="", "", IFERROR(VALUE(Raw_Data!D895), ""))</f>
        <v/>
      </c>
      <c r="E895" s="2" t="str">
        <f>IFERROR(LEFT(Raw_Data!E895,SEARCH("-",Raw_Data!E895)-1),"Review")</f>
        <v>Sales</v>
      </c>
      <c r="F895" s="2" t="str">
        <f>IFERROR(_xlfn.TEXTAFTER(Raw_Data!E895,"-"),"Review")</f>
        <v>New York</v>
      </c>
      <c r="G895" s="2" t="str">
        <f>IFERROR(TRIM(Raw_Data!F895), "Review")</f>
        <v>Active</v>
      </c>
      <c r="H895" s="3" t="str">
        <f>IFERROR(TEXT(Raw_Data!G895, "YYYY-MM-DD"),"Review")</f>
        <v>2022-04-23</v>
      </c>
      <c r="I895" s="4">
        <f>IF(Raw_Data!H895="", "", IFERROR(VALUE(Raw_Data!H895), ""))</f>
        <v>109988.16</v>
      </c>
      <c r="J895" s="2" t="str">
        <f>IF(Raw_Data!I895="", "", IF(ISNUMBER(FIND("@", Raw_Data!I895)), Raw_Data!I895, "Review"))</f>
        <v>charlie.jones@example.com</v>
      </c>
      <c r="K895" s="5" t="str">
        <f>IFERROR(TEXT(ABS(Raw_Data!J895), "0"), "Review")</f>
        <v>9485320894</v>
      </c>
      <c r="L895" s="2" t="str">
        <f>IFERROR(TRIM(Raw_Data!K895), "Review")</f>
        <v>Good</v>
      </c>
      <c r="M895" s="2" t="b">
        <f>IF(Raw_Data!L895="", "",
    IF(ISLOGICAL(Raw_Data!L895), Raw_Data!L895,
        IF(OR(UPPER(Raw_Data!L895)="TRUE", UPPER(Raw_Data!L895)="YES", UPPER(Raw_Data!L895)="1"), TRUE,
            IF(OR(UPPER(Raw_Data!L895)="FALSE", UPPER(Raw_Data!L895)="NO", UPPER(Raw_Data!L895)="0"), FALSE, "Review")
        )
    )
)</f>
        <v>1</v>
      </c>
    </row>
    <row r="896" spans="1:13" x14ac:dyDescent="0.4">
      <c r="A896" s="2" t="str">
        <f>IFERROR(TRIM(Raw_Data!A896), "Review")</f>
        <v>EMP1894</v>
      </c>
      <c r="B896" s="2" t="str">
        <f>IFERROR(TRIM(Raw_Data!B896), "Review")</f>
        <v>David</v>
      </c>
      <c r="C896" s="2" t="str">
        <f>IFERROR(TRIM(Raw_Data!C896), "Review")</f>
        <v>Brown</v>
      </c>
      <c r="D896" s="2" t="str">
        <f>IF(Raw_Data!D896="", "", IFERROR(VALUE(Raw_Data!D896), ""))</f>
        <v/>
      </c>
      <c r="E896" s="2" t="str">
        <f>IFERROR(LEFT(Raw_Data!E896,SEARCH("-",Raw_Data!E896)-1),"Review")</f>
        <v>Finance</v>
      </c>
      <c r="F896" s="2" t="str">
        <f>IFERROR(_xlfn.TEXTAFTER(Raw_Data!E896,"-"),"Review")</f>
        <v>Florida</v>
      </c>
      <c r="G896" s="2" t="str">
        <f>IFERROR(TRIM(Raw_Data!F896), "Review")</f>
        <v>Inactive</v>
      </c>
      <c r="H896" s="3" t="str">
        <f>IFERROR(TEXT(Raw_Data!G896, "YYYY-MM-DD"),"Review")</f>
        <v>2020-01-30</v>
      </c>
      <c r="I896" s="4">
        <f>IF(Raw_Data!H896="", "", IFERROR(VALUE(Raw_Data!H896), ""))</f>
        <v>101101.24</v>
      </c>
      <c r="J896" s="2" t="str">
        <f>IF(Raw_Data!I896="", "", IF(ISNUMBER(FIND("@", Raw_Data!I896)), Raw_Data!I896, "Review"))</f>
        <v>david.brown@example.com</v>
      </c>
      <c r="K896" s="5" t="str">
        <f>IFERROR(TEXT(ABS(Raw_Data!J896), "0"), "Review")</f>
        <v>3263890218</v>
      </c>
      <c r="L896" s="2" t="str">
        <f>IFERROR(TRIM(Raw_Data!K896), "Review")</f>
        <v>Poor</v>
      </c>
      <c r="M896" s="2" t="b">
        <f>IF(Raw_Data!L896="", "",
    IF(ISLOGICAL(Raw_Data!L896), Raw_Data!L896,
        IF(OR(UPPER(Raw_Data!L896)="TRUE", UPPER(Raw_Data!L896)="YES", UPPER(Raw_Data!L896)="1"), TRUE,
            IF(OR(UPPER(Raw_Data!L896)="FALSE", UPPER(Raw_Data!L896)="NO", UPPER(Raw_Data!L896)="0"), FALSE, "Review")
        )
    )
)</f>
        <v>1</v>
      </c>
    </row>
    <row r="897" spans="1:13" x14ac:dyDescent="0.4">
      <c r="A897" s="2" t="str">
        <f>IFERROR(TRIM(Raw_Data!A897), "Review")</f>
        <v>EMP1895</v>
      </c>
      <c r="B897" s="2" t="str">
        <f>IFERROR(TRIM(Raw_Data!B897), "Review")</f>
        <v>David</v>
      </c>
      <c r="C897" s="2" t="str">
        <f>IFERROR(TRIM(Raw_Data!C897), "Review")</f>
        <v>Brown</v>
      </c>
      <c r="D897" s="2">
        <f>IF(Raw_Data!D897="", "", IFERROR(VALUE(Raw_Data!D897), ""))</f>
        <v>30</v>
      </c>
      <c r="E897" s="2" t="str">
        <f>IFERROR(LEFT(Raw_Data!E897,SEARCH("-",Raw_Data!E897)-1),"Review")</f>
        <v>HR</v>
      </c>
      <c r="F897" s="2" t="str">
        <f>IFERROR(_xlfn.TEXTAFTER(Raw_Data!E897,"-"),"Review")</f>
        <v>Florida</v>
      </c>
      <c r="G897" s="2" t="str">
        <f>IFERROR(TRIM(Raw_Data!F897), "Review")</f>
        <v>Pending</v>
      </c>
      <c r="H897" s="3" t="str">
        <f>IFERROR(TEXT(Raw_Data!G897, "YYYY-MM-DD"),"Review")</f>
        <v>2021-03-31</v>
      </c>
      <c r="I897" s="4">
        <f>IF(Raw_Data!H897="", "", IFERROR(VALUE(Raw_Data!H897), ""))</f>
        <v>112427.58</v>
      </c>
      <c r="J897" s="2" t="str">
        <f>IF(Raw_Data!I897="", "", IF(ISNUMBER(FIND("@", Raw_Data!I897)), Raw_Data!I897, "Review"))</f>
        <v>david.brown@example.com</v>
      </c>
      <c r="K897" s="5" t="str">
        <f>IFERROR(TEXT(ABS(Raw_Data!J897), "0"), "Review")</f>
        <v>9471136336</v>
      </c>
      <c r="L897" s="2" t="str">
        <f>IFERROR(TRIM(Raw_Data!K897), "Review")</f>
        <v>Good</v>
      </c>
      <c r="M897" s="2" t="b">
        <f>IF(Raw_Data!L897="", "",
    IF(ISLOGICAL(Raw_Data!L897), Raw_Data!L897,
        IF(OR(UPPER(Raw_Data!L897)="TRUE", UPPER(Raw_Data!L897)="YES", UPPER(Raw_Data!L897)="1"), TRUE,
            IF(OR(UPPER(Raw_Data!L897)="FALSE", UPPER(Raw_Data!L897)="NO", UPPER(Raw_Data!L897)="0"), FALSE, "Review")
        )
    )
)</f>
        <v>1</v>
      </c>
    </row>
    <row r="898" spans="1:13" x14ac:dyDescent="0.4">
      <c r="A898" s="2" t="str">
        <f>IFERROR(TRIM(Raw_Data!A898), "Review")</f>
        <v>EMP1896</v>
      </c>
      <c r="B898" s="2" t="str">
        <f>IFERROR(TRIM(Raw_Data!B898), "Review")</f>
        <v>Charlie</v>
      </c>
      <c r="C898" s="2" t="str">
        <f>IFERROR(TRIM(Raw_Data!C898), "Review")</f>
        <v>Miller</v>
      </c>
      <c r="D898" s="2" t="str">
        <f>IF(Raw_Data!D898="", "", IFERROR(VALUE(Raw_Data!D898), ""))</f>
        <v/>
      </c>
      <c r="E898" s="2" t="str">
        <f>IFERROR(LEFT(Raw_Data!E898,SEARCH("-",Raw_Data!E898)-1),"Review")</f>
        <v>Cloud Tech</v>
      </c>
      <c r="F898" s="2" t="str">
        <f>IFERROR(_xlfn.TEXTAFTER(Raw_Data!E898,"-"),"Review")</f>
        <v>Florida</v>
      </c>
      <c r="G898" s="2" t="str">
        <f>IFERROR(TRIM(Raw_Data!F898), "Review")</f>
        <v>Active</v>
      </c>
      <c r="H898" s="3" t="str">
        <f>IFERROR(TEXT(Raw_Data!G898, "YYYY-MM-DD"),"Review")</f>
        <v>2020-03-23</v>
      </c>
      <c r="I898" s="4">
        <f>IF(Raw_Data!H898="", "", IFERROR(VALUE(Raw_Data!H898), ""))</f>
        <v>119389.15</v>
      </c>
      <c r="J898" s="2" t="str">
        <f>IF(Raw_Data!I898="", "", IF(ISNUMBER(FIND("@", Raw_Data!I898)), Raw_Data!I898, "Review"))</f>
        <v>charlie.miller@example.com</v>
      </c>
      <c r="K898" s="5" t="str">
        <f>IFERROR(TEXT(ABS(Raw_Data!J898), "0"), "Review")</f>
        <v>9223410345</v>
      </c>
      <c r="L898" s="2" t="str">
        <f>IFERROR(TRIM(Raw_Data!K898), "Review")</f>
        <v>Poor</v>
      </c>
      <c r="M898" s="2" t="b">
        <f>IF(Raw_Data!L898="", "",
    IF(ISLOGICAL(Raw_Data!L898), Raw_Data!L898,
        IF(OR(UPPER(Raw_Data!L898)="TRUE", UPPER(Raw_Data!L898)="YES", UPPER(Raw_Data!L898)="1"), TRUE,
            IF(OR(UPPER(Raw_Data!L898)="FALSE", UPPER(Raw_Data!L898)="NO", UPPER(Raw_Data!L898)="0"), FALSE, "Review")
        )
    )
)</f>
        <v>0</v>
      </c>
    </row>
    <row r="899" spans="1:13" x14ac:dyDescent="0.4">
      <c r="A899" s="2" t="str">
        <f>IFERROR(TRIM(Raw_Data!A899), "Review")</f>
        <v>EMP1897</v>
      </c>
      <c r="B899" s="2" t="str">
        <f>IFERROR(TRIM(Raw_Data!B899), "Review")</f>
        <v>Alice</v>
      </c>
      <c r="C899" s="2" t="str">
        <f>IFERROR(TRIM(Raw_Data!C899), "Review")</f>
        <v>Brown</v>
      </c>
      <c r="D899" s="2">
        <f>IF(Raw_Data!D899="", "", IFERROR(VALUE(Raw_Data!D899), ""))</f>
        <v>40</v>
      </c>
      <c r="E899" s="2" t="str">
        <f>IFERROR(LEFT(Raw_Data!E899,SEARCH("-",Raw_Data!E899)-1),"Review")</f>
        <v>Sales</v>
      </c>
      <c r="F899" s="2" t="str">
        <f>IFERROR(_xlfn.TEXTAFTER(Raw_Data!E899,"-"),"Review")</f>
        <v>Florida</v>
      </c>
      <c r="G899" s="2" t="str">
        <f>IFERROR(TRIM(Raw_Data!F899), "Review")</f>
        <v>Inactive</v>
      </c>
      <c r="H899" s="3" t="str">
        <f>IFERROR(TEXT(Raw_Data!G899, "YYYY-MM-DD"),"Review")</f>
        <v>2024-07-16</v>
      </c>
      <c r="I899" s="4">
        <f>IF(Raw_Data!H899="", "", IFERROR(VALUE(Raw_Data!H899), ""))</f>
        <v>105861.23</v>
      </c>
      <c r="J899" s="2" t="str">
        <f>IF(Raw_Data!I899="", "", IF(ISNUMBER(FIND("@", Raw_Data!I899)), Raw_Data!I899, "Review"))</f>
        <v>alice.brown@example.com</v>
      </c>
      <c r="K899" s="5" t="str">
        <f>IFERROR(TEXT(ABS(Raw_Data!J899), "0"), "Review")</f>
        <v>9967331166</v>
      </c>
      <c r="L899" s="2" t="str">
        <f>IFERROR(TRIM(Raw_Data!K899), "Review")</f>
        <v>Good</v>
      </c>
      <c r="M899" s="2" t="b">
        <f>IF(Raw_Data!L899="", "",
    IF(ISLOGICAL(Raw_Data!L899), Raw_Data!L899,
        IF(OR(UPPER(Raw_Data!L899)="TRUE", UPPER(Raw_Data!L899)="YES", UPPER(Raw_Data!L899)="1"), TRUE,
            IF(OR(UPPER(Raw_Data!L899)="FALSE", UPPER(Raw_Data!L899)="NO", UPPER(Raw_Data!L899)="0"), FALSE, "Review")
        )
    )
)</f>
        <v>1</v>
      </c>
    </row>
    <row r="900" spans="1:13" x14ac:dyDescent="0.4">
      <c r="A900" s="2" t="str">
        <f>IFERROR(TRIM(Raw_Data!A900), "Review")</f>
        <v>EMP1898</v>
      </c>
      <c r="B900" s="2" t="str">
        <f>IFERROR(TRIM(Raw_Data!B900), "Review")</f>
        <v>Heidi</v>
      </c>
      <c r="C900" s="2" t="str">
        <f>IFERROR(TRIM(Raw_Data!C900), "Review")</f>
        <v>Davis</v>
      </c>
      <c r="D900" s="2">
        <f>IF(Raw_Data!D900="", "", IFERROR(VALUE(Raw_Data!D900), ""))</f>
        <v>40</v>
      </c>
      <c r="E900" s="2" t="str">
        <f>IFERROR(LEFT(Raw_Data!E900,SEARCH("-",Raw_Data!E900)-1),"Review")</f>
        <v>Admin</v>
      </c>
      <c r="F900" s="2" t="str">
        <f>IFERROR(_xlfn.TEXTAFTER(Raw_Data!E900,"-"),"Review")</f>
        <v>Texas</v>
      </c>
      <c r="G900" s="2" t="str">
        <f>IFERROR(TRIM(Raw_Data!F900), "Review")</f>
        <v>Pending</v>
      </c>
      <c r="H900" s="3" t="str">
        <f>IFERROR(TEXT(Raw_Data!G900, "YYYY-MM-DD"),"Review")</f>
        <v>2024-03-22</v>
      </c>
      <c r="I900" s="4">
        <f>IF(Raw_Data!H900="", "", IFERROR(VALUE(Raw_Data!H900), ""))</f>
        <v>50869.61</v>
      </c>
      <c r="J900" s="2" t="str">
        <f>IF(Raw_Data!I900="", "", IF(ISNUMBER(FIND("@", Raw_Data!I900)), Raw_Data!I900, "Review"))</f>
        <v>heidi.davis@example.com</v>
      </c>
      <c r="K900" s="5" t="str">
        <f>IFERROR(TEXT(ABS(Raw_Data!J900), "0"), "Review")</f>
        <v>7269608436</v>
      </c>
      <c r="L900" s="2" t="str">
        <f>IFERROR(TRIM(Raw_Data!K900), "Review")</f>
        <v>Average</v>
      </c>
      <c r="M900" s="2" t="b">
        <f>IF(Raw_Data!L900="", "",
    IF(ISLOGICAL(Raw_Data!L900), Raw_Data!L900,
        IF(OR(UPPER(Raw_Data!L900)="TRUE", UPPER(Raw_Data!L900)="YES", UPPER(Raw_Data!L900)="1"), TRUE,
            IF(OR(UPPER(Raw_Data!L900)="FALSE", UPPER(Raw_Data!L900)="NO", UPPER(Raw_Data!L900)="0"), FALSE, "Review")
        )
    )
)</f>
        <v>1</v>
      </c>
    </row>
    <row r="901" spans="1:13" x14ac:dyDescent="0.4">
      <c r="A901" s="2" t="str">
        <f>IFERROR(TRIM(Raw_Data!A901), "Review")</f>
        <v>EMP1899</v>
      </c>
      <c r="B901" s="2" t="str">
        <f>IFERROR(TRIM(Raw_Data!B901), "Review")</f>
        <v>David</v>
      </c>
      <c r="C901" s="2" t="str">
        <f>IFERROR(TRIM(Raw_Data!C901), "Review")</f>
        <v>Williams</v>
      </c>
      <c r="D901" s="2">
        <f>IF(Raw_Data!D901="", "", IFERROR(VALUE(Raw_Data!D901), ""))</f>
        <v>30</v>
      </c>
      <c r="E901" s="2" t="str">
        <f>IFERROR(LEFT(Raw_Data!E901,SEARCH("-",Raw_Data!E901)-1),"Review")</f>
        <v>HR</v>
      </c>
      <c r="F901" s="2" t="str">
        <f>IFERROR(_xlfn.TEXTAFTER(Raw_Data!E901,"-"),"Review")</f>
        <v>California</v>
      </c>
      <c r="G901" s="2" t="str">
        <f>IFERROR(TRIM(Raw_Data!F901), "Review")</f>
        <v>Active</v>
      </c>
      <c r="H901" s="3" t="str">
        <f>IFERROR(TEXT(Raw_Data!G901, "YYYY-MM-DD"),"Review")</f>
        <v>2023-08-19</v>
      </c>
      <c r="I901" s="4" t="str">
        <f>IF(Raw_Data!H901="", "", IFERROR(VALUE(Raw_Data!H901), ""))</f>
        <v/>
      </c>
      <c r="J901" s="2" t="str">
        <f>IF(Raw_Data!I901="", "", IF(ISNUMBER(FIND("@", Raw_Data!I901)), Raw_Data!I901, "Review"))</f>
        <v>david.williams@example.com</v>
      </c>
      <c r="K901" s="5" t="str">
        <f>IFERROR(TEXT(ABS(Raw_Data!J901), "0"), "Review")</f>
        <v>6855078966</v>
      </c>
      <c r="L901" s="2" t="str">
        <f>IFERROR(TRIM(Raw_Data!K901), "Review")</f>
        <v>Excellent</v>
      </c>
      <c r="M901" s="2" t="b">
        <f>IF(Raw_Data!L901="", "",
    IF(ISLOGICAL(Raw_Data!L901), Raw_Data!L901,
        IF(OR(UPPER(Raw_Data!L901)="TRUE", UPPER(Raw_Data!L901)="YES", UPPER(Raw_Data!L901)="1"), TRUE,
            IF(OR(UPPER(Raw_Data!L901)="FALSE", UPPER(Raw_Data!L901)="NO", UPPER(Raw_Data!L901)="0"), FALSE, "Review")
        )
    )
)</f>
        <v>1</v>
      </c>
    </row>
    <row r="902" spans="1:13" x14ac:dyDescent="0.4">
      <c r="A902" s="2" t="str">
        <f>IFERROR(TRIM(Raw_Data!A902), "Review")</f>
        <v>EMP1900</v>
      </c>
      <c r="B902" s="2" t="str">
        <f>IFERROR(TRIM(Raw_Data!B902), "Review")</f>
        <v>Eva</v>
      </c>
      <c r="C902" s="2" t="str">
        <f>IFERROR(TRIM(Raw_Data!C902), "Review")</f>
        <v>Jones</v>
      </c>
      <c r="D902" s="2">
        <f>IF(Raw_Data!D902="", "", IFERROR(VALUE(Raw_Data!D902), ""))</f>
        <v>30</v>
      </c>
      <c r="E902" s="2" t="str">
        <f>IFERROR(LEFT(Raw_Data!E902,SEARCH("-",Raw_Data!E902)-1),"Review")</f>
        <v>DevOps</v>
      </c>
      <c r="F902" s="2" t="str">
        <f>IFERROR(_xlfn.TEXTAFTER(Raw_Data!E902,"-"),"Review")</f>
        <v>Florida</v>
      </c>
      <c r="G902" s="2" t="str">
        <f>IFERROR(TRIM(Raw_Data!F902), "Review")</f>
        <v>Pending</v>
      </c>
      <c r="H902" s="3" t="str">
        <f>IFERROR(TEXT(Raw_Data!G902, "YYYY-MM-DD"),"Review")</f>
        <v>2024-03-10</v>
      </c>
      <c r="I902" s="4">
        <f>IF(Raw_Data!H902="", "", IFERROR(VALUE(Raw_Data!H902), ""))</f>
        <v>90856.21</v>
      </c>
      <c r="J902" s="2" t="str">
        <f>IF(Raw_Data!I902="", "", IF(ISNUMBER(FIND("@", Raw_Data!I902)), Raw_Data!I902, "Review"))</f>
        <v>eva.jones@example.com</v>
      </c>
      <c r="K902" s="5" t="str">
        <f>IFERROR(TEXT(ABS(Raw_Data!J902), "0"), "Review")</f>
        <v>9352196262</v>
      </c>
      <c r="L902" s="2" t="str">
        <f>IFERROR(TRIM(Raw_Data!K902), "Review")</f>
        <v>Average</v>
      </c>
      <c r="M902" s="2" t="b">
        <f>IF(Raw_Data!L902="", "",
    IF(ISLOGICAL(Raw_Data!L902), Raw_Data!L902,
        IF(OR(UPPER(Raw_Data!L902)="TRUE", UPPER(Raw_Data!L902)="YES", UPPER(Raw_Data!L902)="1"), TRUE,
            IF(OR(UPPER(Raw_Data!L902)="FALSE", UPPER(Raw_Data!L902)="NO", UPPER(Raw_Data!L902)="0"), FALSE, "Review")
        )
    )
)</f>
        <v>1</v>
      </c>
    </row>
    <row r="903" spans="1:13" x14ac:dyDescent="0.4">
      <c r="A903" s="2" t="str">
        <f>IFERROR(TRIM(Raw_Data!A903), "Review")</f>
        <v>EMP1901</v>
      </c>
      <c r="B903" s="2" t="str">
        <f>IFERROR(TRIM(Raw_Data!B903), "Review")</f>
        <v>Heidi</v>
      </c>
      <c r="C903" s="2" t="str">
        <f>IFERROR(TRIM(Raw_Data!C903), "Review")</f>
        <v>Brown</v>
      </c>
      <c r="D903" s="2">
        <f>IF(Raw_Data!D903="", "", IFERROR(VALUE(Raw_Data!D903), ""))</f>
        <v>30</v>
      </c>
      <c r="E903" s="2" t="str">
        <f>IFERROR(LEFT(Raw_Data!E903,SEARCH("-",Raw_Data!E903)-1),"Review")</f>
        <v>DevOps</v>
      </c>
      <c r="F903" s="2" t="str">
        <f>IFERROR(_xlfn.TEXTAFTER(Raw_Data!E903,"-"),"Review")</f>
        <v>Florida</v>
      </c>
      <c r="G903" s="2" t="str">
        <f>IFERROR(TRIM(Raw_Data!F903), "Review")</f>
        <v>Active</v>
      </c>
      <c r="H903" s="3" t="str">
        <f>IFERROR(TEXT(Raw_Data!G903, "YYYY-MM-DD"),"Review")</f>
        <v>2024-06-05</v>
      </c>
      <c r="I903" s="4">
        <f>IF(Raw_Data!H903="", "", IFERROR(VALUE(Raw_Data!H903), ""))</f>
        <v>111008.63</v>
      </c>
      <c r="J903" s="2" t="str">
        <f>IF(Raw_Data!I903="", "", IF(ISNUMBER(FIND("@", Raw_Data!I903)), Raw_Data!I903, "Review"))</f>
        <v>heidi.brown@example.com</v>
      </c>
      <c r="K903" s="5" t="str">
        <f>IFERROR(TEXT(ABS(Raw_Data!J903), "0"), "Review")</f>
        <v>3556434368</v>
      </c>
      <c r="L903" s="2" t="str">
        <f>IFERROR(TRIM(Raw_Data!K903), "Review")</f>
        <v>Excellent</v>
      </c>
      <c r="M903" s="2" t="b">
        <f>IF(Raw_Data!L903="", "",
    IF(ISLOGICAL(Raw_Data!L903), Raw_Data!L903,
        IF(OR(UPPER(Raw_Data!L903)="TRUE", UPPER(Raw_Data!L903)="YES", UPPER(Raw_Data!L903)="1"), TRUE,
            IF(OR(UPPER(Raw_Data!L903)="FALSE", UPPER(Raw_Data!L903)="NO", UPPER(Raw_Data!L903)="0"), FALSE, "Review")
        )
    )
)</f>
        <v>1</v>
      </c>
    </row>
    <row r="904" spans="1:13" x14ac:dyDescent="0.4">
      <c r="A904" s="2" t="str">
        <f>IFERROR(TRIM(Raw_Data!A904), "Review")</f>
        <v>EMP1902</v>
      </c>
      <c r="B904" s="2" t="str">
        <f>IFERROR(TRIM(Raw_Data!B904), "Review")</f>
        <v>Alice</v>
      </c>
      <c r="C904" s="2" t="str">
        <f>IFERROR(TRIM(Raw_Data!C904), "Review")</f>
        <v>Miller</v>
      </c>
      <c r="D904" s="2">
        <f>IF(Raw_Data!D904="", "", IFERROR(VALUE(Raw_Data!D904), ""))</f>
        <v>25</v>
      </c>
      <c r="E904" s="2" t="str">
        <f>IFERROR(LEFT(Raw_Data!E904,SEARCH("-",Raw_Data!E904)-1),"Review")</f>
        <v>Finance</v>
      </c>
      <c r="F904" s="2" t="str">
        <f>IFERROR(_xlfn.TEXTAFTER(Raw_Data!E904,"-"),"Review")</f>
        <v>Nevada</v>
      </c>
      <c r="G904" s="2" t="str">
        <f>IFERROR(TRIM(Raw_Data!F904), "Review")</f>
        <v>Inactive</v>
      </c>
      <c r="H904" s="3" t="str">
        <f>IFERROR(TEXT(Raw_Data!G904, "YYYY-MM-DD"),"Review")</f>
        <v>2022-12-23</v>
      </c>
      <c r="I904" s="4">
        <f>IF(Raw_Data!H904="", "", IFERROR(VALUE(Raw_Data!H904), ""))</f>
        <v>52289.99</v>
      </c>
      <c r="J904" s="2" t="str">
        <f>IF(Raw_Data!I904="", "", IF(ISNUMBER(FIND("@", Raw_Data!I904)), Raw_Data!I904, "Review"))</f>
        <v>alice.miller@example.com</v>
      </c>
      <c r="K904" s="5" t="str">
        <f>IFERROR(TEXT(ABS(Raw_Data!J904), "0"), "Review")</f>
        <v>7093170694</v>
      </c>
      <c r="L904" s="2" t="str">
        <f>IFERROR(TRIM(Raw_Data!K904), "Review")</f>
        <v>Poor</v>
      </c>
      <c r="M904" s="2" t="b">
        <f>IF(Raw_Data!L904="", "",
    IF(ISLOGICAL(Raw_Data!L904), Raw_Data!L904,
        IF(OR(UPPER(Raw_Data!L904)="TRUE", UPPER(Raw_Data!L904)="YES", UPPER(Raw_Data!L904)="1"), TRUE,
            IF(OR(UPPER(Raw_Data!L904)="FALSE", UPPER(Raw_Data!L904)="NO", UPPER(Raw_Data!L904)="0"), FALSE, "Review")
        )
    )
)</f>
        <v>1</v>
      </c>
    </row>
    <row r="905" spans="1:13" x14ac:dyDescent="0.4">
      <c r="A905" s="2" t="str">
        <f>IFERROR(TRIM(Raw_Data!A905), "Review")</f>
        <v>EMP1903</v>
      </c>
      <c r="B905" s="2" t="str">
        <f>IFERROR(TRIM(Raw_Data!B905), "Review")</f>
        <v>Eva</v>
      </c>
      <c r="C905" s="2" t="str">
        <f>IFERROR(TRIM(Raw_Data!C905), "Review")</f>
        <v>Davis</v>
      </c>
      <c r="D905" s="2" t="str">
        <f>IF(Raw_Data!D905="", "", IFERROR(VALUE(Raw_Data!D905), ""))</f>
        <v/>
      </c>
      <c r="E905" s="2" t="str">
        <f>IFERROR(LEFT(Raw_Data!E905,SEARCH("-",Raw_Data!E905)-1),"Review")</f>
        <v>Sales</v>
      </c>
      <c r="F905" s="2" t="str">
        <f>IFERROR(_xlfn.TEXTAFTER(Raw_Data!E905,"-"),"Review")</f>
        <v>Illinois</v>
      </c>
      <c r="G905" s="2" t="str">
        <f>IFERROR(TRIM(Raw_Data!F905), "Review")</f>
        <v>Active</v>
      </c>
      <c r="H905" s="3" t="str">
        <f>IFERROR(TEXT(Raw_Data!G905, "YYYY-MM-DD"),"Review")</f>
        <v>2024-06-01</v>
      </c>
      <c r="I905" s="4">
        <f>IF(Raw_Data!H905="", "", IFERROR(VALUE(Raw_Data!H905), ""))</f>
        <v>97926.56</v>
      </c>
      <c r="J905" s="2" t="str">
        <f>IF(Raw_Data!I905="", "", IF(ISNUMBER(FIND("@", Raw_Data!I905)), Raw_Data!I905, "Review"))</f>
        <v>eva.davis@example.com</v>
      </c>
      <c r="K905" s="5" t="str">
        <f>IFERROR(TEXT(ABS(Raw_Data!J905), "0"), "Review")</f>
        <v>5607676163</v>
      </c>
      <c r="L905" s="2" t="str">
        <f>IFERROR(TRIM(Raw_Data!K905), "Review")</f>
        <v>Average</v>
      </c>
      <c r="M905" s="2" t="b">
        <f>IF(Raw_Data!L905="", "",
    IF(ISLOGICAL(Raw_Data!L905), Raw_Data!L905,
        IF(OR(UPPER(Raw_Data!L905)="TRUE", UPPER(Raw_Data!L905)="YES", UPPER(Raw_Data!L905)="1"), TRUE,
            IF(OR(UPPER(Raw_Data!L905)="FALSE", UPPER(Raw_Data!L905)="NO", UPPER(Raw_Data!L905)="0"), FALSE, "Review")
        )
    )
)</f>
        <v>1</v>
      </c>
    </row>
    <row r="906" spans="1:13" x14ac:dyDescent="0.4">
      <c r="A906" s="2" t="str">
        <f>IFERROR(TRIM(Raw_Data!A906), "Review")</f>
        <v>EMP1904</v>
      </c>
      <c r="B906" s="2" t="str">
        <f>IFERROR(TRIM(Raw_Data!B906), "Review")</f>
        <v>Frank</v>
      </c>
      <c r="C906" s="2" t="str">
        <f>IFERROR(TRIM(Raw_Data!C906), "Review")</f>
        <v>Williams</v>
      </c>
      <c r="D906" s="2">
        <f>IF(Raw_Data!D906="", "", IFERROR(VALUE(Raw_Data!D906), ""))</f>
        <v>25</v>
      </c>
      <c r="E906" s="2" t="str">
        <f>IFERROR(LEFT(Raw_Data!E906,SEARCH("-",Raw_Data!E906)-1),"Review")</f>
        <v>Sales</v>
      </c>
      <c r="F906" s="2" t="str">
        <f>IFERROR(_xlfn.TEXTAFTER(Raw_Data!E906,"-"),"Review")</f>
        <v>Nevada</v>
      </c>
      <c r="G906" s="2" t="str">
        <f>IFERROR(TRIM(Raw_Data!F906), "Review")</f>
        <v>Inactive</v>
      </c>
      <c r="H906" s="3" t="str">
        <f>IFERROR(TEXT(Raw_Data!G906, "YYYY-MM-DD"),"Review")</f>
        <v>2024-12-23</v>
      </c>
      <c r="I906" s="4">
        <f>IF(Raw_Data!H906="", "", IFERROR(VALUE(Raw_Data!H906), ""))</f>
        <v>53609.38</v>
      </c>
      <c r="J906" s="2" t="str">
        <f>IF(Raw_Data!I906="", "", IF(ISNUMBER(FIND("@", Raw_Data!I906)), Raw_Data!I906, "Review"))</f>
        <v>frank.williams@example.com</v>
      </c>
      <c r="K906" s="5" t="str">
        <f>IFERROR(TEXT(ABS(Raw_Data!J906), "0"), "Review")</f>
        <v>5345472238</v>
      </c>
      <c r="L906" s="2" t="str">
        <f>IFERROR(TRIM(Raw_Data!K906), "Review")</f>
        <v>Good</v>
      </c>
      <c r="M906" s="2" t="b">
        <f>IF(Raw_Data!L906="", "",
    IF(ISLOGICAL(Raw_Data!L906), Raw_Data!L906,
        IF(OR(UPPER(Raw_Data!L906)="TRUE", UPPER(Raw_Data!L906)="YES", UPPER(Raw_Data!L906)="1"), TRUE,
            IF(OR(UPPER(Raw_Data!L906)="FALSE", UPPER(Raw_Data!L906)="NO", UPPER(Raw_Data!L906)="0"), FALSE, "Review")
        )
    )
)</f>
        <v>0</v>
      </c>
    </row>
    <row r="907" spans="1:13" x14ac:dyDescent="0.4">
      <c r="A907" s="2" t="str">
        <f>IFERROR(TRIM(Raw_Data!A907), "Review")</f>
        <v>EMP1905</v>
      </c>
      <c r="B907" s="2" t="str">
        <f>IFERROR(TRIM(Raw_Data!B907), "Review")</f>
        <v>Heidi</v>
      </c>
      <c r="C907" s="2" t="str">
        <f>IFERROR(TRIM(Raw_Data!C907), "Review")</f>
        <v>Johnson</v>
      </c>
      <c r="D907" s="2" t="str">
        <f>IF(Raw_Data!D907="", "", IFERROR(VALUE(Raw_Data!D907), ""))</f>
        <v/>
      </c>
      <c r="E907" s="2" t="str">
        <f>IFERROR(LEFT(Raw_Data!E907,SEARCH("-",Raw_Data!E907)-1),"Review")</f>
        <v>Cloud Tech</v>
      </c>
      <c r="F907" s="2" t="str">
        <f>IFERROR(_xlfn.TEXTAFTER(Raw_Data!E907,"-"),"Review")</f>
        <v>California</v>
      </c>
      <c r="G907" s="2" t="str">
        <f>IFERROR(TRIM(Raw_Data!F907), "Review")</f>
        <v>Inactive</v>
      </c>
      <c r="H907" s="3" t="str">
        <f>IFERROR(TEXT(Raw_Data!G907, "YYYY-MM-DD"),"Review")</f>
        <v>2020-12-24</v>
      </c>
      <c r="I907" s="4">
        <f>IF(Raw_Data!H907="", "", IFERROR(VALUE(Raw_Data!H907), ""))</f>
        <v>95372.09</v>
      </c>
      <c r="J907" s="2" t="str">
        <f>IF(Raw_Data!I907="", "", IF(ISNUMBER(FIND("@", Raw_Data!I907)), Raw_Data!I907, "Review"))</f>
        <v>heidi.johnson@example.com</v>
      </c>
      <c r="K907" s="5" t="str">
        <f>IFERROR(TEXT(ABS(Raw_Data!J907), "0"), "Review")</f>
        <v>8983065030</v>
      </c>
      <c r="L907" s="2" t="str">
        <f>IFERROR(TRIM(Raw_Data!K907), "Review")</f>
        <v>Excellent</v>
      </c>
      <c r="M907" s="2" t="b">
        <f>IF(Raw_Data!L907="", "",
    IF(ISLOGICAL(Raw_Data!L907), Raw_Data!L907,
        IF(OR(UPPER(Raw_Data!L907)="TRUE", UPPER(Raw_Data!L907)="YES", UPPER(Raw_Data!L907)="1"), TRUE,
            IF(OR(UPPER(Raw_Data!L907)="FALSE", UPPER(Raw_Data!L907)="NO", UPPER(Raw_Data!L907)="0"), FALSE, "Review")
        )
    )
)</f>
        <v>0</v>
      </c>
    </row>
    <row r="908" spans="1:13" x14ac:dyDescent="0.4">
      <c r="A908" s="2" t="str">
        <f>IFERROR(TRIM(Raw_Data!A908), "Review")</f>
        <v>EMP1906</v>
      </c>
      <c r="B908" s="2" t="str">
        <f>IFERROR(TRIM(Raw_Data!B908), "Review")</f>
        <v>David</v>
      </c>
      <c r="C908" s="2" t="str">
        <f>IFERROR(TRIM(Raw_Data!C908), "Review")</f>
        <v>Johnson</v>
      </c>
      <c r="D908" s="2">
        <f>IF(Raw_Data!D908="", "", IFERROR(VALUE(Raw_Data!D908), ""))</f>
        <v>30</v>
      </c>
      <c r="E908" s="2" t="str">
        <f>IFERROR(LEFT(Raw_Data!E908,SEARCH("-",Raw_Data!E908)-1),"Review")</f>
        <v>HR</v>
      </c>
      <c r="F908" s="2" t="str">
        <f>IFERROR(_xlfn.TEXTAFTER(Raw_Data!E908,"-"),"Review")</f>
        <v>New York</v>
      </c>
      <c r="G908" s="2" t="str">
        <f>IFERROR(TRIM(Raw_Data!F908), "Review")</f>
        <v>Pending</v>
      </c>
      <c r="H908" s="3" t="str">
        <f>IFERROR(TEXT(Raw_Data!G908, "YYYY-MM-DD"),"Review")</f>
        <v>2020-08-20</v>
      </c>
      <c r="I908" s="4">
        <f>IF(Raw_Data!H908="", "", IFERROR(VALUE(Raw_Data!H908), ""))</f>
        <v>95432.69</v>
      </c>
      <c r="J908" s="2" t="str">
        <f>IF(Raw_Data!I908="", "", IF(ISNUMBER(FIND("@", Raw_Data!I908)), Raw_Data!I908, "Review"))</f>
        <v>david.johnson@example.com</v>
      </c>
      <c r="K908" s="5" t="str">
        <f>IFERROR(TEXT(ABS(Raw_Data!J908), "0"), "Review")</f>
        <v>2198041846</v>
      </c>
      <c r="L908" s="2" t="str">
        <f>IFERROR(TRIM(Raw_Data!K908), "Review")</f>
        <v>Excellent</v>
      </c>
      <c r="M908" s="2" t="b">
        <f>IF(Raw_Data!L908="", "",
    IF(ISLOGICAL(Raw_Data!L908), Raw_Data!L908,
        IF(OR(UPPER(Raw_Data!L908)="TRUE", UPPER(Raw_Data!L908)="YES", UPPER(Raw_Data!L908)="1"), TRUE,
            IF(OR(UPPER(Raw_Data!L908)="FALSE", UPPER(Raw_Data!L908)="NO", UPPER(Raw_Data!L908)="0"), FALSE, "Review")
        )
    )
)</f>
        <v>1</v>
      </c>
    </row>
    <row r="909" spans="1:13" x14ac:dyDescent="0.4">
      <c r="A909" s="2" t="str">
        <f>IFERROR(TRIM(Raw_Data!A909), "Review")</f>
        <v>EMP1907</v>
      </c>
      <c r="B909" s="2" t="str">
        <f>IFERROR(TRIM(Raw_Data!B909), "Review")</f>
        <v>David</v>
      </c>
      <c r="C909" s="2" t="str">
        <f>IFERROR(TRIM(Raw_Data!C909), "Review")</f>
        <v>Williams</v>
      </c>
      <c r="D909" s="2">
        <f>IF(Raw_Data!D909="", "", IFERROR(VALUE(Raw_Data!D909), ""))</f>
        <v>30</v>
      </c>
      <c r="E909" s="2" t="str">
        <f>IFERROR(LEFT(Raw_Data!E909,SEARCH("-",Raw_Data!E909)-1),"Review")</f>
        <v>HR</v>
      </c>
      <c r="F909" s="2" t="str">
        <f>IFERROR(_xlfn.TEXTAFTER(Raw_Data!E909,"-"),"Review")</f>
        <v>California</v>
      </c>
      <c r="G909" s="2" t="str">
        <f>IFERROR(TRIM(Raw_Data!F909), "Review")</f>
        <v>Inactive</v>
      </c>
      <c r="H909" s="3" t="str">
        <f>IFERROR(TEXT(Raw_Data!G909, "YYYY-MM-DD"),"Review")</f>
        <v>2022-10-28</v>
      </c>
      <c r="I909" s="4">
        <f>IF(Raw_Data!H909="", "", IFERROR(VALUE(Raw_Data!H909), ""))</f>
        <v>97615.87</v>
      </c>
      <c r="J909" s="2" t="str">
        <f>IF(Raw_Data!I909="", "", IF(ISNUMBER(FIND("@", Raw_Data!I909)), Raw_Data!I909, "Review"))</f>
        <v>david.williams@example.com</v>
      </c>
      <c r="K909" s="5" t="str">
        <f>IFERROR(TEXT(ABS(Raw_Data!J909), "0"), "Review")</f>
        <v>2426423641</v>
      </c>
      <c r="L909" s="2" t="str">
        <f>IFERROR(TRIM(Raw_Data!K909), "Review")</f>
        <v>Average</v>
      </c>
      <c r="M909" s="2" t="b">
        <f>IF(Raw_Data!L909="", "",
    IF(ISLOGICAL(Raw_Data!L909), Raw_Data!L909,
        IF(OR(UPPER(Raw_Data!L909)="TRUE", UPPER(Raw_Data!L909)="YES", UPPER(Raw_Data!L909)="1"), TRUE,
            IF(OR(UPPER(Raw_Data!L909)="FALSE", UPPER(Raw_Data!L909)="NO", UPPER(Raw_Data!L909)="0"), FALSE, "Review")
        )
    )
)</f>
        <v>0</v>
      </c>
    </row>
    <row r="910" spans="1:13" x14ac:dyDescent="0.4">
      <c r="A910" s="2" t="str">
        <f>IFERROR(TRIM(Raw_Data!A910), "Review")</f>
        <v>EMP1908</v>
      </c>
      <c r="B910" s="2" t="str">
        <f>IFERROR(TRIM(Raw_Data!B910), "Review")</f>
        <v>Bob</v>
      </c>
      <c r="C910" s="2" t="str">
        <f>IFERROR(TRIM(Raw_Data!C910), "Review")</f>
        <v>Davis</v>
      </c>
      <c r="D910" s="2">
        <f>IF(Raw_Data!D910="", "", IFERROR(VALUE(Raw_Data!D910), ""))</f>
        <v>35</v>
      </c>
      <c r="E910" s="2" t="str">
        <f>IFERROR(LEFT(Raw_Data!E910,SEARCH("-",Raw_Data!E910)-1),"Review")</f>
        <v>HR</v>
      </c>
      <c r="F910" s="2" t="str">
        <f>IFERROR(_xlfn.TEXTAFTER(Raw_Data!E910,"-"),"Review")</f>
        <v>Florida</v>
      </c>
      <c r="G910" s="2" t="str">
        <f>IFERROR(TRIM(Raw_Data!F910), "Review")</f>
        <v>Inactive</v>
      </c>
      <c r="H910" s="3" t="str">
        <f>IFERROR(TEXT(Raw_Data!G910, "YYYY-MM-DD"),"Review")</f>
        <v>2022-10-23</v>
      </c>
      <c r="I910" s="4">
        <f>IF(Raw_Data!H910="", "", IFERROR(VALUE(Raw_Data!H910), ""))</f>
        <v>86867.78</v>
      </c>
      <c r="J910" s="2" t="str">
        <f>IF(Raw_Data!I910="", "", IF(ISNUMBER(FIND("@", Raw_Data!I910)), Raw_Data!I910, "Review"))</f>
        <v>bob.davis@example.com</v>
      </c>
      <c r="K910" s="5" t="str">
        <f>IFERROR(TEXT(ABS(Raw_Data!J910), "0"), "Review")</f>
        <v>8131909247</v>
      </c>
      <c r="L910" s="2" t="str">
        <f>IFERROR(TRIM(Raw_Data!K910), "Review")</f>
        <v>Poor</v>
      </c>
      <c r="M910" s="2" t="b">
        <f>IF(Raw_Data!L910="", "",
    IF(ISLOGICAL(Raw_Data!L910), Raw_Data!L910,
        IF(OR(UPPER(Raw_Data!L910)="TRUE", UPPER(Raw_Data!L910)="YES", UPPER(Raw_Data!L910)="1"), TRUE,
            IF(OR(UPPER(Raw_Data!L910)="FALSE", UPPER(Raw_Data!L910)="NO", UPPER(Raw_Data!L910)="0"), FALSE, "Review")
        )
    )
)</f>
        <v>0</v>
      </c>
    </row>
    <row r="911" spans="1:13" x14ac:dyDescent="0.4">
      <c r="A911" s="2" t="str">
        <f>IFERROR(TRIM(Raw_Data!A911), "Review")</f>
        <v>EMP1909</v>
      </c>
      <c r="B911" s="2" t="str">
        <f>IFERROR(TRIM(Raw_Data!B911), "Review")</f>
        <v>Eva</v>
      </c>
      <c r="C911" s="2" t="str">
        <f>IFERROR(TRIM(Raw_Data!C911), "Review")</f>
        <v>Miller</v>
      </c>
      <c r="D911" s="2">
        <f>IF(Raw_Data!D911="", "", IFERROR(VALUE(Raw_Data!D911), ""))</f>
        <v>40</v>
      </c>
      <c r="E911" s="2" t="str">
        <f>IFERROR(LEFT(Raw_Data!E911,SEARCH("-",Raw_Data!E911)-1),"Review")</f>
        <v>Sales</v>
      </c>
      <c r="F911" s="2" t="str">
        <f>IFERROR(_xlfn.TEXTAFTER(Raw_Data!E911,"-"),"Review")</f>
        <v>California</v>
      </c>
      <c r="G911" s="2" t="str">
        <f>IFERROR(TRIM(Raw_Data!F911), "Review")</f>
        <v>Pending</v>
      </c>
      <c r="H911" s="3" t="str">
        <f>IFERROR(TEXT(Raw_Data!G911, "YYYY-MM-DD"),"Review")</f>
        <v>2023-11-20</v>
      </c>
      <c r="I911" s="4">
        <f>IF(Raw_Data!H911="", "", IFERROR(VALUE(Raw_Data!H911), ""))</f>
        <v>106615.71</v>
      </c>
      <c r="J911" s="2" t="str">
        <f>IF(Raw_Data!I911="", "", IF(ISNUMBER(FIND("@", Raw_Data!I911)), Raw_Data!I911, "Review"))</f>
        <v>eva.miller@example.com</v>
      </c>
      <c r="K911" s="5" t="str">
        <f>IFERROR(TEXT(ABS(Raw_Data!J911), "0"), "Review")</f>
        <v>7623039110</v>
      </c>
      <c r="L911" s="2" t="str">
        <f>IFERROR(TRIM(Raw_Data!K911), "Review")</f>
        <v>Average</v>
      </c>
      <c r="M911" s="2" t="b">
        <f>IF(Raw_Data!L911="", "",
    IF(ISLOGICAL(Raw_Data!L911), Raw_Data!L911,
        IF(OR(UPPER(Raw_Data!L911)="TRUE", UPPER(Raw_Data!L911)="YES", UPPER(Raw_Data!L911)="1"), TRUE,
            IF(OR(UPPER(Raw_Data!L911)="FALSE", UPPER(Raw_Data!L911)="NO", UPPER(Raw_Data!L911)="0"), FALSE, "Review")
        )
    )
)</f>
        <v>0</v>
      </c>
    </row>
    <row r="912" spans="1:13" x14ac:dyDescent="0.4">
      <c r="A912" s="2" t="str">
        <f>IFERROR(TRIM(Raw_Data!A912), "Review")</f>
        <v>EMP1910</v>
      </c>
      <c r="B912" s="2" t="str">
        <f>IFERROR(TRIM(Raw_Data!B912), "Review")</f>
        <v>Bob</v>
      </c>
      <c r="C912" s="2" t="str">
        <f>IFERROR(TRIM(Raw_Data!C912), "Review")</f>
        <v>Williams</v>
      </c>
      <c r="D912" s="2">
        <f>IF(Raw_Data!D912="", "", IFERROR(VALUE(Raw_Data!D912), ""))</f>
        <v>30</v>
      </c>
      <c r="E912" s="2" t="str">
        <f>IFERROR(LEFT(Raw_Data!E912,SEARCH("-",Raw_Data!E912)-1),"Review")</f>
        <v>Finance</v>
      </c>
      <c r="F912" s="2" t="str">
        <f>IFERROR(_xlfn.TEXTAFTER(Raw_Data!E912,"-"),"Review")</f>
        <v>Texas</v>
      </c>
      <c r="G912" s="2" t="str">
        <f>IFERROR(TRIM(Raw_Data!F912), "Review")</f>
        <v>Active</v>
      </c>
      <c r="H912" s="3" t="str">
        <f>IFERROR(TEXT(Raw_Data!G912, "YYYY-MM-DD"),"Review")</f>
        <v>2022-03-11</v>
      </c>
      <c r="I912" s="4">
        <f>IF(Raw_Data!H912="", "", IFERROR(VALUE(Raw_Data!H912), ""))</f>
        <v>112856.21</v>
      </c>
      <c r="J912" s="2" t="str">
        <f>IF(Raw_Data!I912="", "", IF(ISNUMBER(FIND("@", Raw_Data!I912)), Raw_Data!I912, "Review"))</f>
        <v>bob.williams@example.com</v>
      </c>
      <c r="K912" s="5" t="str">
        <f>IFERROR(TEXT(ABS(Raw_Data!J912), "0"), "Review")</f>
        <v>4281785227</v>
      </c>
      <c r="L912" s="2" t="str">
        <f>IFERROR(TRIM(Raw_Data!K912), "Review")</f>
        <v>Poor</v>
      </c>
      <c r="M912" s="2" t="b">
        <f>IF(Raw_Data!L912="", "",
    IF(ISLOGICAL(Raw_Data!L912), Raw_Data!L912,
        IF(OR(UPPER(Raw_Data!L912)="TRUE", UPPER(Raw_Data!L912)="YES", UPPER(Raw_Data!L912)="1"), TRUE,
            IF(OR(UPPER(Raw_Data!L912)="FALSE", UPPER(Raw_Data!L912)="NO", UPPER(Raw_Data!L912)="0"), FALSE, "Review")
        )
    )
)</f>
        <v>0</v>
      </c>
    </row>
    <row r="913" spans="1:13" x14ac:dyDescent="0.4">
      <c r="A913" s="2" t="str">
        <f>IFERROR(TRIM(Raw_Data!A913), "Review")</f>
        <v>EMP1911</v>
      </c>
      <c r="B913" s="2" t="str">
        <f>IFERROR(TRIM(Raw_Data!B913), "Review")</f>
        <v>Bob</v>
      </c>
      <c r="C913" s="2" t="str">
        <f>IFERROR(TRIM(Raw_Data!C913), "Review")</f>
        <v>Jones</v>
      </c>
      <c r="D913" s="2">
        <f>IF(Raw_Data!D913="", "", IFERROR(VALUE(Raw_Data!D913), ""))</f>
        <v>25</v>
      </c>
      <c r="E913" s="2" t="str">
        <f>IFERROR(LEFT(Raw_Data!E913,SEARCH("-",Raw_Data!E913)-1),"Review")</f>
        <v>Admin</v>
      </c>
      <c r="F913" s="2" t="str">
        <f>IFERROR(_xlfn.TEXTAFTER(Raw_Data!E913,"-"),"Review")</f>
        <v>California</v>
      </c>
      <c r="G913" s="2" t="str">
        <f>IFERROR(TRIM(Raw_Data!F913), "Review")</f>
        <v>Active</v>
      </c>
      <c r="H913" s="3" t="str">
        <f>IFERROR(TEXT(Raw_Data!G913, "YYYY-MM-DD"),"Review")</f>
        <v>2023-11-28</v>
      </c>
      <c r="I913" s="4">
        <f>IF(Raw_Data!H913="", "", IFERROR(VALUE(Raw_Data!H913), ""))</f>
        <v>60356.78</v>
      </c>
      <c r="J913" s="2" t="str">
        <f>IF(Raw_Data!I913="", "", IF(ISNUMBER(FIND("@", Raw_Data!I913)), Raw_Data!I913, "Review"))</f>
        <v>bob.jones@example.com</v>
      </c>
      <c r="K913" s="5" t="str">
        <f>IFERROR(TEXT(ABS(Raw_Data!J913), "0"), "Review")</f>
        <v>2305248087</v>
      </c>
      <c r="L913" s="2" t="str">
        <f>IFERROR(TRIM(Raw_Data!K913), "Review")</f>
        <v>Poor</v>
      </c>
      <c r="M913" s="2" t="b">
        <f>IF(Raw_Data!L913="", "",
    IF(ISLOGICAL(Raw_Data!L913), Raw_Data!L913,
        IF(OR(UPPER(Raw_Data!L913)="TRUE", UPPER(Raw_Data!L913)="YES", UPPER(Raw_Data!L913)="1"), TRUE,
            IF(OR(UPPER(Raw_Data!L913)="FALSE", UPPER(Raw_Data!L913)="NO", UPPER(Raw_Data!L913)="0"), FALSE, "Review")
        )
    )
)</f>
        <v>1</v>
      </c>
    </row>
    <row r="914" spans="1:13" x14ac:dyDescent="0.4">
      <c r="A914" s="2" t="str">
        <f>IFERROR(TRIM(Raw_Data!A914), "Review")</f>
        <v>EMP1912</v>
      </c>
      <c r="B914" s="2" t="str">
        <f>IFERROR(TRIM(Raw_Data!B914), "Review")</f>
        <v>David</v>
      </c>
      <c r="C914" s="2" t="str">
        <f>IFERROR(TRIM(Raw_Data!C914), "Review")</f>
        <v>Jones</v>
      </c>
      <c r="D914" s="2" t="str">
        <f>IF(Raw_Data!D914="", "", IFERROR(VALUE(Raw_Data!D914), ""))</f>
        <v/>
      </c>
      <c r="E914" s="2" t="str">
        <f>IFERROR(LEFT(Raw_Data!E914,SEARCH("-",Raw_Data!E914)-1),"Review")</f>
        <v>DevOps</v>
      </c>
      <c r="F914" s="2" t="str">
        <f>IFERROR(_xlfn.TEXTAFTER(Raw_Data!E914,"-"),"Review")</f>
        <v>Texas</v>
      </c>
      <c r="G914" s="2" t="str">
        <f>IFERROR(TRIM(Raw_Data!F914), "Review")</f>
        <v>Inactive</v>
      </c>
      <c r="H914" s="3" t="str">
        <f>IFERROR(TEXT(Raw_Data!G914, "YYYY-MM-DD"),"Review")</f>
        <v>2022-05-03</v>
      </c>
      <c r="I914" s="4">
        <f>IF(Raw_Data!H914="", "", IFERROR(VALUE(Raw_Data!H914), ""))</f>
        <v>117870.22</v>
      </c>
      <c r="J914" s="2" t="str">
        <f>IF(Raw_Data!I914="", "", IF(ISNUMBER(FIND("@", Raw_Data!I914)), Raw_Data!I914, "Review"))</f>
        <v>david.jones@example.com</v>
      </c>
      <c r="K914" s="5" t="str">
        <f>IFERROR(TEXT(ABS(Raw_Data!J914), "0"), "Review")</f>
        <v>622072238</v>
      </c>
      <c r="L914" s="2" t="str">
        <f>IFERROR(TRIM(Raw_Data!K914), "Review")</f>
        <v>Excellent</v>
      </c>
      <c r="M914" s="2" t="b">
        <f>IF(Raw_Data!L914="", "",
    IF(ISLOGICAL(Raw_Data!L914), Raw_Data!L914,
        IF(OR(UPPER(Raw_Data!L914)="TRUE", UPPER(Raw_Data!L914)="YES", UPPER(Raw_Data!L914)="1"), TRUE,
            IF(OR(UPPER(Raw_Data!L914)="FALSE", UPPER(Raw_Data!L914)="NO", UPPER(Raw_Data!L914)="0"), FALSE, "Review")
        )
    )
)</f>
        <v>0</v>
      </c>
    </row>
    <row r="915" spans="1:13" x14ac:dyDescent="0.4">
      <c r="A915" s="2" t="str">
        <f>IFERROR(TRIM(Raw_Data!A915), "Review")</f>
        <v>EMP1913</v>
      </c>
      <c r="B915" s="2" t="str">
        <f>IFERROR(TRIM(Raw_Data!B915), "Review")</f>
        <v>Charlie</v>
      </c>
      <c r="C915" s="2" t="str">
        <f>IFERROR(TRIM(Raw_Data!C915), "Review")</f>
        <v>Johnson</v>
      </c>
      <c r="D915" s="2">
        <f>IF(Raw_Data!D915="", "", IFERROR(VALUE(Raw_Data!D915), ""))</f>
        <v>40</v>
      </c>
      <c r="E915" s="2" t="str">
        <f>IFERROR(LEFT(Raw_Data!E915,SEARCH("-",Raw_Data!E915)-1),"Review")</f>
        <v>HR</v>
      </c>
      <c r="F915" s="2" t="str">
        <f>IFERROR(_xlfn.TEXTAFTER(Raw_Data!E915,"-"),"Review")</f>
        <v>Florida</v>
      </c>
      <c r="G915" s="2" t="str">
        <f>IFERROR(TRIM(Raw_Data!F915), "Review")</f>
        <v>Inactive</v>
      </c>
      <c r="H915" s="3" t="str">
        <f>IFERROR(TEXT(Raw_Data!G915, "YYYY-MM-DD"),"Review")</f>
        <v>2024-02-19</v>
      </c>
      <c r="I915" s="4">
        <f>IF(Raw_Data!H915="", "", IFERROR(VALUE(Raw_Data!H915), ""))</f>
        <v>95127.91</v>
      </c>
      <c r="J915" s="2" t="str">
        <f>IF(Raw_Data!I915="", "", IF(ISNUMBER(FIND("@", Raw_Data!I915)), Raw_Data!I915, "Review"))</f>
        <v>charlie.johnson@example.com</v>
      </c>
      <c r="K915" s="5" t="str">
        <f>IFERROR(TEXT(ABS(Raw_Data!J915), "0"), "Review")</f>
        <v>5947372131</v>
      </c>
      <c r="L915" s="2" t="str">
        <f>IFERROR(TRIM(Raw_Data!K915), "Review")</f>
        <v>Average</v>
      </c>
      <c r="M915" s="2" t="b">
        <f>IF(Raw_Data!L915="", "",
    IF(ISLOGICAL(Raw_Data!L915), Raw_Data!L915,
        IF(OR(UPPER(Raw_Data!L915)="TRUE", UPPER(Raw_Data!L915)="YES", UPPER(Raw_Data!L915)="1"), TRUE,
            IF(OR(UPPER(Raw_Data!L915)="FALSE", UPPER(Raw_Data!L915)="NO", UPPER(Raw_Data!L915)="0"), FALSE, "Review")
        )
    )
)</f>
        <v>0</v>
      </c>
    </row>
    <row r="916" spans="1:13" x14ac:dyDescent="0.4">
      <c r="A916" s="2" t="str">
        <f>IFERROR(TRIM(Raw_Data!A916), "Review")</f>
        <v>EMP1914</v>
      </c>
      <c r="B916" s="2" t="str">
        <f>IFERROR(TRIM(Raw_Data!B916), "Review")</f>
        <v>Bob</v>
      </c>
      <c r="C916" s="2" t="str">
        <f>IFERROR(TRIM(Raw_Data!C916), "Review")</f>
        <v>Brown</v>
      </c>
      <c r="D916" s="2">
        <f>IF(Raw_Data!D916="", "", IFERROR(VALUE(Raw_Data!D916), ""))</f>
        <v>25</v>
      </c>
      <c r="E916" s="2" t="str">
        <f>IFERROR(LEFT(Raw_Data!E916,SEARCH("-",Raw_Data!E916)-1),"Review")</f>
        <v>Admin</v>
      </c>
      <c r="F916" s="2" t="str">
        <f>IFERROR(_xlfn.TEXTAFTER(Raw_Data!E916,"-"),"Review")</f>
        <v>Illinois</v>
      </c>
      <c r="G916" s="2" t="str">
        <f>IFERROR(TRIM(Raw_Data!F916), "Review")</f>
        <v>Pending</v>
      </c>
      <c r="H916" s="3" t="str">
        <f>IFERROR(TEXT(Raw_Data!G916, "YYYY-MM-DD"),"Review")</f>
        <v>2021-11-18</v>
      </c>
      <c r="I916" s="4">
        <f>IF(Raw_Data!H916="", "", IFERROR(VALUE(Raw_Data!H916), ""))</f>
        <v>78818.42</v>
      </c>
      <c r="J916" s="2" t="str">
        <f>IF(Raw_Data!I916="", "", IF(ISNUMBER(FIND("@", Raw_Data!I916)), Raw_Data!I916, "Review"))</f>
        <v>bob.brown@example.com</v>
      </c>
      <c r="K916" s="5" t="str">
        <f>IFERROR(TEXT(ABS(Raw_Data!J916), "0"), "Review")</f>
        <v>9016204786</v>
      </c>
      <c r="L916" s="2" t="str">
        <f>IFERROR(TRIM(Raw_Data!K916), "Review")</f>
        <v>Average</v>
      </c>
      <c r="M916" s="2" t="b">
        <f>IF(Raw_Data!L916="", "",
    IF(ISLOGICAL(Raw_Data!L916), Raw_Data!L916,
        IF(OR(UPPER(Raw_Data!L916)="TRUE", UPPER(Raw_Data!L916)="YES", UPPER(Raw_Data!L916)="1"), TRUE,
            IF(OR(UPPER(Raw_Data!L916)="FALSE", UPPER(Raw_Data!L916)="NO", UPPER(Raw_Data!L916)="0"), FALSE, "Review")
        )
    )
)</f>
        <v>0</v>
      </c>
    </row>
    <row r="917" spans="1:13" x14ac:dyDescent="0.4">
      <c r="A917" s="2" t="str">
        <f>IFERROR(TRIM(Raw_Data!A917), "Review")</f>
        <v>EMP1915</v>
      </c>
      <c r="B917" s="2" t="str">
        <f>IFERROR(TRIM(Raw_Data!B917), "Review")</f>
        <v>Frank</v>
      </c>
      <c r="C917" s="2" t="str">
        <f>IFERROR(TRIM(Raw_Data!C917), "Review")</f>
        <v>Miller</v>
      </c>
      <c r="D917" s="2">
        <f>IF(Raw_Data!D917="", "", IFERROR(VALUE(Raw_Data!D917), ""))</f>
        <v>40</v>
      </c>
      <c r="E917" s="2" t="str">
        <f>IFERROR(LEFT(Raw_Data!E917,SEARCH("-",Raw_Data!E917)-1),"Review")</f>
        <v>Sales</v>
      </c>
      <c r="F917" s="2" t="str">
        <f>IFERROR(_xlfn.TEXTAFTER(Raw_Data!E917,"-"),"Review")</f>
        <v>Nevada</v>
      </c>
      <c r="G917" s="2" t="str">
        <f>IFERROR(TRIM(Raw_Data!F917), "Review")</f>
        <v>Pending</v>
      </c>
      <c r="H917" s="3" t="str">
        <f>IFERROR(TEXT(Raw_Data!G917, "YYYY-MM-DD"),"Review")</f>
        <v>2022-12-21</v>
      </c>
      <c r="I917" s="4">
        <f>IF(Raw_Data!H917="", "", IFERROR(VALUE(Raw_Data!H917), ""))</f>
        <v>108933.55</v>
      </c>
      <c r="J917" s="2" t="str">
        <f>IF(Raw_Data!I917="", "", IF(ISNUMBER(FIND("@", Raw_Data!I917)), Raw_Data!I917, "Review"))</f>
        <v>frank.miller@example.com</v>
      </c>
      <c r="K917" s="5" t="str">
        <f>IFERROR(TEXT(ABS(Raw_Data!J917), "0"), "Review")</f>
        <v>6886878598</v>
      </c>
      <c r="L917" s="2" t="str">
        <f>IFERROR(TRIM(Raw_Data!K917), "Review")</f>
        <v>Poor</v>
      </c>
      <c r="M917" s="2" t="b">
        <f>IF(Raw_Data!L917="", "",
    IF(ISLOGICAL(Raw_Data!L917), Raw_Data!L917,
        IF(OR(UPPER(Raw_Data!L917)="TRUE", UPPER(Raw_Data!L917)="YES", UPPER(Raw_Data!L917)="1"), TRUE,
            IF(OR(UPPER(Raw_Data!L917)="FALSE", UPPER(Raw_Data!L917)="NO", UPPER(Raw_Data!L917)="0"), FALSE, "Review")
        )
    )
)</f>
        <v>1</v>
      </c>
    </row>
    <row r="918" spans="1:13" x14ac:dyDescent="0.4">
      <c r="A918" s="2" t="str">
        <f>IFERROR(TRIM(Raw_Data!A918), "Review")</f>
        <v>EMP1916</v>
      </c>
      <c r="B918" s="2" t="str">
        <f>IFERROR(TRIM(Raw_Data!B918), "Review")</f>
        <v>Eva</v>
      </c>
      <c r="C918" s="2" t="str">
        <f>IFERROR(TRIM(Raw_Data!C918), "Review")</f>
        <v>Johnson</v>
      </c>
      <c r="D918" s="2" t="str">
        <f>IF(Raw_Data!D918="", "", IFERROR(VALUE(Raw_Data!D918), ""))</f>
        <v/>
      </c>
      <c r="E918" s="2" t="str">
        <f>IFERROR(LEFT(Raw_Data!E918,SEARCH("-",Raw_Data!E918)-1),"Review")</f>
        <v>Admin</v>
      </c>
      <c r="F918" s="2" t="str">
        <f>IFERROR(_xlfn.TEXTAFTER(Raw_Data!E918,"-"),"Review")</f>
        <v>California</v>
      </c>
      <c r="G918" s="2" t="str">
        <f>IFERROR(TRIM(Raw_Data!F918), "Review")</f>
        <v>Active</v>
      </c>
      <c r="H918" s="3" t="str">
        <f>IFERROR(TEXT(Raw_Data!G918, "YYYY-MM-DD"),"Review")</f>
        <v>2024-06-04</v>
      </c>
      <c r="I918" s="4">
        <f>IF(Raw_Data!H918="", "", IFERROR(VALUE(Raw_Data!H918), ""))</f>
        <v>68200.52</v>
      </c>
      <c r="J918" s="2" t="str">
        <f>IF(Raw_Data!I918="", "", IF(ISNUMBER(FIND("@", Raw_Data!I918)), Raw_Data!I918, "Review"))</f>
        <v>eva.johnson@example.com</v>
      </c>
      <c r="K918" s="5" t="str">
        <f>IFERROR(TEXT(ABS(Raw_Data!J918), "0"), "Review")</f>
        <v>6486287202</v>
      </c>
      <c r="L918" s="2" t="str">
        <f>IFERROR(TRIM(Raw_Data!K918), "Review")</f>
        <v>Average</v>
      </c>
      <c r="M918" s="2" t="b">
        <f>IF(Raw_Data!L918="", "",
    IF(ISLOGICAL(Raw_Data!L918), Raw_Data!L918,
        IF(OR(UPPER(Raw_Data!L918)="TRUE", UPPER(Raw_Data!L918)="YES", UPPER(Raw_Data!L918)="1"), TRUE,
            IF(OR(UPPER(Raw_Data!L918)="FALSE", UPPER(Raw_Data!L918)="NO", UPPER(Raw_Data!L918)="0"), FALSE, "Review")
        )
    )
)</f>
        <v>1</v>
      </c>
    </row>
    <row r="919" spans="1:13" x14ac:dyDescent="0.4">
      <c r="A919" s="2" t="str">
        <f>IFERROR(TRIM(Raw_Data!A919), "Review")</f>
        <v>EMP1917</v>
      </c>
      <c r="B919" s="2" t="str">
        <f>IFERROR(TRIM(Raw_Data!B919), "Review")</f>
        <v>Eva</v>
      </c>
      <c r="C919" s="2" t="str">
        <f>IFERROR(TRIM(Raw_Data!C919), "Review")</f>
        <v>Brown</v>
      </c>
      <c r="D919" s="2">
        <f>IF(Raw_Data!D919="", "", IFERROR(VALUE(Raw_Data!D919), ""))</f>
        <v>25</v>
      </c>
      <c r="E919" s="2" t="str">
        <f>IFERROR(LEFT(Raw_Data!E919,SEARCH("-",Raw_Data!E919)-1),"Review")</f>
        <v>Admin</v>
      </c>
      <c r="F919" s="2" t="str">
        <f>IFERROR(_xlfn.TEXTAFTER(Raw_Data!E919,"-"),"Review")</f>
        <v>California</v>
      </c>
      <c r="G919" s="2" t="str">
        <f>IFERROR(TRIM(Raw_Data!F919), "Review")</f>
        <v>Inactive</v>
      </c>
      <c r="H919" s="3" t="str">
        <f>IFERROR(TEXT(Raw_Data!G919, "YYYY-MM-DD"),"Review")</f>
        <v>2022-07-22</v>
      </c>
      <c r="I919" s="4">
        <f>IF(Raw_Data!H919="", "", IFERROR(VALUE(Raw_Data!H919), ""))</f>
        <v>116934.97</v>
      </c>
      <c r="J919" s="2" t="str">
        <f>IF(Raw_Data!I919="", "", IF(ISNUMBER(FIND("@", Raw_Data!I919)), Raw_Data!I919, "Review"))</f>
        <v>eva.brown@example.com</v>
      </c>
      <c r="K919" s="5" t="str">
        <f>IFERROR(TEXT(ABS(Raw_Data!J919), "0"), "Review")</f>
        <v>1954196663</v>
      </c>
      <c r="L919" s="2" t="str">
        <f>IFERROR(TRIM(Raw_Data!K919), "Review")</f>
        <v>Good</v>
      </c>
      <c r="M919" s="2" t="b">
        <f>IF(Raw_Data!L919="", "",
    IF(ISLOGICAL(Raw_Data!L919), Raw_Data!L919,
        IF(OR(UPPER(Raw_Data!L919)="TRUE", UPPER(Raw_Data!L919)="YES", UPPER(Raw_Data!L919)="1"), TRUE,
            IF(OR(UPPER(Raw_Data!L919)="FALSE", UPPER(Raw_Data!L919)="NO", UPPER(Raw_Data!L919)="0"), FALSE, "Review")
        )
    )
)</f>
        <v>1</v>
      </c>
    </row>
    <row r="920" spans="1:13" x14ac:dyDescent="0.4">
      <c r="A920" s="2" t="str">
        <f>IFERROR(TRIM(Raw_Data!A920), "Review")</f>
        <v>EMP1918</v>
      </c>
      <c r="B920" s="2" t="str">
        <f>IFERROR(TRIM(Raw_Data!B920), "Review")</f>
        <v>Charlie</v>
      </c>
      <c r="C920" s="2" t="str">
        <f>IFERROR(TRIM(Raw_Data!C920), "Review")</f>
        <v>Brown</v>
      </c>
      <c r="D920" s="2" t="str">
        <f>IF(Raw_Data!D920="", "", IFERROR(VALUE(Raw_Data!D920), ""))</f>
        <v/>
      </c>
      <c r="E920" s="2" t="str">
        <f>IFERROR(LEFT(Raw_Data!E920,SEARCH("-",Raw_Data!E920)-1),"Review")</f>
        <v>HR</v>
      </c>
      <c r="F920" s="2" t="str">
        <f>IFERROR(_xlfn.TEXTAFTER(Raw_Data!E920,"-"),"Review")</f>
        <v>New York</v>
      </c>
      <c r="G920" s="2" t="str">
        <f>IFERROR(TRIM(Raw_Data!F920), "Review")</f>
        <v>Active</v>
      </c>
      <c r="H920" s="3" t="str">
        <f>IFERROR(TEXT(Raw_Data!G920, "YYYY-MM-DD"),"Review")</f>
        <v>2024-09-14</v>
      </c>
      <c r="I920" s="4">
        <f>IF(Raw_Data!H920="", "", IFERROR(VALUE(Raw_Data!H920), ""))</f>
        <v>99567.78</v>
      </c>
      <c r="J920" s="2" t="str">
        <f>IF(Raw_Data!I920="", "", IF(ISNUMBER(FIND("@", Raw_Data!I920)), Raw_Data!I920, "Review"))</f>
        <v>charlie.brown@example.com</v>
      </c>
      <c r="K920" s="5" t="str">
        <f>IFERROR(TEXT(ABS(Raw_Data!J920), "0"), "Review")</f>
        <v>5057303626</v>
      </c>
      <c r="L920" s="2" t="str">
        <f>IFERROR(TRIM(Raw_Data!K920), "Review")</f>
        <v>Good</v>
      </c>
      <c r="M920" s="2" t="b">
        <f>IF(Raw_Data!L920="", "",
    IF(ISLOGICAL(Raw_Data!L920), Raw_Data!L920,
        IF(OR(UPPER(Raw_Data!L920)="TRUE", UPPER(Raw_Data!L920)="YES", UPPER(Raw_Data!L920)="1"), TRUE,
            IF(OR(UPPER(Raw_Data!L920)="FALSE", UPPER(Raw_Data!L920)="NO", UPPER(Raw_Data!L920)="0"), FALSE, "Review")
        )
    )
)</f>
        <v>1</v>
      </c>
    </row>
    <row r="921" spans="1:13" x14ac:dyDescent="0.4">
      <c r="A921" s="2" t="str">
        <f>IFERROR(TRIM(Raw_Data!A921), "Review")</f>
        <v>EMP1919</v>
      </c>
      <c r="B921" s="2" t="str">
        <f>IFERROR(TRIM(Raw_Data!B921), "Review")</f>
        <v>Charlie</v>
      </c>
      <c r="C921" s="2" t="str">
        <f>IFERROR(TRIM(Raw_Data!C921), "Review")</f>
        <v>Garcia</v>
      </c>
      <c r="D921" s="2">
        <f>IF(Raw_Data!D921="", "", IFERROR(VALUE(Raw_Data!D921), ""))</f>
        <v>30</v>
      </c>
      <c r="E921" s="2" t="str">
        <f>IFERROR(LEFT(Raw_Data!E921,SEARCH("-",Raw_Data!E921)-1),"Review")</f>
        <v>Admin</v>
      </c>
      <c r="F921" s="2" t="str">
        <f>IFERROR(_xlfn.TEXTAFTER(Raw_Data!E921,"-"),"Review")</f>
        <v>Texas</v>
      </c>
      <c r="G921" s="2" t="str">
        <f>IFERROR(TRIM(Raw_Data!F921), "Review")</f>
        <v>Active</v>
      </c>
      <c r="H921" s="3" t="str">
        <f>IFERROR(TEXT(Raw_Data!G921, "YYYY-MM-DD"),"Review")</f>
        <v>2021-10-10</v>
      </c>
      <c r="I921" s="4">
        <f>IF(Raw_Data!H921="", "", IFERROR(VALUE(Raw_Data!H921), ""))</f>
        <v>90216.76</v>
      </c>
      <c r="J921" s="2" t="str">
        <f>IF(Raw_Data!I921="", "", IF(ISNUMBER(FIND("@", Raw_Data!I921)), Raw_Data!I921, "Review"))</f>
        <v>charlie.garcia@example.com</v>
      </c>
      <c r="K921" s="5" t="str">
        <f>IFERROR(TEXT(ABS(Raw_Data!J921), "0"), "Review")</f>
        <v>9246320373</v>
      </c>
      <c r="L921" s="2" t="str">
        <f>IFERROR(TRIM(Raw_Data!K921), "Review")</f>
        <v>Average</v>
      </c>
      <c r="M921" s="2" t="b">
        <f>IF(Raw_Data!L921="", "",
    IF(ISLOGICAL(Raw_Data!L921), Raw_Data!L921,
        IF(OR(UPPER(Raw_Data!L921)="TRUE", UPPER(Raw_Data!L921)="YES", UPPER(Raw_Data!L921)="1"), TRUE,
            IF(OR(UPPER(Raw_Data!L921)="FALSE", UPPER(Raw_Data!L921)="NO", UPPER(Raw_Data!L921)="0"), FALSE, "Review")
        )
    )
)</f>
        <v>1</v>
      </c>
    </row>
    <row r="922" spans="1:13" x14ac:dyDescent="0.4">
      <c r="A922" s="2" t="str">
        <f>IFERROR(TRIM(Raw_Data!A922), "Review")</f>
        <v>EMP1920</v>
      </c>
      <c r="B922" s="2" t="str">
        <f>IFERROR(TRIM(Raw_Data!B922), "Review")</f>
        <v>Frank</v>
      </c>
      <c r="C922" s="2" t="str">
        <f>IFERROR(TRIM(Raw_Data!C922), "Review")</f>
        <v>Jones</v>
      </c>
      <c r="D922" s="2">
        <f>IF(Raw_Data!D922="", "", IFERROR(VALUE(Raw_Data!D922), ""))</f>
        <v>30</v>
      </c>
      <c r="E922" s="2" t="str">
        <f>IFERROR(LEFT(Raw_Data!E922,SEARCH("-",Raw_Data!E922)-1),"Review")</f>
        <v>Admin</v>
      </c>
      <c r="F922" s="2" t="str">
        <f>IFERROR(_xlfn.TEXTAFTER(Raw_Data!E922,"-"),"Review")</f>
        <v>Illinois</v>
      </c>
      <c r="G922" s="2" t="str">
        <f>IFERROR(TRIM(Raw_Data!F922), "Review")</f>
        <v>Pending</v>
      </c>
      <c r="H922" s="3" t="str">
        <f>IFERROR(TEXT(Raw_Data!G922, "YYYY-MM-DD"),"Review")</f>
        <v>2020-03-12</v>
      </c>
      <c r="I922" s="4">
        <f>IF(Raw_Data!H922="", "", IFERROR(VALUE(Raw_Data!H922), ""))</f>
        <v>96588.73</v>
      </c>
      <c r="J922" s="2" t="str">
        <f>IF(Raw_Data!I922="", "", IF(ISNUMBER(FIND("@", Raw_Data!I922)), Raw_Data!I922, "Review"))</f>
        <v>frank.jones@example.com</v>
      </c>
      <c r="K922" s="5" t="str">
        <f>IFERROR(TEXT(ABS(Raw_Data!J922), "0"), "Review")</f>
        <v>7677537259</v>
      </c>
      <c r="L922" s="2" t="str">
        <f>IFERROR(TRIM(Raw_Data!K922), "Review")</f>
        <v>Average</v>
      </c>
      <c r="M922" s="2" t="b">
        <f>IF(Raw_Data!L922="", "",
    IF(ISLOGICAL(Raw_Data!L922), Raw_Data!L922,
        IF(OR(UPPER(Raw_Data!L922)="TRUE", UPPER(Raw_Data!L922)="YES", UPPER(Raw_Data!L922)="1"), TRUE,
            IF(OR(UPPER(Raw_Data!L922)="FALSE", UPPER(Raw_Data!L922)="NO", UPPER(Raw_Data!L922)="0"), FALSE, "Review")
        )
    )
)</f>
        <v>1</v>
      </c>
    </row>
    <row r="923" spans="1:13" x14ac:dyDescent="0.4">
      <c r="A923" s="2" t="str">
        <f>IFERROR(TRIM(Raw_Data!A923), "Review")</f>
        <v>EMP1921</v>
      </c>
      <c r="B923" s="2" t="str">
        <f>IFERROR(TRIM(Raw_Data!B923), "Review")</f>
        <v>Charlie</v>
      </c>
      <c r="C923" s="2" t="str">
        <f>IFERROR(TRIM(Raw_Data!C923), "Review")</f>
        <v>Davis</v>
      </c>
      <c r="D923" s="2">
        <f>IF(Raw_Data!D923="", "", IFERROR(VALUE(Raw_Data!D923), ""))</f>
        <v>35</v>
      </c>
      <c r="E923" s="2" t="str">
        <f>IFERROR(LEFT(Raw_Data!E923,SEARCH("-",Raw_Data!E923)-1),"Review")</f>
        <v>Finance</v>
      </c>
      <c r="F923" s="2" t="str">
        <f>IFERROR(_xlfn.TEXTAFTER(Raw_Data!E923,"-"),"Review")</f>
        <v>Illinois</v>
      </c>
      <c r="G923" s="2" t="str">
        <f>IFERROR(TRIM(Raw_Data!F923), "Review")</f>
        <v>Active</v>
      </c>
      <c r="H923" s="3" t="str">
        <f>IFERROR(TEXT(Raw_Data!G923, "YYYY-MM-DD"),"Review")</f>
        <v>2022-12-28</v>
      </c>
      <c r="I923" s="4">
        <f>IF(Raw_Data!H923="", "", IFERROR(VALUE(Raw_Data!H923), ""))</f>
        <v>71109.179999999993</v>
      </c>
      <c r="J923" s="2" t="str">
        <f>IF(Raw_Data!I923="", "", IF(ISNUMBER(FIND("@", Raw_Data!I923)), Raw_Data!I923, "Review"))</f>
        <v>charlie.davis@example.com</v>
      </c>
      <c r="K923" s="5" t="str">
        <f>IFERROR(TEXT(ABS(Raw_Data!J923), "0"), "Review")</f>
        <v>3214505765</v>
      </c>
      <c r="L923" s="2" t="str">
        <f>IFERROR(TRIM(Raw_Data!K923), "Review")</f>
        <v>Poor</v>
      </c>
      <c r="M923" s="2" t="b">
        <f>IF(Raw_Data!L923="", "",
    IF(ISLOGICAL(Raw_Data!L923), Raw_Data!L923,
        IF(OR(UPPER(Raw_Data!L923)="TRUE", UPPER(Raw_Data!L923)="YES", UPPER(Raw_Data!L923)="1"), TRUE,
            IF(OR(UPPER(Raw_Data!L923)="FALSE", UPPER(Raw_Data!L923)="NO", UPPER(Raw_Data!L923)="0"), FALSE, "Review")
        )
    )
)</f>
        <v>1</v>
      </c>
    </row>
    <row r="924" spans="1:13" x14ac:dyDescent="0.4">
      <c r="A924" s="2" t="str">
        <f>IFERROR(TRIM(Raw_Data!A924), "Review")</f>
        <v>EMP1922</v>
      </c>
      <c r="B924" s="2" t="str">
        <f>IFERROR(TRIM(Raw_Data!B924), "Review")</f>
        <v>Grace</v>
      </c>
      <c r="C924" s="2" t="str">
        <f>IFERROR(TRIM(Raw_Data!C924), "Review")</f>
        <v>Smith</v>
      </c>
      <c r="D924" s="2">
        <f>IF(Raw_Data!D924="", "", IFERROR(VALUE(Raw_Data!D924), ""))</f>
        <v>40</v>
      </c>
      <c r="E924" s="2" t="str">
        <f>IFERROR(LEFT(Raw_Data!E924,SEARCH("-",Raw_Data!E924)-1),"Review")</f>
        <v>Admin</v>
      </c>
      <c r="F924" s="2" t="str">
        <f>IFERROR(_xlfn.TEXTAFTER(Raw_Data!E924,"-"),"Review")</f>
        <v>Florida</v>
      </c>
      <c r="G924" s="2" t="str">
        <f>IFERROR(TRIM(Raw_Data!F924), "Review")</f>
        <v>Inactive</v>
      </c>
      <c r="H924" s="3" t="str">
        <f>IFERROR(TEXT(Raw_Data!G924, "YYYY-MM-DD"),"Review")</f>
        <v>2020-11-15</v>
      </c>
      <c r="I924" s="4">
        <f>IF(Raw_Data!H924="", "", IFERROR(VALUE(Raw_Data!H924), ""))</f>
        <v>50300.6</v>
      </c>
      <c r="J924" s="2" t="str">
        <f>IF(Raw_Data!I924="", "", IF(ISNUMBER(FIND("@", Raw_Data!I924)), Raw_Data!I924, "Review"))</f>
        <v>grace.smith@example.com</v>
      </c>
      <c r="K924" s="5" t="str">
        <f>IFERROR(TEXT(ABS(Raw_Data!J924), "0"), "Review")</f>
        <v>1945887070</v>
      </c>
      <c r="L924" s="2" t="str">
        <f>IFERROR(TRIM(Raw_Data!K924), "Review")</f>
        <v>Good</v>
      </c>
      <c r="M924" s="2" t="b">
        <f>IF(Raw_Data!L924="", "",
    IF(ISLOGICAL(Raw_Data!L924), Raw_Data!L924,
        IF(OR(UPPER(Raw_Data!L924)="TRUE", UPPER(Raw_Data!L924)="YES", UPPER(Raw_Data!L924)="1"), TRUE,
            IF(OR(UPPER(Raw_Data!L924)="FALSE", UPPER(Raw_Data!L924)="NO", UPPER(Raw_Data!L924)="0"), FALSE, "Review")
        )
    )
)</f>
        <v>0</v>
      </c>
    </row>
    <row r="925" spans="1:13" x14ac:dyDescent="0.4">
      <c r="A925" s="2" t="str">
        <f>IFERROR(TRIM(Raw_Data!A925), "Review")</f>
        <v>EMP1923</v>
      </c>
      <c r="B925" s="2" t="str">
        <f>IFERROR(TRIM(Raw_Data!B925), "Review")</f>
        <v>Frank</v>
      </c>
      <c r="C925" s="2" t="str">
        <f>IFERROR(TRIM(Raw_Data!C925), "Review")</f>
        <v>Davis</v>
      </c>
      <c r="D925" s="2">
        <f>IF(Raw_Data!D925="", "", IFERROR(VALUE(Raw_Data!D925), ""))</f>
        <v>35</v>
      </c>
      <c r="E925" s="2" t="str">
        <f>IFERROR(LEFT(Raw_Data!E925,SEARCH("-",Raw_Data!E925)-1),"Review")</f>
        <v>Finance</v>
      </c>
      <c r="F925" s="2" t="str">
        <f>IFERROR(_xlfn.TEXTAFTER(Raw_Data!E925,"-"),"Review")</f>
        <v>California</v>
      </c>
      <c r="G925" s="2" t="str">
        <f>IFERROR(TRIM(Raw_Data!F925), "Review")</f>
        <v>Pending</v>
      </c>
      <c r="H925" s="3" t="str">
        <f>IFERROR(TEXT(Raw_Data!G925, "YYYY-MM-DD"),"Review")</f>
        <v>2023-09-27</v>
      </c>
      <c r="I925" s="4">
        <f>IF(Raw_Data!H925="", "", IFERROR(VALUE(Raw_Data!H925), ""))</f>
        <v>60295.839999999997</v>
      </c>
      <c r="J925" s="2" t="str">
        <f>IF(Raw_Data!I925="", "", IF(ISNUMBER(FIND("@", Raw_Data!I925)), Raw_Data!I925, "Review"))</f>
        <v>frank.davis@example.com</v>
      </c>
      <c r="K925" s="5" t="str">
        <f>IFERROR(TEXT(ABS(Raw_Data!J925), "0"), "Review")</f>
        <v>5534820127</v>
      </c>
      <c r="L925" s="2" t="str">
        <f>IFERROR(TRIM(Raw_Data!K925), "Review")</f>
        <v>Good</v>
      </c>
      <c r="M925" s="2" t="b">
        <f>IF(Raw_Data!L925="", "",
    IF(ISLOGICAL(Raw_Data!L925), Raw_Data!L925,
        IF(OR(UPPER(Raw_Data!L925)="TRUE", UPPER(Raw_Data!L925)="YES", UPPER(Raw_Data!L925)="1"), TRUE,
            IF(OR(UPPER(Raw_Data!L925)="FALSE", UPPER(Raw_Data!L925)="NO", UPPER(Raw_Data!L925)="0"), FALSE, "Review")
        )
    )
)</f>
        <v>0</v>
      </c>
    </row>
    <row r="926" spans="1:13" x14ac:dyDescent="0.4">
      <c r="A926" s="2" t="str">
        <f>IFERROR(TRIM(Raw_Data!A926), "Review")</f>
        <v>EMP1924</v>
      </c>
      <c r="B926" s="2" t="str">
        <f>IFERROR(TRIM(Raw_Data!B926), "Review")</f>
        <v>Heidi</v>
      </c>
      <c r="C926" s="2" t="str">
        <f>IFERROR(TRIM(Raw_Data!C926), "Review")</f>
        <v>Smith</v>
      </c>
      <c r="D926" s="2">
        <f>IF(Raw_Data!D926="", "", IFERROR(VALUE(Raw_Data!D926), ""))</f>
        <v>35</v>
      </c>
      <c r="E926" s="2" t="str">
        <f>IFERROR(LEFT(Raw_Data!E926,SEARCH("-",Raw_Data!E926)-1),"Review")</f>
        <v>DevOps</v>
      </c>
      <c r="F926" s="2" t="str">
        <f>IFERROR(_xlfn.TEXTAFTER(Raw_Data!E926,"-"),"Review")</f>
        <v>Texas</v>
      </c>
      <c r="G926" s="2" t="str">
        <f>IFERROR(TRIM(Raw_Data!F926), "Review")</f>
        <v>Pending</v>
      </c>
      <c r="H926" s="3" t="str">
        <f>IFERROR(TEXT(Raw_Data!G926, "YYYY-MM-DD"),"Review")</f>
        <v>2022-09-07</v>
      </c>
      <c r="I926" s="4">
        <f>IF(Raw_Data!H926="", "", IFERROR(VALUE(Raw_Data!H926), ""))</f>
        <v>113012.21</v>
      </c>
      <c r="J926" s="2" t="str">
        <f>IF(Raw_Data!I926="", "", IF(ISNUMBER(FIND("@", Raw_Data!I926)), Raw_Data!I926, "Review"))</f>
        <v>heidi.smith@example.com</v>
      </c>
      <c r="K926" s="5" t="str">
        <f>IFERROR(TEXT(ABS(Raw_Data!J926), "0"), "Review")</f>
        <v>4008385075</v>
      </c>
      <c r="L926" s="2" t="str">
        <f>IFERROR(TRIM(Raw_Data!K926), "Review")</f>
        <v>Excellent</v>
      </c>
      <c r="M926" s="2" t="b">
        <f>IF(Raw_Data!L926="", "",
    IF(ISLOGICAL(Raw_Data!L926), Raw_Data!L926,
        IF(OR(UPPER(Raw_Data!L926)="TRUE", UPPER(Raw_Data!L926)="YES", UPPER(Raw_Data!L926)="1"), TRUE,
            IF(OR(UPPER(Raw_Data!L926)="FALSE", UPPER(Raw_Data!L926)="NO", UPPER(Raw_Data!L926)="0"), FALSE, "Review")
        )
    )
)</f>
        <v>0</v>
      </c>
    </row>
    <row r="927" spans="1:13" x14ac:dyDescent="0.4">
      <c r="A927" s="2" t="str">
        <f>IFERROR(TRIM(Raw_Data!A927), "Review")</f>
        <v>EMP1925</v>
      </c>
      <c r="B927" s="2" t="str">
        <f>IFERROR(TRIM(Raw_Data!B927), "Review")</f>
        <v>Bob</v>
      </c>
      <c r="C927" s="2" t="str">
        <f>IFERROR(TRIM(Raw_Data!C927), "Review")</f>
        <v>Williams</v>
      </c>
      <c r="D927" s="2">
        <f>IF(Raw_Data!D927="", "", IFERROR(VALUE(Raw_Data!D927), ""))</f>
        <v>35</v>
      </c>
      <c r="E927" s="2" t="str">
        <f>IFERROR(LEFT(Raw_Data!E927,SEARCH("-",Raw_Data!E927)-1),"Review")</f>
        <v>Cloud Tech</v>
      </c>
      <c r="F927" s="2" t="str">
        <f>IFERROR(_xlfn.TEXTAFTER(Raw_Data!E927,"-"),"Review")</f>
        <v>Florida</v>
      </c>
      <c r="G927" s="2" t="str">
        <f>IFERROR(TRIM(Raw_Data!F927), "Review")</f>
        <v>Pending</v>
      </c>
      <c r="H927" s="3" t="str">
        <f>IFERROR(TEXT(Raw_Data!G927, "YYYY-MM-DD"),"Review")</f>
        <v>2024-09-18</v>
      </c>
      <c r="I927" s="4">
        <f>IF(Raw_Data!H927="", "", IFERROR(VALUE(Raw_Data!H927), ""))</f>
        <v>65425.54</v>
      </c>
      <c r="J927" s="2" t="str">
        <f>IF(Raw_Data!I927="", "", IF(ISNUMBER(FIND("@", Raw_Data!I927)), Raw_Data!I927, "Review"))</f>
        <v>bob.williams@example.com</v>
      </c>
      <c r="K927" s="5" t="str">
        <f>IFERROR(TEXT(ABS(Raw_Data!J927), "0"), "Review")</f>
        <v>5975954507</v>
      </c>
      <c r="L927" s="2" t="str">
        <f>IFERROR(TRIM(Raw_Data!K927), "Review")</f>
        <v>Poor</v>
      </c>
      <c r="M927" s="2" t="b">
        <f>IF(Raw_Data!L927="", "",
    IF(ISLOGICAL(Raw_Data!L927), Raw_Data!L927,
        IF(OR(UPPER(Raw_Data!L927)="TRUE", UPPER(Raw_Data!L927)="YES", UPPER(Raw_Data!L927)="1"), TRUE,
            IF(OR(UPPER(Raw_Data!L927)="FALSE", UPPER(Raw_Data!L927)="NO", UPPER(Raw_Data!L927)="0"), FALSE, "Review")
        )
    )
)</f>
        <v>1</v>
      </c>
    </row>
    <row r="928" spans="1:13" x14ac:dyDescent="0.4">
      <c r="A928" s="2" t="str">
        <f>IFERROR(TRIM(Raw_Data!A928), "Review")</f>
        <v>EMP1926</v>
      </c>
      <c r="B928" s="2" t="str">
        <f>IFERROR(TRIM(Raw_Data!B928), "Review")</f>
        <v>Frank</v>
      </c>
      <c r="C928" s="2" t="str">
        <f>IFERROR(TRIM(Raw_Data!C928), "Review")</f>
        <v>Jones</v>
      </c>
      <c r="D928" s="2">
        <f>IF(Raw_Data!D928="", "", IFERROR(VALUE(Raw_Data!D928), ""))</f>
        <v>25</v>
      </c>
      <c r="E928" s="2" t="str">
        <f>IFERROR(LEFT(Raw_Data!E928,SEARCH("-",Raw_Data!E928)-1),"Review")</f>
        <v>Sales</v>
      </c>
      <c r="F928" s="2" t="str">
        <f>IFERROR(_xlfn.TEXTAFTER(Raw_Data!E928,"-"),"Review")</f>
        <v>Nevada</v>
      </c>
      <c r="G928" s="2" t="str">
        <f>IFERROR(TRIM(Raw_Data!F928), "Review")</f>
        <v>Active</v>
      </c>
      <c r="H928" s="3" t="str">
        <f>IFERROR(TEXT(Raw_Data!G928, "YYYY-MM-DD"),"Review")</f>
        <v>2023-04-09</v>
      </c>
      <c r="I928" s="4">
        <f>IF(Raw_Data!H928="", "", IFERROR(VALUE(Raw_Data!H928), ""))</f>
        <v>86850.37</v>
      </c>
      <c r="J928" s="2" t="str">
        <f>IF(Raw_Data!I928="", "", IF(ISNUMBER(FIND("@", Raw_Data!I928)), Raw_Data!I928, "Review"))</f>
        <v>frank.jones@example.com</v>
      </c>
      <c r="K928" s="5" t="str">
        <f>IFERROR(TEXT(ABS(Raw_Data!J928), "0"), "Review")</f>
        <v>9177680897</v>
      </c>
      <c r="L928" s="2" t="str">
        <f>IFERROR(TRIM(Raw_Data!K928), "Review")</f>
        <v>Excellent</v>
      </c>
      <c r="M928" s="2" t="b">
        <f>IF(Raw_Data!L928="", "",
    IF(ISLOGICAL(Raw_Data!L928), Raw_Data!L928,
        IF(OR(UPPER(Raw_Data!L928)="TRUE", UPPER(Raw_Data!L928)="YES", UPPER(Raw_Data!L928)="1"), TRUE,
            IF(OR(UPPER(Raw_Data!L928)="FALSE", UPPER(Raw_Data!L928)="NO", UPPER(Raw_Data!L928)="0"), FALSE, "Review")
        )
    )
)</f>
        <v>1</v>
      </c>
    </row>
    <row r="929" spans="1:13" x14ac:dyDescent="0.4">
      <c r="A929" s="2" t="str">
        <f>IFERROR(TRIM(Raw_Data!A929), "Review")</f>
        <v>EMP1927</v>
      </c>
      <c r="B929" s="2" t="str">
        <f>IFERROR(TRIM(Raw_Data!B929), "Review")</f>
        <v>Eva</v>
      </c>
      <c r="C929" s="2" t="str">
        <f>IFERROR(TRIM(Raw_Data!C929), "Review")</f>
        <v>Brown</v>
      </c>
      <c r="D929" s="2">
        <f>IF(Raw_Data!D929="", "", IFERROR(VALUE(Raw_Data!D929), ""))</f>
        <v>30</v>
      </c>
      <c r="E929" s="2" t="str">
        <f>IFERROR(LEFT(Raw_Data!E929,SEARCH("-",Raw_Data!E929)-1),"Review")</f>
        <v>Cloud Tech</v>
      </c>
      <c r="F929" s="2" t="str">
        <f>IFERROR(_xlfn.TEXTAFTER(Raw_Data!E929,"-"),"Review")</f>
        <v>Texas</v>
      </c>
      <c r="G929" s="2" t="str">
        <f>IFERROR(TRIM(Raw_Data!F929), "Review")</f>
        <v>Pending</v>
      </c>
      <c r="H929" s="3" t="str">
        <f>IFERROR(TEXT(Raw_Data!G929, "YYYY-MM-DD"),"Review")</f>
        <v>2024-10-05</v>
      </c>
      <c r="I929" s="4">
        <f>IF(Raw_Data!H929="", "", IFERROR(VALUE(Raw_Data!H929), ""))</f>
        <v>81182.070000000007</v>
      </c>
      <c r="J929" s="2" t="str">
        <f>IF(Raw_Data!I929="", "", IF(ISNUMBER(FIND("@", Raw_Data!I929)), Raw_Data!I929, "Review"))</f>
        <v>eva.brown@example.com</v>
      </c>
      <c r="K929" s="5" t="str">
        <f>IFERROR(TEXT(ABS(Raw_Data!J929), "0"), "Review")</f>
        <v>1265742230</v>
      </c>
      <c r="L929" s="2" t="str">
        <f>IFERROR(TRIM(Raw_Data!K929), "Review")</f>
        <v>Good</v>
      </c>
      <c r="M929" s="2" t="b">
        <f>IF(Raw_Data!L929="", "",
    IF(ISLOGICAL(Raw_Data!L929), Raw_Data!L929,
        IF(OR(UPPER(Raw_Data!L929)="TRUE", UPPER(Raw_Data!L929)="YES", UPPER(Raw_Data!L929)="1"), TRUE,
            IF(OR(UPPER(Raw_Data!L929)="FALSE", UPPER(Raw_Data!L929)="NO", UPPER(Raw_Data!L929)="0"), FALSE, "Review")
        )
    )
)</f>
        <v>1</v>
      </c>
    </row>
    <row r="930" spans="1:13" x14ac:dyDescent="0.4">
      <c r="A930" s="2" t="str">
        <f>IFERROR(TRIM(Raw_Data!A930), "Review")</f>
        <v>EMP1928</v>
      </c>
      <c r="B930" s="2" t="str">
        <f>IFERROR(TRIM(Raw_Data!B930), "Review")</f>
        <v>Bob</v>
      </c>
      <c r="C930" s="2" t="str">
        <f>IFERROR(TRIM(Raw_Data!C930), "Review")</f>
        <v>Miller</v>
      </c>
      <c r="D930" s="2" t="str">
        <f>IF(Raw_Data!D930="", "", IFERROR(VALUE(Raw_Data!D930), ""))</f>
        <v/>
      </c>
      <c r="E930" s="2" t="str">
        <f>IFERROR(LEFT(Raw_Data!E930,SEARCH("-",Raw_Data!E930)-1),"Review")</f>
        <v>Finance</v>
      </c>
      <c r="F930" s="2" t="str">
        <f>IFERROR(_xlfn.TEXTAFTER(Raw_Data!E930,"-"),"Review")</f>
        <v>New York</v>
      </c>
      <c r="G930" s="2" t="str">
        <f>IFERROR(TRIM(Raw_Data!F930), "Review")</f>
        <v>Inactive</v>
      </c>
      <c r="H930" s="3" t="str">
        <f>IFERROR(TEXT(Raw_Data!G930, "YYYY-MM-DD"),"Review")</f>
        <v>2021-10-12</v>
      </c>
      <c r="I930" s="4">
        <f>IF(Raw_Data!H930="", "", IFERROR(VALUE(Raw_Data!H930), ""))</f>
        <v>92222.03</v>
      </c>
      <c r="J930" s="2" t="str">
        <f>IF(Raw_Data!I930="", "", IF(ISNUMBER(FIND("@", Raw_Data!I930)), Raw_Data!I930, "Review"))</f>
        <v>bob.miller@example.com</v>
      </c>
      <c r="K930" s="5" t="str">
        <f>IFERROR(TEXT(ABS(Raw_Data!J930), "0"), "Review")</f>
        <v>9646300401</v>
      </c>
      <c r="L930" s="2" t="str">
        <f>IFERROR(TRIM(Raw_Data!K930), "Review")</f>
        <v>Poor</v>
      </c>
      <c r="M930" s="2" t="b">
        <f>IF(Raw_Data!L930="", "",
    IF(ISLOGICAL(Raw_Data!L930), Raw_Data!L930,
        IF(OR(UPPER(Raw_Data!L930)="TRUE", UPPER(Raw_Data!L930)="YES", UPPER(Raw_Data!L930)="1"), TRUE,
            IF(OR(UPPER(Raw_Data!L930)="FALSE", UPPER(Raw_Data!L930)="NO", UPPER(Raw_Data!L930)="0"), FALSE, "Review")
        )
    )
)</f>
        <v>1</v>
      </c>
    </row>
    <row r="931" spans="1:13" x14ac:dyDescent="0.4">
      <c r="A931" s="2" t="str">
        <f>IFERROR(TRIM(Raw_Data!A931), "Review")</f>
        <v>EMP1929</v>
      </c>
      <c r="B931" s="2" t="str">
        <f>IFERROR(TRIM(Raw_Data!B931), "Review")</f>
        <v>Alice</v>
      </c>
      <c r="C931" s="2" t="str">
        <f>IFERROR(TRIM(Raw_Data!C931), "Review")</f>
        <v>Smith</v>
      </c>
      <c r="D931" s="2">
        <f>IF(Raw_Data!D931="", "", IFERROR(VALUE(Raw_Data!D931), ""))</f>
        <v>35</v>
      </c>
      <c r="E931" s="2" t="str">
        <f>IFERROR(LEFT(Raw_Data!E931,SEARCH("-",Raw_Data!E931)-1),"Review")</f>
        <v>Finance</v>
      </c>
      <c r="F931" s="2" t="str">
        <f>IFERROR(_xlfn.TEXTAFTER(Raw_Data!E931,"-"),"Review")</f>
        <v>New York</v>
      </c>
      <c r="G931" s="2" t="str">
        <f>IFERROR(TRIM(Raw_Data!F931), "Review")</f>
        <v>Pending</v>
      </c>
      <c r="H931" s="3" t="str">
        <f>IFERROR(TEXT(Raw_Data!G931, "YYYY-MM-DD"),"Review")</f>
        <v>2024-10-14</v>
      </c>
      <c r="I931" s="4">
        <f>IF(Raw_Data!H931="", "", IFERROR(VALUE(Raw_Data!H931), ""))</f>
        <v>79934.83</v>
      </c>
      <c r="J931" s="2" t="str">
        <f>IF(Raw_Data!I931="", "", IF(ISNUMBER(FIND("@", Raw_Data!I931)), Raw_Data!I931, "Review"))</f>
        <v>alice.smith@example.com</v>
      </c>
      <c r="K931" s="5" t="str">
        <f>IFERROR(TEXT(ABS(Raw_Data!J931), "0"), "Review")</f>
        <v>3693626893</v>
      </c>
      <c r="L931" s="2" t="str">
        <f>IFERROR(TRIM(Raw_Data!K931), "Review")</f>
        <v>Average</v>
      </c>
      <c r="M931" s="2" t="b">
        <f>IF(Raw_Data!L931="", "",
    IF(ISLOGICAL(Raw_Data!L931), Raw_Data!L931,
        IF(OR(UPPER(Raw_Data!L931)="TRUE", UPPER(Raw_Data!L931)="YES", UPPER(Raw_Data!L931)="1"), TRUE,
            IF(OR(UPPER(Raw_Data!L931)="FALSE", UPPER(Raw_Data!L931)="NO", UPPER(Raw_Data!L931)="0"), FALSE, "Review")
        )
    )
)</f>
        <v>1</v>
      </c>
    </row>
    <row r="932" spans="1:13" x14ac:dyDescent="0.4">
      <c r="A932" s="2" t="str">
        <f>IFERROR(TRIM(Raw_Data!A932), "Review")</f>
        <v>EMP1930</v>
      </c>
      <c r="B932" s="2" t="str">
        <f>IFERROR(TRIM(Raw_Data!B932), "Review")</f>
        <v>Alice</v>
      </c>
      <c r="C932" s="2" t="str">
        <f>IFERROR(TRIM(Raw_Data!C932), "Review")</f>
        <v>Davis</v>
      </c>
      <c r="D932" s="2">
        <f>IF(Raw_Data!D932="", "", IFERROR(VALUE(Raw_Data!D932), ""))</f>
        <v>35</v>
      </c>
      <c r="E932" s="2" t="str">
        <f>IFERROR(LEFT(Raw_Data!E932,SEARCH("-",Raw_Data!E932)-1),"Review")</f>
        <v>HR</v>
      </c>
      <c r="F932" s="2" t="str">
        <f>IFERROR(_xlfn.TEXTAFTER(Raw_Data!E932,"-"),"Review")</f>
        <v>California</v>
      </c>
      <c r="G932" s="2" t="str">
        <f>IFERROR(TRIM(Raw_Data!F932), "Review")</f>
        <v>Inactive</v>
      </c>
      <c r="H932" s="3" t="str">
        <f>IFERROR(TEXT(Raw_Data!G932, "YYYY-MM-DD"),"Review")</f>
        <v>2022-07-01</v>
      </c>
      <c r="I932" s="4">
        <f>IF(Raw_Data!H932="", "", IFERROR(VALUE(Raw_Data!H932), ""))</f>
        <v>111201.12</v>
      </c>
      <c r="J932" s="2" t="str">
        <f>IF(Raw_Data!I932="", "", IF(ISNUMBER(FIND("@", Raw_Data!I932)), Raw_Data!I932, "Review"))</f>
        <v>alice.davis@example.com</v>
      </c>
      <c r="K932" s="5" t="str">
        <f>IFERROR(TEXT(ABS(Raw_Data!J932), "0"), "Review")</f>
        <v>3012047136</v>
      </c>
      <c r="L932" s="2" t="str">
        <f>IFERROR(TRIM(Raw_Data!K932), "Review")</f>
        <v>Poor</v>
      </c>
      <c r="M932" s="2" t="b">
        <f>IF(Raw_Data!L932="", "",
    IF(ISLOGICAL(Raw_Data!L932), Raw_Data!L932,
        IF(OR(UPPER(Raw_Data!L932)="TRUE", UPPER(Raw_Data!L932)="YES", UPPER(Raw_Data!L932)="1"), TRUE,
            IF(OR(UPPER(Raw_Data!L932)="FALSE", UPPER(Raw_Data!L932)="NO", UPPER(Raw_Data!L932)="0"), FALSE, "Review")
        )
    )
)</f>
        <v>0</v>
      </c>
    </row>
    <row r="933" spans="1:13" x14ac:dyDescent="0.4">
      <c r="A933" s="2" t="str">
        <f>IFERROR(TRIM(Raw_Data!A933), "Review")</f>
        <v>EMP1931</v>
      </c>
      <c r="B933" s="2" t="str">
        <f>IFERROR(TRIM(Raw_Data!B933), "Review")</f>
        <v>Heidi</v>
      </c>
      <c r="C933" s="2" t="str">
        <f>IFERROR(TRIM(Raw_Data!C933), "Review")</f>
        <v>Brown</v>
      </c>
      <c r="D933" s="2">
        <f>IF(Raw_Data!D933="", "", IFERROR(VALUE(Raw_Data!D933), ""))</f>
        <v>40</v>
      </c>
      <c r="E933" s="2" t="str">
        <f>IFERROR(LEFT(Raw_Data!E933,SEARCH("-",Raw_Data!E933)-1),"Review")</f>
        <v>Finance</v>
      </c>
      <c r="F933" s="2" t="str">
        <f>IFERROR(_xlfn.TEXTAFTER(Raw_Data!E933,"-"),"Review")</f>
        <v>California</v>
      </c>
      <c r="G933" s="2" t="str">
        <f>IFERROR(TRIM(Raw_Data!F933), "Review")</f>
        <v>Active</v>
      </c>
      <c r="H933" s="3" t="str">
        <f>IFERROR(TEXT(Raw_Data!G933, "YYYY-MM-DD"),"Review")</f>
        <v>2024-07-08</v>
      </c>
      <c r="I933" s="4">
        <f>IF(Raw_Data!H933="", "", IFERROR(VALUE(Raw_Data!H933), ""))</f>
        <v>100960.05</v>
      </c>
      <c r="J933" s="2" t="str">
        <f>IF(Raw_Data!I933="", "", IF(ISNUMBER(FIND("@", Raw_Data!I933)), Raw_Data!I933, "Review"))</f>
        <v>heidi.brown@example.com</v>
      </c>
      <c r="K933" s="5" t="str">
        <f>IFERROR(TEXT(ABS(Raw_Data!J933), "0"), "Review")</f>
        <v>2711759573</v>
      </c>
      <c r="L933" s="2" t="str">
        <f>IFERROR(TRIM(Raw_Data!K933), "Review")</f>
        <v>Average</v>
      </c>
      <c r="M933" s="2" t="b">
        <f>IF(Raw_Data!L933="", "",
    IF(ISLOGICAL(Raw_Data!L933), Raw_Data!L933,
        IF(OR(UPPER(Raw_Data!L933)="TRUE", UPPER(Raw_Data!L933)="YES", UPPER(Raw_Data!L933)="1"), TRUE,
            IF(OR(UPPER(Raw_Data!L933)="FALSE", UPPER(Raw_Data!L933)="NO", UPPER(Raw_Data!L933)="0"), FALSE, "Review")
        )
    )
)</f>
        <v>0</v>
      </c>
    </row>
    <row r="934" spans="1:13" x14ac:dyDescent="0.4">
      <c r="A934" s="2" t="str">
        <f>IFERROR(TRIM(Raw_Data!A934), "Review")</f>
        <v>EMP1932</v>
      </c>
      <c r="B934" s="2" t="str">
        <f>IFERROR(TRIM(Raw_Data!B934), "Review")</f>
        <v>Grace</v>
      </c>
      <c r="C934" s="2" t="str">
        <f>IFERROR(TRIM(Raw_Data!C934), "Review")</f>
        <v>Smith</v>
      </c>
      <c r="D934" s="2">
        <f>IF(Raw_Data!D934="", "", IFERROR(VALUE(Raw_Data!D934), ""))</f>
        <v>30</v>
      </c>
      <c r="E934" s="2" t="str">
        <f>IFERROR(LEFT(Raw_Data!E934,SEARCH("-",Raw_Data!E934)-1),"Review")</f>
        <v>Sales</v>
      </c>
      <c r="F934" s="2" t="str">
        <f>IFERROR(_xlfn.TEXTAFTER(Raw_Data!E934,"-"),"Review")</f>
        <v>Illinois</v>
      </c>
      <c r="G934" s="2" t="str">
        <f>IFERROR(TRIM(Raw_Data!F934), "Review")</f>
        <v>Active</v>
      </c>
      <c r="H934" s="3" t="str">
        <f>IFERROR(TEXT(Raw_Data!G934, "YYYY-MM-DD"),"Review")</f>
        <v>2020-10-21</v>
      </c>
      <c r="I934" s="4">
        <f>IF(Raw_Data!H934="", "", IFERROR(VALUE(Raw_Data!H934), ""))</f>
        <v>64544.87</v>
      </c>
      <c r="J934" s="2" t="str">
        <f>IF(Raw_Data!I934="", "", IF(ISNUMBER(FIND("@", Raw_Data!I934)), Raw_Data!I934, "Review"))</f>
        <v>grace.smith@example.com</v>
      </c>
      <c r="K934" s="5" t="str">
        <f>IFERROR(TEXT(ABS(Raw_Data!J934), "0"), "Review")</f>
        <v>9885582983</v>
      </c>
      <c r="L934" s="2" t="str">
        <f>IFERROR(TRIM(Raw_Data!K934), "Review")</f>
        <v>Average</v>
      </c>
      <c r="M934" s="2" t="b">
        <f>IF(Raw_Data!L934="", "",
    IF(ISLOGICAL(Raw_Data!L934), Raw_Data!L934,
        IF(OR(UPPER(Raw_Data!L934)="TRUE", UPPER(Raw_Data!L934)="YES", UPPER(Raw_Data!L934)="1"), TRUE,
            IF(OR(UPPER(Raw_Data!L934)="FALSE", UPPER(Raw_Data!L934)="NO", UPPER(Raw_Data!L934)="0"), FALSE, "Review")
        )
    )
)</f>
        <v>1</v>
      </c>
    </row>
    <row r="935" spans="1:13" x14ac:dyDescent="0.4">
      <c r="A935" s="2" t="str">
        <f>IFERROR(TRIM(Raw_Data!A935), "Review")</f>
        <v>EMP1933</v>
      </c>
      <c r="B935" s="2" t="str">
        <f>IFERROR(TRIM(Raw_Data!B935), "Review")</f>
        <v>Frank</v>
      </c>
      <c r="C935" s="2" t="str">
        <f>IFERROR(TRIM(Raw_Data!C935), "Review")</f>
        <v>Smith</v>
      </c>
      <c r="D935" s="2">
        <f>IF(Raw_Data!D935="", "", IFERROR(VALUE(Raw_Data!D935), ""))</f>
        <v>25</v>
      </c>
      <c r="E935" s="2" t="str">
        <f>IFERROR(LEFT(Raw_Data!E935,SEARCH("-",Raw_Data!E935)-1),"Review")</f>
        <v>Sales</v>
      </c>
      <c r="F935" s="2" t="str">
        <f>IFERROR(_xlfn.TEXTAFTER(Raw_Data!E935,"-"),"Review")</f>
        <v>Florida</v>
      </c>
      <c r="G935" s="2" t="str">
        <f>IFERROR(TRIM(Raw_Data!F935), "Review")</f>
        <v>Active</v>
      </c>
      <c r="H935" s="3" t="str">
        <f>IFERROR(TEXT(Raw_Data!G935, "YYYY-MM-DD"),"Review")</f>
        <v>2020-01-14</v>
      </c>
      <c r="I935" s="4">
        <f>IF(Raw_Data!H935="", "", IFERROR(VALUE(Raw_Data!H935), ""))</f>
        <v>78662.240000000005</v>
      </c>
      <c r="J935" s="2" t="str">
        <f>IF(Raw_Data!I935="", "", IF(ISNUMBER(FIND("@", Raw_Data!I935)), Raw_Data!I935, "Review"))</f>
        <v>frank.smith@example.com</v>
      </c>
      <c r="K935" s="5" t="str">
        <f>IFERROR(TEXT(ABS(Raw_Data!J935), "0"), "Review")</f>
        <v>9330674583</v>
      </c>
      <c r="L935" s="2" t="str">
        <f>IFERROR(TRIM(Raw_Data!K935), "Review")</f>
        <v>Poor</v>
      </c>
      <c r="M935" s="2" t="b">
        <f>IF(Raw_Data!L935="", "",
    IF(ISLOGICAL(Raw_Data!L935), Raw_Data!L935,
        IF(OR(UPPER(Raw_Data!L935)="TRUE", UPPER(Raw_Data!L935)="YES", UPPER(Raw_Data!L935)="1"), TRUE,
            IF(OR(UPPER(Raw_Data!L935)="FALSE", UPPER(Raw_Data!L935)="NO", UPPER(Raw_Data!L935)="0"), FALSE, "Review")
        )
    )
)</f>
        <v>1</v>
      </c>
    </row>
    <row r="936" spans="1:13" x14ac:dyDescent="0.4">
      <c r="A936" s="2" t="str">
        <f>IFERROR(TRIM(Raw_Data!A936), "Review")</f>
        <v>EMP1934</v>
      </c>
      <c r="B936" s="2" t="str">
        <f>IFERROR(TRIM(Raw_Data!B936), "Review")</f>
        <v>Grace</v>
      </c>
      <c r="C936" s="2" t="str">
        <f>IFERROR(TRIM(Raw_Data!C936), "Review")</f>
        <v>Garcia</v>
      </c>
      <c r="D936" s="2">
        <f>IF(Raw_Data!D936="", "", IFERROR(VALUE(Raw_Data!D936), ""))</f>
        <v>30</v>
      </c>
      <c r="E936" s="2" t="str">
        <f>IFERROR(LEFT(Raw_Data!E936,SEARCH("-",Raw_Data!E936)-1),"Review")</f>
        <v>Sales</v>
      </c>
      <c r="F936" s="2" t="str">
        <f>IFERROR(_xlfn.TEXTAFTER(Raw_Data!E936,"-"),"Review")</f>
        <v>Florida</v>
      </c>
      <c r="G936" s="2" t="str">
        <f>IFERROR(TRIM(Raw_Data!F936), "Review")</f>
        <v>Pending</v>
      </c>
      <c r="H936" s="3" t="str">
        <f>IFERROR(TEXT(Raw_Data!G936, "YYYY-MM-DD"),"Review")</f>
        <v>2023-03-09</v>
      </c>
      <c r="I936" s="4">
        <f>IF(Raw_Data!H936="", "", IFERROR(VALUE(Raw_Data!H936), ""))</f>
        <v>102867.06</v>
      </c>
      <c r="J936" s="2" t="str">
        <f>IF(Raw_Data!I936="", "", IF(ISNUMBER(FIND("@", Raw_Data!I936)), Raw_Data!I936, "Review"))</f>
        <v>grace.garcia@example.com</v>
      </c>
      <c r="K936" s="5" t="str">
        <f>IFERROR(TEXT(ABS(Raw_Data!J936), "0"), "Review")</f>
        <v>7609441282</v>
      </c>
      <c r="L936" s="2" t="str">
        <f>IFERROR(TRIM(Raw_Data!K936), "Review")</f>
        <v>Average</v>
      </c>
      <c r="M936" s="2" t="b">
        <f>IF(Raw_Data!L936="", "",
    IF(ISLOGICAL(Raw_Data!L936), Raw_Data!L936,
        IF(OR(UPPER(Raw_Data!L936)="TRUE", UPPER(Raw_Data!L936)="YES", UPPER(Raw_Data!L936)="1"), TRUE,
            IF(OR(UPPER(Raw_Data!L936)="FALSE", UPPER(Raw_Data!L936)="NO", UPPER(Raw_Data!L936)="0"), FALSE, "Review")
        )
    )
)</f>
        <v>1</v>
      </c>
    </row>
    <row r="937" spans="1:13" x14ac:dyDescent="0.4">
      <c r="A937" s="2" t="str">
        <f>IFERROR(TRIM(Raw_Data!A937), "Review")</f>
        <v>EMP1935</v>
      </c>
      <c r="B937" s="2" t="str">
        <f>IFERROR(TRIM(Raw_Data!B937), "Review")</f>
        <v>Charlie</v>
      </c>
      <c r="C937" s="2" t="str">
        <f>IFERROR(TRIM(Raw_Data!C937), "Review")</f>
        <v>Smith</v>
      </c>
      <c r="D937" s="2">
        <f>IF(Raw_Data!D937="", "", IFERROR(VALUE(Raw_Data!D937), ""))</f>
        <v>40</v>
      </c>
      <c r="E937" s="2" t="str">
        <f>IFERROR(LEFT(Raw_Data!E937,SEARCH("-",Raw_Data!E937)-1),"Review")</f>
        <v>HR</v>
      </c>
      <c r="F937" s="2" t="str">
        <f>IFERROR(_xlfn.TEXTAFTER(Raw_Data!E937,"-"),"Review")</f>
        <v>Illinois</v>
      </c>
      <c r="G937" s="2" t="str">
        <f>IFERROR(TRIM(Raw_Data!F937), "Review")</f>
        <v>Inactive</v>
      </c>
      <c r="H937" s="3" t="str">
        <f>IFERROR(TEXT(Raw_Data!G937, "YYYY-MM-DD"),"Review")</f>
        <v>2020-03-27</v>
      </c>
      <c r="I937" s="4">
        <f>IF(Raw_Data!H937="", "", IFERROR(VALUE(Raw_Data!H937), ""))</f>
        <v>107595.95</v>
      </c>
      <c r="J937" s="2" t="str">
        <f>IF(Raw_Data!I937="", "", IF(ISNUMBER(FIND("@", Raw_Data!I937)), Raw_Data!I937, "Review"))</f>
        <v>charlie.smith@example.com</v>
      </c>
      <c r="K937" s="5" t="str">
        <f>IFERROR(TEXT(ABS(Raw_Data!J937), "0"), "Review")</f>
        <v>3372188565</v>
      </c>
      <c r="L937" s="2" t="str">
        <f>IFERROR(TRIM(Raw_Data!K937), "Review")</f>
        <v>Excellent</v>
      </c>
      <c r="M937" s="2" t="b">
        <f>IF(Raw_Data!L937="", "",
    IF(ISLOGICAL(Raw_Data!L937), Raw_Data!L937,
        IF(OR(UPPER(Raw_Data!L937)="TRUE", UPPER(Raw_Data!L937)="YES", UPPER(Raw_Data!L937)="1"), TRUE,
            IF(OR(UPPER(Raw_Data!L937)="FALSE", UPPER(Raw_Data!L937)="NO", UPPER(Raw_Data!L937)="0"), FALSE, "Review")
        )
    )
)</f>
        <v>1</v>
      </c>
    </row>
    <row r="938" spans="1:13" x14ac:dyDescent="0.4">
      <c r="A938" s="2" t="str">
        <f>IFERROR(TRIM(Raw_Data!A938), "Review")</f>
        <v>EMP1936</v>
      </c>
      <c r="B938" s="2" t="str">
        <f>IFERROR(TRIM(Raw_Data!B938), "Review")</f>
        <v>Eva</v>
      </c>
      <c r="C938" s="2" t="str">
        <f>IFERROR(TRIM(Raw_Data!C938), "Review")</f>
        <v>Miller</v>
      </c>
      <c r="D938" s="2">
        <f>IF(Raw_Data!D938="", "", IFERROR(VALUE(Raw_Data!D938), ""))</f>
        <v>40</v>
      </c>
      <c r="E938" s="2" t="str">
        <f>IFERROR(LEFT(Raw_Data!E938,SEARCH("-",Raw_Data!E938)-1),"Review")</f>
        <v>Sales</v>
      </c>
      <c r="F938" s="2" t="str">
        <f>IFERROR(_xlfn.TEXTAFTER(Raw_Data!E938,"-"),"Review")</f>
        <v>Nevada</v>
      </c>
      <c r="G938" s="2" t="str">
        <f>IFERROR(TRIM(Raw_Data!F938), "Review")</f>
        <v>Inactive</v>
      </c>
      <c r="H938" s="3" t="str">
        <f>IFERROR(TEXT(Raw_Data!G938, "YYYY-MM-DD"),"Review")</f>
        <v>2021-04-04</v>
      </c>
      <c r="I938" s="4" t="str">
        <f>IF(Raw_Data!H938="", "", IFERROR(VALUE(Raw_Data!H938), ""))</f>
        <v/>
      </c>
      <c r="J938" s="2" t="str">
        <f>IF(Raw_Data!I938="", "", IF(ISNUMBER(FIND("@", Raw_Data!I938)), Raw_Data!I938, "Review"))</f>
        <v>eva.miller@example.com</v>
      </c>
      <c r="K938" s="5" t="str">
        <f>IFERROR(TEXT(ABS(Raw_Data!J938), "0"), "Review")</f>
        <v>6954132970</v>
      </c>
      <c r="L938" s="2" t="str">
        <f>IFERROR(TRIM(Raw_Data!K938), "Review")</f>
        <v>Good</v>
      </c>
      <c r="M938" s="2" t="b">
        <f>IF(Raw_Data!L938="", "",
    IF(ISLOGICAL(Raw_Data!L938), Raw_Data!L938,
        IF(OR(UPPER(Raw_Data!L938)="TRUE", UPPER(Raw_Data!L938)="YES", UPPER(Raw_Data!L938)="1"), TRUE,
            IF(OR(UPPER(Raw_Data!L938)="FALSE", UPPER(Raw_Data!L938)="NO", UPPER(Raw_Data!L938)="0"), FALSE, "Review")
        )
    )
)</f>
        <v>0</v>
      </c>
    </row>
    <row r="939" spans="1:13" x14ac:dyDescent="0.4">
      <c r="A939" s="2" t="str">
        <f>IFERROR(TRIM(Raw_Data!A939), "Review")</f>
        <v>EMP1937</v>
      </c>
      <c r="B939" s="2" t="str">
        <f>IFERROR(TRIM(Raw_Data!B939), "Review")</f>
        <v>Eva</v>
      </c>
      <c r="C939" s="2" t="str">
        <f>IFERROR(TRIM(Raw_Data!C939), "Review")</f>
        <v>Jones</v>
      </c>
      <c r="D939" s="2">
        <f>IF(Raw_Data!D939="", "", IFERROR(VALUE(Raw_Data!D939), ""))</f>
        <v>35</v>
      </c>
      <c r="E939" s="2" t="str">
        <f>IFERROR(LEFT(Raw_Data!E939,SEARCH("-",Raw_Data!E939)-1),"Review")</f>
        <v>DevOps</v>
      </c>
      <c r="F939" s="2" t="str">
        <f>IFERROR(_xlfn.TEXTAFTER(Raw_Data!E939,"-"),"Review")</f>
        <v>Nevada</v>
      </c>
      <c r="G939" s="2" t="str">
        <f>IFERROR(TRIM(Raw_Data!F939), "Review")</f>
        <v>Inactive</v>
      </c>
      <c r="H939" s="3" t="str">
        <f>IFERROR(TEXT(Raw_Data!G939, "YYYY-MM-DD"),"Review")</f>
        <v>2020-09-11</v>
      </c>
      <c r="I939" s="4">
        <f>IF(Raw_Data!H939="", "", IFERROR(VALUE(Raw_Data!H939), ""))</f>
        <v>95766.91</v>
      </c>
      <c r="J939" s="2" t="str">
        <f>IF(Raw_Data!I939="", "", IF(ISNUMBER(FIND("@", Raw_Data!I939)), Raw_Data!I939, "Review"))</f>
        <v>eva.jones@example.com</v>
      </c>
      <c r="K939" s="5" t="str">
        <f>IFERROR(TEXT(ABS(Raw_Data!J939), "0"), "Review")</f>
        <v>5066626704</v>
      </c>
      <c r="L939" s="2" t="str">
        <f>IFERROR(TRIM(Raw_Data!K939), "Review")</f>
        <v>Average</v>
      </c>
      <c r="M939" s="2" t="b">
        <f>IF(Raw_Data!L939="", "",
    IF(ISLOGICAL(Raw_Data!L939), Raw_Data!L939,
        IF(OR(UPPER(Raw_Data!L939)="TRUE", UPPER(Raw_Data!L939)="YES", UPPER(Raw_Data!L939)="1"), TRUE,
            IF(OR(UPPER(Raw_Data!L939)="FALSE", UPPER(Raw_Data!L939)="NO", UPPER(Raw_Data!L939)="0"), FALSE, "Review")
        )
    )
)</f>
        <v>1</v>
      </c>
    </row>
    <row r="940" spans="1:13" x14ac:dyDescent="0.4">
      <c r="A940" s="2" t="str">
        <f>IFERROR(TRIM(Raw_Data!A940), "Review")</f>
        <v>EMP1938</v>
      </c>
      <c r="B940" s="2" t="str">
        <f>IFERROR(TRIM(Raw_Data!B940), "Review")</f>
        <v>Grace</v>
      </c>
      <c r="C940" s="2" t="str">
        <f>IFERROR(TRIM(Raw_Data!C940), "Review")</f>
        <v>Miller</v>
      </c>
      <c r="D940" s="2">
        <f>IF(Raw_Data!D940="", "", IFERROR(VALUE(Raw_Data!D940), ""))</f>
        <v>30</v>
      </c>
      <c r="E940" s="2" t="str">
        <f>IFERROR(LEFT(Raw_Data!E940,SEARCH("-",Raw_Data!E940)-1),"Review")</f>
        <v>Finance</v>
      </c>
      <c r="F940" s="2" t="str">
        <f>IFERROR(_xlfn.TEXTAFTER(Raw_Data!E940,"-"),"Review")</f>
        <v>Nevada</v>
      </c>
      <c r="G940" s="2" t="str">
        <f>IFERROR(TRIM(Raw_Data!F940), "Review")</f>
        <v>Pending</v>
      </c>
      <c r="H940" s="3" t="str">
        <f>IFERROR(TEXT(Raw_Data!G940, "YYYY-MM-DD"),"Review")</f>
        <v>2021-05-16</v>
      </c>
      <c r="I940" s="4">
        <f>IF(Raw_Data!H940="", "", IFERROR(VALUE(Raw_Data!H940), ""))</f>
        <v>51990.98</v>
      </c>
      <c r="J940" s="2" t="str">
        <f>IF(Raw_Data!I940="", "", IF(ISNUMBER(FIND("@", Raw_Data!I940)), Raw_Data!I940, "Review"))</f>
        <v>grace.miller@example.com</v>
      </c>
      <c r="K940" s="5" t="str">
        <f>IFERROR(TEXT(ABS(Raw_Data!J940), "0"), "Review")</f>
        <v>5143776935</v>
      </c>
      <c r="L940" s="2" t="str">
        <f>IFERROR(TRIM(Raw_Data!K940), "Review")</f>
        <v>Excellent</v>
      </c>
      <c r="M940" s="2" t="b">
        <f>IF(Raw_Data!L940="", "",
    IF(ISLOGICAL(Raw_Data!L940), Raw_Data!L940,
        IF(OR(UPPER(Raw_Data!L940)="TRUE", UPPER(Raw_Data!L940)="YES", UPPER(Raw_Data!L940)="1"), TRUE,
            IF(OR(UPPER(Raw_Data!L940)="FALSE", UPPER(Raw_Data!L940)="NO", UPPER(Raw_Data!L940)="0"), FALSE, "Review")
        )
    )
)</f>
        <v>1</v>
      </c>
    </row>
    <row r="941" spans="1:13" x14ac:dyDescent="0.4">
      <c r="A941" s="2" t="str">
        <f>IFERROR(TRIM(Raw_Data!A941), "Review")</f>
        <v>EMP1939</v>
      </c>
      <c r="B941" s="2" t="str">
        <f>IFERROR(TRIM(Raw_Data!B941), "Review")</f>
        <v>Heidi</v>
      </c>
      <c r="C941" s="2" t="str">
        <f>IFERROR(TRIM(Raw_Data!C941), "Review")</f>
        <v>Johnson</v>
      </c>
      <c r="D941" s="2">
        <f>IF(Raw_Data!D941="", "", IFERROR(VALUE(Raw_Data!D941), ""))</f>
        <v>25</v>
      </c>
      <c r="E941" s="2" t="str">
        <f>IFERROR(LEFT(Raw_Data!E941,SEARCH("-",Raw_Data!E941)-1),"Review")</f>
        <v>Sales</v>
      </c>
      <c r="F941" s="2" t="str">
        <f>IFERROR(_xlfn.TEXTAFTER(Raw_Data!E941,"-"),"Review")</f>
        <v>Nevada</v>
      </c>
      <c r="G941" s="2" t="str">
        <f>IFERROR(TRIM(Raw_Data!F941), "Review")</f>
        <v>Inactive</v>
      </c>
      <c r="H941" s="3" t="str">
        <f>IFERROR(TEXT(Raw_Data!G941, "YYYY-MM-DD"),"Review")</f>
        <v>2023-04-05</v>
      </c>
      <c r="I941" s="4">
        <f>IF(Raw_Data!H941="", "", IFERROR(VALUE(Raw_Data!H941), ""))</f>
        <v>83634.009999999995</v>
      </c>
      <c r="J941" s="2" t="str">
        <f>IF(Raw_Data!I941="", "", IF(ISNUMBER(FIND("@", Raw_Data!I941)), Raw_Data!I941, "Review"))</f>
        <v>heidi.johnson@example.com</v>
      </c>
      <c r="K941" s="5" t="str">
        <f>IFERROR(TEXT(ABS(Raw_Data!J941), "0"), "Review")</f>
        <v>6343925294</v>
      </c>
      <c r="L941" s="2" t="str">
        <f>IFERROR(TRIM(Raw_Data!K941), "Review")</f>
        <v>Average</v>
      </c>
      <c r="M941" s="2" t="b">
        <f>IF(Raw_Data!L941="", "",
    IF(ISLOGICAL(Raw_Data!L941), Raw_Data!L941,
        IF(OR(UPPER(Raw_Data!L941)="TRUE", UPPER(Raw_Data!L941)="YES", UPPER(Raw_Data!L941)="1"), TRUE,
            IF(OR(UPPER(Raw_Data!L941)="FALSE", UPPER(Raw_Data!L941)="NO", UPPER(Raw_Data!L941)="0"), FALSE, "Review")
        )
    )
)</f>
        <v>1</v>
      </c>
    </row>
    <row r="942" spans="1:13" x14ac:dyDescent="0.4">
      <c r="A942" s="2" t="str">
        <f>IFERROR(TRIM(Raw_Data!A942), "Review")</f>
        <v>EMP1940</v>
      </c>
      <c r="B942" s="2" t="str">
        <f>IFERROR(TRIM(Raw_Data!B942), "Review")</f>
        <v>Eva</v>
      </c>
      <c r="C942" s="2" t="str">
        <f>IFERROR(TRIM(Raw_Data!C942), "Review")</f>
        <v>Brown</v>
      </c>
      <c r="D942" s="2">
        <f>IF(Raw_Data!D942="", "", IFERROR(VALUE(Raw_Data!D942), ""))</f>
        <v>40</v>
      </c>
      <c r="E942" s="2" t="str">
        <f>IFERROR(LEFT(Raw_Data!E942,SEARCH("-",Raw_Data!E942)-1),"Review")</f>
        <v>DevOps</v>
      </c>
      <c r="F942" s="2" t="str">
        <f>IFERROR(_xlfn.TEXTAFTER(Raw_Data!E942,"-"),"Review")</f>
        <v>Texas</v>
      </c>
      <c r="G942" s="2" t="str">
        <f>IFERROR(TRIM(Raw_Data!F942), "Review")</f>
        <v>Inactive</v>
      </c>
      <c r="H942" s="3" t="str">
        <f>IFERROR(TEXT(Raw_Data!G942, "YYYY-MM-DD"),"Review")</f>
        <v>2022-11-15</v>
      </c>
      <c r="I942" s="4" t="str">
        <f>IF(Raw_Data!H942="", "", IFERROR(VALUE(Raw_Data!H942), ""))</f>
        <v/>
      </c>
      <c r="J942" s="2" t="str">
        <f>IF(Raw_Data!I942="", "", IF(ISNUMBER(FIND("@", Raw_Data!I942)), Raw_Data!I942, "Review"))</f>
        <v>eva.brown@example.com</v>
      </c>
      <c r="K942" s="5" t="str">
        <f>IFERROR(TEXT(ABS(Raw_Data!J942), "0"), "Review")</f>
        <v>9611110285</v>
      </c>
      <c r="L942" s="2" t="str">
        <f>IFERROR(TRIM(Raw_Data!K942), "Review")</f>
        <v>Good</v>
      </c>
      <c r="M942" s="2" t="b">
        <f>IF(Raw_Data!L942="", "",
    IF(ISLOGICAL(Raw_Data!L942), Raw_Data!L942,
        IF(OR(UPPER(Raw_Data!L942)="TRUE", UPPER(Raw_Data!L942)="YES", UPPER(Raw_Data!L942)="1"), TRUE,
            IF(OR(UPPER(Raw_Data!L942)="FALSE", UPPER(Raw_Data!L942)="NO", UPPER(Raw_Data!L942)="0"), FALSE, "Review")
        )
    )
)</f>
        <v>1</v>
      </c>
    </row>
    <row r="943" spans="1:13" x14ac:dyDescent="0.4">
      <c r="A943" s="2" t="str">
        <f>IFERROR(TRIM(Raw_Data!A943), "Review")</f>
        <v>EMP1941</v>
      </c>
      <c r="B943" s="2" t="str">
        <f>IFERROR(TRIM(Raw_Data!B943), "Review")</f>
        <v>Eva</v>
      </c>
      <c r="C943" s="2" t="str">
        <f>IFERROR(TRIM(Raw_Data!C943), "Review")</f>
        <v>Jones</v>
      </c>
      <c r="D943" s="2">
        <f>IF(Raw_Data!D943="", "", IFERROR(VALUE(Raw_Data!D943), ""))</f>
        <v>30</v>
      </c>
      <c r="E943" s="2" t="str">
        <f>IFERROR(LEFT(Raw_Data!E943,SEARCH("-",Raw_Data!E943)-1),"Review")</f>
        <v>Sales</v>
      </c>
      <c r="F943" s="2" t="str">
        <f>IFERROR(_xlfn.TEXTAFTER(Raw_Data!E943,"-"),"Review")</f>
        <v>Texas</v>
      </c>
      <c r="G943" s="2" t="str">
        <f>IFERROR(TRIM(Raw_Data!F943), "Review")</f>
        <v>Active</v>
      </c>
      <c r="H943" s="3" t="str">
        <f>IFERROR(TEXT(Raw_Data!G943, "YYYY-MM-DD"),"Review")</f>
        <v>2021-10-16</v>
      </c>
      <c r="I943" s="4">
        <f>IF(Raw_Data!H943="", "", IFERROR(VALUE(Raw_Data!H943), ""))</f>
        <v>82273.08</v>
      </c>
      <c r="J943" s="2" t="str">
        <f>IF(Raw_Data!I943="", "", IF(ISNUMBER(FIND("@", Raw_Data!I943)), Raw_Data!I943, "Review"))</f>
        <v>eva.jones@example.com</v>
      </c>
      <c r="K943" s="5" t="str">
        <f>IFERROR(TEXT(ABS(Raw_Data!J943), "0"), "Review")</f>
        <v>7120072023</v>
      </c>
      <c r="L943" s="2" t="str">
        <f>IFERROR(TRIM(Raw_Data!K943), "Review")</f>
        <v>Excellent</v>
      </c>
      <c r="M943" s="2" t="b">
        <f>IF(Raw_Data!L943="", "",
    IF(ISLOGICAL(Raw_Data!L943), Raw_Data!L943,
        IF(OR(UPPER(Raw_Data!L943)="TRUE", UPPER(Raw_Data!L943)="YES", UPPER(Raw_Data!L943)="1"), TRUE,
            IF(OR(UPPER(Raw_Data!L943)="FALSE", UPPER(Raw_Data!L943)="NO", UPPER(Raw_Data!L943)="0"), FALSE, "Review")
        )
    )
)</f>
        <v>0</v>
      </c>
    </row>
    <row r="944" spans="1:13" x14ac:dyDescent="0.4">
      <c r="A944" s="2" t="str">
        <f>IFERROR(TRIM(Raw_Data!A944), "Review")</f>
        <v>EMP1942</v>
      </c>
      <c r="B944" s="2" t="str">
        <f>IFERROR(TRIM(Raw_Data!B944), "Review")</f>
        <v>Frank</v>
      </c>
      <c r="C944" s="2" t="str">
        <f>IFERROR(TRIM(Raw_Data!C944), "Review")</f>
        <v>Garcia</v>
      </c>
      <c r="D944" s="2">
        <f>IF(Raw_Data!D944="", "", IFERROR(VALUE(Raw_Data!D944), ""))</f>
        <v>30</v>
      </c>
      <c r="E944" s="2" t="str">
        <f>IFERROR(LEFT(Raw_Data!E944,SEARCH("-",Raw_Data!E944)-1),"Review")</f>
        <v>Cloud Tech</v>
      </c>
      <c r="F944" s="2" t="str">
        <f>IFERROR(_xlfn.TEXTAFTER(Raw_Data!E944,"-"),"Review")</f>
        <v>California</v>
      </c>
      <c r="G944" s="2" t="str">
        <f>IFERROR(TRIM(Raw_Data!F944), "Review")</f>
        <v>Inactive</v>
      </c>
      <c r="H944" s="3" t="str">
        <f>IFERROR(TEXT(Raw_Data!G944, "YYYY-MM-DD"),"Review")</f>
        <v>2022-05-09</v>
      </c>
      <c r="I944" s="4">
        <f>IF(Raw_Data!H944="", "", IFERROR(VALUE(Raw_Data!H944), ""))</f>
        <v>94537.3</v>
      </c>
      <c r="J944" s="2" t="str">
        <f>IF(Raw_Data!I944="", "", IF(ISNUMBER(FIND("@", Raw_Data!I944)), Raw_Data!I944, "Review"))</f>
        <v>frank.garcia@example.com</v>
      </c>
      <c r="K944" s="5" t="str">
        <f>IFERROR(TEXT(ABS(Raw_Data!J944), "0"), "Review")</f>
        <v>5591024509</v>
      </c>
      <c r="L944" s="2" t="str">
        <f>IFERROR(TRIM(Raw_Data!K944), "Review")</f>
        <v>Good</v>
      </c>
      <c r="M944" s="2" t="b">
        <f>IF(Raw_Data!L944="", "",
    IF(ISLOGICAL(Raw_Data!L944), Raw_Data!L944,
        IF(OR(UPPER(Raw_Data!L944)="TRUE", UPPER(Raw_Data!L944)="YES", UPPER(Raw_Data!L944)="1"), TRUE,
            IF(OR(UPPER(Raw_Data!L944)="FALSE", UPPER(Raw_Data!L944)="NO", UPPER(Raw_Data!L944)="0"), FALSE, "Review")
        )
    )
)</f>
        <v>1</v>
      </c>
    </row>
    <row r="945" spans="1:13" x14ac:dyDescent="0.4">
      <c r="A945" s="2" t="str">
        <f>IFERROR(TRIM(Raw_Data!A945), "Review")</f>
        <v>EMP1943</v>
      </c>
      <c r="B945" s="2" t="str">
        <f>IFERROR(TRIM(Raw_Data!B945), "Review")</f>
        <v>Alice</v>
      </c>
      <c r="C945" s="2" t="str">
        <f>IFERROR(TRIM(Raw_Data!C945), "Review")</f>
        <v>Jones</v>
      </c>
      <c r="D945" s="2">
        <f>IF(Raw_Data!D945="", "", IFERROR(VALUE(Raw_Data!D945), ""))</f>
        <v>35</v>
      </c>
      <c r="E945" s="2" t="str">
        <f>IFERROR(LEFT(Raw_Data!E945,SEARCH("-",Raw_Data!E945)-1),"Review")</f>
        <v>HR</v>
      </c>
      <c r="F945" s="2" t="str">
        <f>IFERROR(_xlfn.TEXTAFTER(Raw_Data!E945,"-"),"Review")</f>
        <v>Illinois</v>
      </c>
      <c r="G945" s="2" t="str">
        <f>IFERROR(TRIM(Raw_Data!F945), "Review")</f>
        <v>Pending</v>
      </c>
      <c r="H945" s="3" t="str">
        <f>IFERROR(TEXT(Raw_Data!G945, "YYYY-MM-DD"),"Review")</f>
        <v>2020-06-06</v>
      </c>
      <c r="I945" s="4">
        <f>IF(Raw_Data!H945="", "", IFERROR(VALUE(Raw_Data!H945), ""))</f>
        <v>85970.65</v>
      </c>
      <c r="J945" s="2" t="str">
        <f>IF(Raw_Data!I945="", "", IF(ISNUMBER(FIND("@", Raw_Data!I945)), Raw_Data!I945, "Review"))</f>
        <v>alice.jones@example.com</v>
      </c>
      <c r="K945" s="5" t="str">
        <f>IFERROR(TEXT(ABS(Raw_Data!J945), "0"), "Review")</f>
        <v>9109032670</v>
      </c>
      <c r="L945" s="2" t="str">
        <f>IFERROR(TRIM(Raw_Data!K945), "Review")</f>
        <v>Good</v>
      </c>
      <c r="M945" s="2" t="b">
        <f>IF(Raw_Data!L945="", "",
    IF(ISLOGICAL(Raw_Data!L945), Raw_Data!L945,
        IF(OR(UPPER(Raw_Data!L945)="TRUE", UPPER(Raw_Data!L945)="YES", UPPER(Raw_Data!L945)="1"), TRUE,
            IF(OR(UPPER(Raw_Data!L945)="FALSE", UPPER(Raw_Data!L945)="NO", UPPER(Raw_Data!L945)="0"), FALSE, "Review")
        )
    )
)</f>
        <v>1</v>
      </c>
    </row>
    <row r="946" spans="1:13" x14ac:dyDescent="0.4">
      <c r="A946" s="2" t="str">
        <f>IFERROR(TRIM(Raw_Data!A946), "Review")</f>
        <v>EMP1944</v>
      </c>
      <c r="B946" s="2" t="str">
        <f>IFERROR(TRIM(Raw_Data!B946), "Review")</f>
        <v>Charlie</v>
      </c>
      <c r="C946" s="2" t="str">
        <f>IFERROR(TRIM(Raw_Data!C946), "Review")</f>
        <v>Jones</v>
      </c>
      <c r="D946" s="2">
        <f>IF(Raw_Data!D946="", "", IFERROR(VALUE(Raw_Data!D946), ""))</f>
        <v>25</v>
      </c>
      <c r="E946" s="2" t="str">
        <f>IFERROR(LEFT(Raw_Data!E946,SEARCH("-",Raw_Data!E946)-1),"Review")</f>
        <v>Sales</v>
      </c>
      <c r="F946" s="2" t="str">
        <f>IFERROR(_xlfn.TEXTAFTER(Raw_Data!E946,"-"),"Review")</f>
        <v>New York</v>
      </c>
      <c r="G946" s="2" t="str">
        <f>IFERROR(TRIM(Raw_Data!F946), "Review")</f>
        <v>Pending</v>
      </c>
      <c r="H946" s="3" t="str">
        <f>IFERROR(TEXT(Raw_Data!G946, "YYYY-MM-DD"),"Review")</f>
        <v>2021-10-22</v>
      </c>
      <c r="I946" s="4">
        <f>IF(Raw_Data!H946="", "", IFERROR(VALUE(Raw_Data!H946), ""))</f>
        <v>111071.02</v>
      </c>
      <c r="J946" s="2" t="str">
        <f>IF(Raw_Data!I946="", "", IF(ISNUMBER(FIND("@", Raw_Data!I946)), Raw_Data!I946, "Review"))</f>
        <v>charlie.jones@example.com</v>
      </c>
      <c r="K946" s="5" t="str">
        <f>IFERROR(TEXT(ABS(Raw_Data!J946), "0"), "Review")</f>
        <v>4949819420</v>
      </c>
      <c r="L946" s="2" t="str">
        <f>IFERROR(TRIM(Raw_Data!K946), "Review")</f>
        <v>Excellent</v>
      </c>
      <c r="M946" s="2" t="b">
        <f>IF(Raw_Data!L946="", "",
    IF(ISLOGICAL(Raw_Data!L946), Raw_Data!L946,
        IF(OR(UPPER(Raw_Data!L946)="TRUE", UPPER(Raw_Data!L946)="YES", UPPER(Raw_Data!L946)="1"), TRUE,
            IF(OR(UPPER(Raw_Data!L946)="FALSE", UPPER(Raw_Data!L946)="NO", UPPER(Raw_Data!L946)="0"), FALSE, "Review")
        )
    )
)</f>
        <v>0</v>
      </c>
    </row>
    <row r="947" spans="1:13" x14ac:dyDescent="0.4">
      <c r="A947" s="2" t="str">
        <f>IFERROR(TRIM(Raw_Data!A947), "Review")</f>
        <v>EMP1945</v>
      </c>
      <c r="B947" s="2" t="str">
        <f>IFERROR(TRIM(Raw_Data!B947), "Review")</f>
        <v>Eva</v>
      </c>
      <c r="C947" s="2" t="str">
        <f>IFERROR(TRIM(Raw_Data!C947), "Review")</f>
        <v>Davis</v>
      </c>
      <c r="D947" s="2">
        <f>IF(Raw_Data!D947="", "", IFERROR(VALUE(Raw_Data!D947), ""))</f>
        <v>35</v>
      </c>
      <c r="E947" s="2" t="str">
        <f>IFERROR(LEFT(Raw_Data!E947,SEARCH("-",Raw_Data!E947)-1),"Review")</f>
        <v>DevOps</v>
      </c>
      <c r="F947" s="2" t="str">
        <f>IFERROR(_xlfn.TEXTAFTER(Raw_Data!E947,"-"),"Review")</f>
        <v>Nevada</v>
      </c>
      <c r="G947" s="2" t="str">
        <f>IFERROR(TRIM(Raw_Data!F947), "Review")</f>
        <v>Pending</v>
      </c>
      <c r="H947" s="3" t="str">
        <f>IFERROR(TEXT(Raw_Data!G947, "YYYY-MM-DD"),"Review")</f>
        <v>2022-01-12</v>
      </c>
      <c r="I947" s="4">
        <f>IF(Raw_Data!H947="", "", IFERROR(VALUE(Raw_Data!H947), ""))</f>
        <v>56708.34</v>
      </c>
      <c r="J947" s="2" t="str">
        <f>IF(Raw_Data!I947="", "", IF(ISNUMBER(FIND("@", Raw_Data!I947)), Raw_Data!I947, "Review"))</f>
        <v>eva.davis@example.com</v>
      </c>
      <c r="K947" s="5" t="str">
        <f>IFERROR(TEXT(ABS(Raw_Data!J947), "0"), "Review")</f>
        <v>7942817933</v>
      </c>
      <c r="L947" s="2" t="str">
        <f>IFERROR(TRIM(Raw_Data!K947), "Review")</f>
        <v>Excellent</v>
      </c>
      <c r="M947" s="2" t="b">
        <f>IF(Raw_Data!L947="", "",
    IF(ISLOGICAL(Raw_Data!L947), Raw_Data!L947,
        IF(OR(UPPER(Raw_Data!L947)="TRUE", UPPER(Raw_Data!L947)="YES", UPPER(Raw_Data!L947)="1"), TRUE,
            IF(OR(UPPER(Raw_Data!L947)="FALSE", UPPER(Raw_Data!L947)="NO", UPPER(Raw_Data!L947)="0"), FALSE, "Review")
        )
    )
)</f>
        <v>0</v>
      </c>
    </row>
    <row r="948" spans="1:13" x14ac:dyDescent="0.4">
      <c r="A948" s="2" t="str">
        <f>IFERROR(TRIM(Raw_Data!A948), "Review")</f>
        <v>EMP1946</v>
      </c>
      <c r="B948" s="2" t="str">
        <f>IFERROR(TRIM(Raw_Data!B948), "Review")</f>
        <v>Charlie</v>
      </c>
      <c r="C948" s="2" t="str">
        <f>IFERROR(TRIM(Raw_Data!C948), "Review")</f>
        <v>Jones</v>
      </c>
      <c r="D948" s="2">
        <f>IF(Raw_Data!D948="", "", IFERROR(VALUE(Raw_Data!D948), ""))</f>
        <v>25</v>
      </c>
      <c r="E948" s="2" t="str">
        <f>IFERROR(LEFT(Raw_Data!E948,SEARCH("-",Raw_Data!E948)-1),"Review")</f>
        <v>Admin</v>
      </c>
      <c r="F948" s="2" t="str">
        <f>IFERROR(_xlfn.TEXTAFTER(Raw_Data!E948,"-"),"Review")</f>
        <v>Illinois</v>
      </c>
      <c r="G948" s="2" t="str">
        <f>IFERROR(TRIM(Raw_Data!F948), "Review")</f>
        <v>Inactive</v>
      </c>
      <c r="H948" s="3" t="str">
        <f>IFERROR(TEXT(Raw_Data!G948, "YYYY-MM-DD"),"Review")</f>
        <v>2022-02-02</v>
      </c>
      <c r="I948" s="4">
        <f>IF(Raw_Data!H948="", "", IFERROR(VALUE(Raw_Data!H948), ""))</f>
        <v>104516.55</v>
      </c>
      <c r="J948" s="2" t="str">
        <f>IF(Raw_Data!I948="", "", IF(ISNUMBER(FIND("@", Raw_Data!I948)), Raw_Data!I948, "Review"))</f>
        <v>charlie.jones@example.com</v>
      </c>
      <c r="K948" s="5" t="str">
        <f>IFERROR(TEXT(ABS(Raw_Data!J948), "0"), "Review")</f>
        <v>652775843</v>
      </c>
      <c r="L948" s="2" t="str">
        <f>IFERROR(TRIM(Raw_Data!K948), "Review")</f>
        <v>Excellent</v>
      </c>
      <c r="M948" s="2" t="b">
        <f>IF(Raw_Data!L948="", "",
    IF(ISLOGICAL(Raw_Data!L948), Raw_Data!L948,
        IF(OR(UPPER(Raw_Data!L948)="TRUE", UPPER(Raw_Data!L948)="YES", UPPER(Raw_Data!L948)="1"), TRUE,
            IF(OR(UPPER(Raw_Data!L948)="FALSE", UPPER(Raw_Data!L948)="NO", UPPER(Raw_Data!L948)="0"), FALSE, "Review")
        )
    )
)</f>
        <v>0</v>
      </c>
    </row>
    <row r="949" spans="1:13" x14ac:dyDescent="0.4">
      <c r="A949" s="2" t="str">
        <f>IFERROR(TRIM(Raw_Data!A949), "Review")</f>
        <v>EMP1947</v>
      </c>
      <c r="B949" s="2" t="str">
        <f>IFERROR(TRIM(Raw_Data!B949), "Review")</f>
        <v>Charlie</v>
      </c>
      <c r="C949" s="2" t="str">
        <f>IFERROR(TRIM(Raw_Data!C949), "Review")</f>
        <v>Garcia</v>
      </c>
      <c r="D949" s="2">
        <f>IF(Raw_Data!D949="", "", IFERROR(VALUE(Raw_Data!D949), ""))</f>
        <v>25</v>
      </c>
      <c r="E949" s="2" t="str">
        <f>IFERROR(LEFT(Raw_Data!E949,SEARCH("-",Raw_Data!E949)-1),"Review")</f>
        <v>Admin</v>
      </c>
      <c r="F949" s="2" t="str">
        <f>IFERROR(_xlfn.TEXTAFTER(Raw_Data!E949,"-"),"Review")</f>
        <v>New York</v>
      </c>
      <c r="G949" s="2" t="str">
        <f>IFERROR(TRIM(Raw_Data!F949), "Review")</f>
        <v>Pending</v>
      </c>
      <c r="H949" s="3" t="str">
        <f>IFERROR(TEXT(Raw_Data!G949, "YYYY-MM-DD"),"Review")</f>
        <v>2021-03-28</v>
      </c>
      <c r="I949" s="4">
        <f>IF(Raw_Data!H949="", "", IFERROR(VALUE(Raw_Data!H949), ""))</f>
        <v>108210.15</v>
      </c>
      <c r="J949" s="2" t="str">
        <f>IF(Raw_Data!I949="", "", IF(ISNUMBER(FIND("@", Raw_Data!I949)), Raw_Data!I949, "Review"))</f>
        <v>charlie.garcia@example.com</v>
      </c>
      <c r="K949" s="5" t="str">
        <f>IFERROR(TEXT(ABS(Raw_Data!J949), "0"), "Review")</f>
        <v>6634533721</v>
      </c>
      <c r="L949" s="2" t="str">
        <f>IFERROR(TRIM(Raw_Data!K949), "Review")</f>
        <v>Poor</v>
      </c>
      <c r="M949" s="2" t="b">
        <f>IF(Raw_Data!L949="", "",
    IF(ISLOGICAL(Raw_Data!L949), Raw_Data!L949,
        IF(OR(UPPER(Raw_Data!L949)="TRUE", UPPER(Raw_Data!L949)="YES", UPPER(Raw_Data!L949)="1"), TRUE,
            IF(OR(UPPER(Raw_Data!L949)="FALSE", UPPER(Raw_Data!L949)="NO", UPPER(Raw_Data!L949)="0"), FALSE, "Review")
        )
    )
)</f>
        <v>1</v>
      </c>
    </row>
    <row r="950" spans="1:13" x14ac:dyDescent="0.4">
      <c r="A950" s="2" t="str">
        <f>IFERROR(TRIM(Raw_Data!A950), "Review")</f>
        <v>EMP1948</v>
      </c>
      <c r="B950" s="2" t="str">
        <f>IFERROR(TRIM(Raw_Data!B950), "Review")</f>
        <v>Bob</v>
      </c>
      <c r="C950" s="2" t="str">
        <f>IFERROR(TRIM(Raw_Data!C950), "Review")</f>
        <v>Miller</v>
      </c>
      <c r="D950" s="2">
        <f>IF(Raw_Data!D950="", "", IFERROR(VALUE(Raw_Data!D950), ""))</f>
        <v>40</v>
      </c>
      <c r="E950" s="2" t="str">
        <f>IFERROR(LEFT(Raw_Data!E950,SEARCH("-",Raw_Data!E950)-1),"Review")</f>
        <v>Finance</v>
      </c>
      <c r="F950" s="2" t="str">
        <f>IFERROR(_xlfn.TEXTAFTER(Raw_Data!E950,"-"),"Review")</f>
        <v>Texas</v>
      </c>
      <c r="G950" s="2" t="str">
        <f>IFERROR(TRIM(Raw_Data!F950), "Review")</f>
        <v>Active</v>
      </c>
      <c r="H950" s="3" t="str">
        <f>IFERROR(TEXT(Raw_Data!G950, "YYYY-MM-DD"),"Review")</f>
        <v>2024-08-03</v>
      </c>
      <c r="I950" s="4" t="str">
        <f>IF(Raw_Data!H950="", "", IFERROR(VALUE(Raw_Data!H950), ""))</f>
        <v/>
      </c>
      <c r="J950" s="2" t="str">
        <f>IF(Raw_Data!I950="", "", IF(ISNUMBER(FIND("@", Raw_Data!I950)), Raw_Data!I950, "Review"))</f>
        <v>bob.miller@example.com</v>
      </c>
      <c r="K950" s="5" t="str">
        <f>IFERROR(TEXT(ABS(Raw_Data!J950), "0"), "Review")</f>
        <v>109121721</v>
      </c>
      <c r="L950" s="2" t="str">
        <f>IFERROR(TRIM(Raw_Data!K950), "Review")</f>
        <v>Excellent</v>
      </c>
      <c r="M950" s="2" t="b">
        <f>IF(Raw_Data!L950="", "",
    IF(ISLOGICAL(Raw_Data!L950), Raw_Data!L950,
        IF(OR(UPPER(Raw_Data!L950)="TRUE", UPPER(Raw_Data!L950)="YES", UPPER(Raw_Data!L950)="1"), TRUE,
            IF(OR(UPPER(Raw_Data!L950)="FALSE", UPPER(Raw_Data!L950)="NO", UPPER(Raw_Data!L950)="0"), FALSE, "Review")
        )
    )
)</f>
        <v>1</v>
      </c>
    </row>
    <row r="951" spans="1:13" x14ac:dyDescent="0.4">
      <c r="A951" s="2" t="str">
        <f>IFERROR(TRIM(Raw_Data!A951), "Review")</f>
        <v>EMP1949</v>
      </c>
      <c r="B951" s="2" t="str">
        <f>IFERROR(TRIM(Raw_Data!B951), "Review")</f>
        <v>Frank</v>
      </c>
      <c r="C951" s="2" t="str">
        <f>IFERROR(TRIM(Raw_Data!C951), "Review")</f>
        <v>Jones</v>
      </c>
      <c r="D951" s="2">
        <f>IF(Raw_Data!D951="", "", IFERROR(VALUE(Raw_Data!D951), ""))</f>
        <v>35</v>
      </c>
      <c r="E951" s="2" t="str">
        <f>IFERROR(LEFT(Raw_Data!E951,SEARCH("-",Raw_Data!E951)-1),"Review")</f>
        <v>DevOps</v>
      </c>
      <c r="F951" s="2" t="str">
        <f>IFERROR(_xlfn.TEXTAFTER(Raw_Data!E951,"-"),"Review")</f>
        <v>California</v>
      </c>
      <c r="G951" s="2" t="str">
        <f>IFERROR(TRIM(Raw_Data!F951), "Review")</f>
        <v>Active</v>
      </c>
      <c r="H951" s="3" t="str">
        <f>IFERROR(TEXT(Raw_Data!G951, "YYYY-MM-DD"),"Review")</f>
        <v>2024-07-31</v>
      </c>
      <c r="I951" s="4">
        <f>IF(Raw_Data!H951="", "", IFERROR(VALUE(Raw_Data!H951), ""))</f>
        <v>80935.649999999994</v>
      </c>
      <c r="J951" s="2" t="str">
        <f>IF(Raw_Data!I951="", "", IF(ISNUMBER(FIND("@", Raw_Data!I951)), Raw_Data!I951, "Review"))</f>
        <v>frank.jones@example.com</v>
      </c>
      <c r="K951" s="5" t="str">
        <f>IFERROR(TEXT(ABS(Raw_Data!J951), "0"), "Review")</f>
        <v>1455937660</v>
      </c>
      <c r="L951" s="2" t="str">
        <f>IFERROR(TRIM(Raw_Data!K951), "Review")</f>
        <v>Excellent</v>
      </c>
      <c r="M951" s="2" t="b">
        <f>IF(Raw_Data!L951="", "",
    IF(ISLOGICAL(Raw_Data!L951), Raw_Data!L951,
        IF(OR(UPPER(Raw_Data!L951)="TRUE", UPPER(Raw_Data!L951)="YES", UPPER(Raw_Data!L951)="1"), TRUE,
            IF(OR(UPPER(Raw_Data!L951)="FALSE", UPPER(Raw_Data!L951)="NO", UPPER(Raw_Data!L951)="0"), FALSE, "Review")
        )
    )
)</f>
        <v>0</v>
      </c>
    </row>
    <row r="952" spans="1:13" x14ac:dyDescent="0.4">
      <c r="A952" s="2" t="str">
        <f>IFERROR(TRIM(Raw_Data!A952), "Review")</f>
        <v>EMP1950</v>
      </c>
      <c r="B952" s="2" t="str">
        <f>IFERROR(TRIM(Raw_Data!B952), "Review")</f>
        <v>Frank</v>
      </c>
      <c r="C952" s="2" t="str">
        <f>IFERROR(TRIM(Raw_Data!C952), "Review")</f>
        <v>Williams</v>
      </c>
      <c r="D952" s="2">
        <f>IF(Raw_Data!D952="", "", IFERROR(VALUE(Raw_Data!D952), ""))</f>
        <v>30</v>
      </c>
      <c r="E952" s="2" t="str">
        <f>IFERROR(LEFT(Raw_Data!E952,SEARCH("-",Raw_Data!E952)-1),"Review")</f>
        <v>DevOps</v>
      </c>
      <c r="F952" s="2" t="str">
        <f>IFERROR(_xlfn.TEXTAFTER(Raw_Data!E952,"-"),"Review")</f>
        <v>California</v>
      </c>
      <c r="G952" s="2" t="str">
        <f>IFERROR(TRIM(Raw_Data!F952), "Review")</f>
        <v>Active</v>
      </c>
      <c r="H952" s="3" t="str">
        <f>IFERROR(TEXT(Raw_Data!G952, "YYYY-MM-DD"),"Review")</f>
        <v>2024-03-04</v>
      </c>
      <c r="I952" s="4">
        <f>IF(Raw_Data!H952="", "", IFERROR(VALUE(Raw_Data!H952), ""))</f>
        <v>107020.19</v>
      </c>
      <c r="J952" s="2" t="str">
        <f>IF(Raw_Data!I952="", "", IF(ISNUMBER(FIND("@", Raw_Data!I952)), Raw_Data!I952, "Review"))</f>
        <v>frank.williams@example.com</v>
      </c>
      <c r="K952" s="5" t="str">
        <f>IFERROR(TEXT(ABS(Raw_Data!J952), "0"), "Review")</f>
        <v>8943705262</v>
      </c>
      <c r="L952" s="2" t="str">
        <f>IFERROR(TRIM(Raw_Data!K952), "Review")</f>
        <v>Excellent</v>
      </c>
      <c r="M952" s="2" t="b">
        <f>IF(Raw_Data!L952="", "",
    IF(ISLOGICAL(Raw_Data!L952), Raw_Data!L952,
        IF(OR(UPPER(Raw_Data!L952)="TRUE", UPPER(Raw_Data!L952)="YES", UPPER(Raw_Data!L952)="1"), TRUE,
            IF(OR(UPPER(Raw_Data!L952)="FALSE", UPPER(Raw_Data!L952)="NO", UPPER(Raw_Data!L952)="0"), FALSE, "Review")
        )
    )
)</f>
        <v>0</v>
      </c>
    </row>
    <row r="953" spans="1:13" x14ac:dyDescent="0.4">
      <c r="A953" s="2" t="str">
        <f>IFERROR(TRIM(Raw_Data!A953), "Review")</f>
        <v>EMP1951</v>
      </c>
      <c r="B953" s="2" t="str">
        <f>IFERROR(TRIM(Raw_Data!B953), "Review")</f>
        <v>Charlie</v>
      </c>
      <c r="C953" s="2" t="str">
        <f>IFERROR(TRIM(Raw_Data!C953), "Review")</f>
        <v>Brown</v>
      </c>
      <c r="D953" s="2">
        <f>IF(Raw_Data!D953="", "", IFERROR(VALUE(Raw_Data!D953), ""))</f>
        <v>30</v>
      </c>
      <c r="E953" s="2" t="str">
        <f>IFERROR(LEFT(Raw_Data!E953,SEARCH("-",Raw_Data!E953)-1),"Review")</f>
        <v>HR</v>
      </c>
      <c r="F953" s="2" t="str">
        <f>IFERROR(_xlfn.TEXTAFTER(Raw_Data!E953,"-"),"Review")</f>
        <v>New York</v>
      </c>
      <c r="G953" s="2" t="str">
        <f>IFERROR(TRIM(Raw_Data!F953), "Review")</f>
        <v>Active</v>
      </c>
      <c r="H953" s="3" t="str">
        <f>IFERROR(TEXT(Raw_Data!G953, "YYYY-MM-DD"),"Review")</f>
        <v>2020-09-23</v>
      </c>
      <c r="I953" s="4">
        <f>IF(Raw_Data!H953="", "", IFERROR(VALUE(Raw_Data!H953), ""))</f>
        <v>118677.67</v>
      </c>
      <c r="J953" s="2" t="str">
        <f>IF(Raw_Data!I953="", "", IF(ISNUMBER(FIND("@", Raw_Data!I953)), Raw_Data!I953, "Review"))</f>
        <v>charlie.brown@example.com</v>
      </c>
      <c r="K953" s="5" t="str">
        <f>IFERROR(TEXT(ABS(Raw_Data!J953), "0"), "Review")</f>
        <v>5100462775</v>
      </c>
      <c r="L953" s="2" t="str">
        <f>IFERROR(TRIM(Raw_Data!K953), "Review")</f>
        <v>Excellent</v>
      </c>
      <c r="M953" s="2" t="b">
        <f>IF(Raw_Data!L953="", "",
    IF(ISLOGICAL(Raw_Data!L953), Raw_Data!L953,
        IF(OR(UPPER(Raw_Data!L953)="TRUE", UPPER(Raw_Data!L953)="YES", UPPER(Raw_Data!L953)="1"), TRUE,
            IF(OR(UPPER(Raw_Data!L953)="FALSE", UPPER(Raw_Data!L953)="NO", UPPER(Raw_Data!L953)="0"), FALSE, "Review")
        )
    )
)</f>
        <v>0</v>
      </c>
    </row>
    <row r="954" spans="1:13" x14ac:dyDescent="0.4">
      <c r="A954" s="2" t="str">
        <f>IFERROR(TRIM(Raw_Data!A954), "Review")</f>
        <v>EMP1952</v>
      </c>
      <c r="B954" s="2" t="str">
        <f>IFERROR(TRIM(Raw_Data!B954), "Review")</f>
        <v>Bob</v>
      </c>
      <c r="C954" s="2" t="str">
        <f>IFERROR(TRIM(Raw_Data!C954), "Review")</f>
        <v>Jones</v>
      </c>
      <c r="D954" s="2">
        <f>IF(Raw_Data!D954="", "", IFERROR(VALUE(Raw_Data!D954), ""))</f>
        <v>25</v>
      </c>
      <c r="E954" s="2" t="str">
        <f>IFERROR(LEFT(Raw_Data!E954,SEARCH("-",Raw_Data!E954)-1),"Review")</f>
        <v>Cloud Tech</v>
      </c>
      <c r="F954" s="2" t="str">
        <f>IFERROR(_xlfn.TEXTAFTER(Raw_Data!E954,"-"),"Review")</f>
        <v>Florida</v>
      </c>
      <c r="G954" s="2" t="str">
        <f>IFERROR(TRIM(Raw_Data!F954), "Review")</f>
        <v>Inactive</v>
      </c>
      <c r="H954" s="3" t="str">
        <f>IFERROR(TEXT(Raw_Data!G954, "YYYY-MM-DD"),"Review")</f>
        <v>2020-03-28</v>
      </c>
      <c r="I954" s="4">
        <f>IF(Raw_Data!H954="", "", IFERROR(VALUE(Raw_Data!H954), ""))</f>
        <v>63744.57</v>
      </c>
      <c r="J954" s="2" t="str">
        <f>IF(Raw_Data!I954="", "", IF(ISNUMBER(FIND("@", Raw_Data!I954)), Raw_Data!I954, "Review"))</f>
        <v>bob.jones@example.com</v>
      </c>
      <c r="K954" s="5" t="str">
        <f>IFERROR(TEXT(ABS(Raw_Data!J954), "0"), "Review")</f>
        <v>5725659201</v>
      </c>
      <c r="L954" s="2" t="str">
        <f>IFERROR(TRIM(Raw_Data!K954), "Review")</f>
        <v>Average</v>
      </c>
      <c r="M954" s="2" t="b">
        <f>IF(Raw_Data!L954="", "",
    IF(ISLOGICAL(Raw_Data!L954), Raw_Data!L954,
        IF(OR(UPPER(Raw_Data!L954)="TRUE", UPPER(Raw_Data!L954)="YES", UPPER(Raw_Data!L954)="1"), TRUE,
            IF(OR(UPPER(Raw_Data!L954)="FALSE", UPPER(Raw_Data!L954)="NO", UPPER(Raw_Data!L954)="0"), FALSE, "Review")
        )
    )
)</f>
        <v>0</v>
      </c>
    </row>
    <row r="955" spans="1:13" x14ac:dyDescent="0.4">
      <c r="A955" s="2" t="str">
        <f>IFERROR(TRIM(Raw_Data!A955), "Review")</f>
        <v>EMP1953</v>
      </c>
      <c r="B955" s="2" t="str">
        <f>IFERROR(TRIM(Raw_Data!B955), "Review")</f>
        <v>Alice</v>
      </c>
      <c r="C955" s="2" t="str">
        <f>IFERROR(TRIM(Raw_Data!C955), "Review")</f>
        <v>Brown</v>
      </c>
      <c r="D955" s="2">
        <f>IF(Raw_Data!D955="", "", IFERROR(VALUE(Raw_Data!D955), ""))</f>
        <v>40</v>
      </c>
      <c r="E955" s="2" t="str">
        <f>IFERROR(LEFT(Raw_Data!E955,SEARCH("-",Raw_Data!E955)-1),"Review")</f>
        <v>Cloud Tech</v>
      </c>
      <c r="F955" s="2" t="str">
        <f>IFERROR(_xlfn.TEXTAFTER(Raw_Data!E955,"-"),"Review")</f>
        <v>California</v>
      </c>
      <c r="G955" s="2" t="str">
        <f>IFERROR(TRIM(Raw_Data!F955), "Review")</f>
        <v>Active</v>
      </c>
      <c r="H955" s="3" t="str">
        <f>IFERROR(TEXT(Raw_Data!G955, "YYYY-MM-DD"),"Review")</f>
        <v>2020-05-15</v>
      </c>
      <c r="I955" s="4" t="str">
        <f>IF(Raw_Data!H955="", "", IFERROR(VALUE(Raw_Data!H955), ""))</f>
        <v/>
      </c>
      <c r="J955" s="2" t="str">
        <f>IF(Raw_Data!I955="", "", IF(ISNUMBER(FIND("@", Raw_Data!I955)), Raw_Data!I955, "Review"))</f>
        <v>alice.brown@example.com</v>
      </c>
      <c r="K955" s="5" t="str">
        <f>IFERROR(TEXT(ABS(Raw_Data!J955), "0"), "Review")</f>
        <v>4617520237</v>
      </c>
      <c r="L955" s="2" t="str">
        <f>IFERROR(TRIM(Raw_Data!K955), "Review")</f>
        <v>Poor</v>
      </c>
      <c r="M955" s="2" t="b">
        <f>IF(Raw_Data!L955="", "",
    IF(ISLOGICAL(Raw_Data!L955), Raw_Data!L955,
        IF(OR(UPPER(Raw_Data!L955)="TRUE", UPPER(Raw_Data!L955)="YES", UPPER(Raw_Data!L955)="1"), TRUE,
            IF(OR(UPPER(Raw_Data!L955)="FALSE", UPPER(Raw_Data!L955)="NO", UPPER(Raw_Data!L955)="0"), FALSE, "Review")
        )
    )
)</f>
        <v>0</v>
      </c>
    </row>
    <row r="956" spans="1:13" x14ac:dyDescent="0.4">
      <c r="A956" s="2" t="str">
        <f>IFERROR(TRIM(Raw_Data!A956), "Review")</f>
        <v>EMP1954</v>
      </c>
      <c r="B956" s="2" t="str">
        <f>IFERROR(TRIM(Raw_Data!B956), "Review")</f>
        <v>Bob</v>
      </c>
      <c r="C956" s="2" t="str">
        <f>IFERROR(TRIM(Raw_Data!C956), "Review")</f>
        <v>Williams</v>
      </c>
      <c r="D956" s="2">
        <f>IF(Raw_Data!D956="", "", IFERROR(VALUE(Raw_Data!D956), ""))</f>
        <v>25</v>
      </c>
      <c r="E956" s="2" t="str">
        <f>IFERROR(LEFT(Raw_Data!E956,SEARCH("-",Raw_Data!E956)-1),"Review")</f>
        <v>Sales</v>
      </c>
      <c r="F956" s="2" t="str">
        <f>IFERROR(_xlfn.TEXTAFTER(Raw_Data!E956,"-"),"Review")</f>
        <v>New York</v>
      </c>
      <c r="G956" s="2" t="str">
        <f>IFERROR(TRIM(Raw_Data!F956), "Review")</f>
        <v>Pending</v>
      </c>
      <c r="H956" s="3" t="str">
        <f>IFERROR(TEXT(Raw_Data!G956, "YYYY-MM-DD"),"Review")</f>
        <v>2021-02-13</v>
      </c>
      <c r="I956" s="4">
        <f>IF(Raw_Data!H956="", "", IFERROR(VALUE(Raw_Data!H956), ""))</f>
        <v>62934.73</v>
      </c>
      <c r="J956" s="2" t="str">
        <f>IF(Raw_Data!I956="", "", IF(ISNUMBER(FIND("@", Raw_Data!I956)), Raw_Data!I956, "Review"))</f>
        <v>bob.williams@example.com</v>
      </c>
      <c r="K956" s="5" t="str">
        <f>IFERROR(TEXT(ABS(Raw_Data!J956), "0"), "Review")</f>
        <v>9743260054</v>
      </c>
      <c r="L956" s="2" t="str">
        <f>IFERROR(TRIM(Raw_Data!K956), "Review")</f>
        <v>Good</v>
      </c>
      <c r="M956" s="2" t="b">
        <f>IF(Raw_Data!L956="", "",
    IF(ISLOGICAL(Raw_Data!L956), Raw_Data!L956,
        IF(OR(UPPER(Raw_Data!L956)="TRUE", UPPER(Raw_Data!L956)="YES", UPPER(Raw_Data!L956)="1"), TRUE,
            IF(OR(UPPER(Raw_Data!L956)="FALSE", UPPER(Raw_Data!L956)="NO", UPPER(Raw_Data!L956)="0"), FALSE, "Review")
        )
    )
)</f>
        <v>0</v>
      </c>
    </row>
    <row r="957" spans="1:13" x14ac:dyDescent="0.4">
      <c r="A957" s="2" t="str">
        <f>IFERROR(TRIM(Raw_Data!A957), "Review")</f>
        <v>EMP1955</v>
      </c>
      <c r="B957" s="2" t="str">
        <f>IFERROR(TRIM(Raw_Data!B957), "Review")</f>
        <v>Bob</v>
      </c>
      <c r="C957" s="2" t="str">
        <f>IFERROR(TRIM(Raw_Data!C957), "Review")</f>
        <v>Williams</v>
      </c>
      <c r="D957" s="2">
        <f>IF(Raw_Data!D957="", "", IFERROR(VALUE(Raw_Data!D957), ""))</f>
        <v>30</v>
      </c>
      <c r="E957" s="2" t="str">
        <f>IFERROR(LEFT(Raw_Data!E957,SEARCH("-",Raw_Data!E957)-1),"Review")</f>
        <v>DevOps</v>
      </c>
      <c r="F957" s="2" t="str">
        <f>IFERROR(_xlfn.TEXTAFTER(Raw_Data!E957,"-"),"Review")</f>
        <v>California</v>
      </c>
      <c r="G957" s="2" t="str">
        <f>IFERROR(TRIM(Raw_Data!F957), "Review")</f>
        <v>Pending</v>
      </c>
      <c r="H957" s="3" t="str">
        <f>IFERROR(TEXT(Raw_Data!G957, "YYYY-MM-DD"),"Review")</f>
        <v>2021-12-13</v>
      </c>
      <c r="I957" s="4">
        <f>IF(Raw_Data!H957="", "", IFERROR(VALUE(Raw_Data!H957), ""))</f>
        <v>74654.23</v>
      </c>
      <c r="J957" s="2" t="str">
        <f>IF(Raw_Data!I957="", "", IF(ISNUMBER(FIND("@", Raw_Data!I957)), Raw_Data!I957, "Review"))</f>
        <v>bob.williams@example.com</v>
      </c>
      <c r="K957" s="5" t="str">
        <f>IFERROR(TEXT(ABS(Raw_Data!J957), "0"), "Review")</f>
        <v>9550178331</v>
      </c>
      <c r="L957" s="2" t="str">
        <f>IFERROR(TRIM(Raw_Data!K957), "Review")</f>
        <v>Excellent</v>
      </c>
      <c r="M957" s="2" t="b">
        <f>IF(Raw_Data!L957="", "",
    IF(ISLOGICAL(Raw_Data!L957), Raw_Data!L957,
        IF(OR(UPPER(Raw_Data!L957)="TRUE", UPPER(Raw_Data!L957)="YES", UPPER(Raw_Data!L957)="1"), TRUE,
            IF(OR(UPPER(Raw_Data!L957)="FALSE", UPPER(Raw_Data!L957)="NO", UPPER(Raw_Data!L957)="0"), FALSE, "Review")
        )
    )
)</f>
        <v>1</v>
      </c>
    </row>
    <row r="958" spans="1:13" x14ac:dyDescent="0.4">
      <c r="A958" s="2" t="str">
        <f>IFERROR(TRIM(Raw_Data!A958), "Review")</f>
        <v>EMP1956</v>
      </c>
      <c r="B958" s="2" t="str">
        <f>IFERROR(TRIM(Raw_Data!B958), "Review")</f>
        <v>David</v>
      </c>
      <c r="C958" s="2" t="str">
        <f>IFERROR(TRIM(Raw_Data!C958), "Review")</f>
        <v>Brown</v>
      </c>
      <c r="D958" s="2" t="str">
        <f>IF(Raw_Data!D958="", "", IFERROR(VALUE(Raw_Data!D958), ""))</f>
        <v/>
      </c>
      <c r="E958" s="2" t="str">
        <f>IFERROR(LEFT(Raw_Data!E958,SEARCH("-",Raw_Data!E958)-1),"Review")</f>
        <v>Sales</v>
      </c>
      <c r="F958" s="2" t="str">
        <f>IFERROR(_xlfn.TEXTAFTER(Raw_Data!E958,"-"),"Review")</f>
        <v>Texas</v>
      </c>
      <c r="G958" s="2" t="str">
        <f>IFERROR(TRIM(Raw_Data!F958), "Review")</f>
        <v>Active</v>
      </c>
      <c r="H958" s="3" t="str">
        <f>IFERROR(TEXT(Raw_Data!G958, "YYYY-MM-DD"),"Review")</f>
        <v>2024-08-05</v>
      </c>
      <c r="I958" s="4" t="str">
        <f>IF(Raw_Data!H958="", "", IFERROR(VALUE(Raw_Data!H958), ""))</f>
        <v/>
      </c>
      <c r="J958" s="2" t="str">
        <f>IF(Raw_Data!I958="", "", IF(ISNUMBER(FIND("@", Raw_Data!I958)), Raw_Data!I958, "Review"))</f>
        <v>david.brown@example.com</v>
      </c>
      <c r="K958" s="5" t="str">
        <f>IFERROR(TEXT(ABS(Raw_Data!J958), "0"), "Review")</f>
        <v>5848689992</v>
      </c>
      <c r="L958" s="2" t="str">
        <f>IFERROR(TRIM(Raw_Data!K958), "Review")</f>
        <v>Average</v>
      </c>
      <c r="M958" s="2" t="b">
        <f>IF(Raw_Data!L958="", "",
    IF(ISLOGICAL(Raw_Data!L958), Raw_Data!L958,
        IF(OR(UPPER(Raw_Data!L958)="TRUE", UPPER(Raw_Data!L958)="YES", UPPER(Raw_Data!L958)="1"), TRUE,
            IF(OR(UPPER(Raw_Data!L958)="FALSE", UPPER(Raw_Data!L958)="NO", UPPER(Raw_Data!L958)="0"), FALSE, "Review")
        )
    )
)</f>
        <v>1</v>
      </c>
    </row>
    <row r="959" spans="1:13" x14ac:dyDescent="0.4">
      <c r="A959" s="2" t="str">
        <f>IFERROR(TRIM(Raw_Data!A959), "Review")</f>
        <v>EMP1957</v>
      </c>
      <c r="B959" s="2" t="str">
        <f>IFERROR(TRIM(Raw_Data!B959), "Review")</f>
        <v>David</v>
      </c>
      <c r="C959" s="2" t="str">
        <f>IFERROR(TRIM(Raw_Data!C959), "Review")</f>
        <v>Smith</v>
      </c>
      <c r="D959" s="2">
        <f>IF(Raw_Data!D959="", "", IFERROR(VALUE(Raw_Data!D959), ""))</f>
        <v>30</v>
      </c>
      <c r="E959" s="2" t="str">
        <f>IFERROR(LEFT(Raw_Data!E959,SEARCH("-",Raw_Data!E959)-1),"Review")</f>
        <v>HR</v>
      </c>
      <c r="F959" s="2" t="str">
        <f>IFERROR(_xlfn.TEXTAFTER(Raw_Data!E959,"-"),"Review")</f>
        <v>New York</v>
      </c>
      <c r="G959" s="2" t="str">
        <f>IFERROR(TRIM(Raw_Data!F959), "Review")</f>
        <v>Pending</v>
      </c>
      <c r="H959" s="3" t="str">
        <f>IFERROR(TEXT(Raw_Data!G959, "YYYY-MM-DD"),"Review")</f>
        <v>2020-01-09</v>
      </c>
      <c r="I959" s="4">
        <f>IF(Raw_Data!H959="", "", IFERROR(VALUE(Raw_Data!H959), ""))</f>
        <v>118150.59</v>
      </c>
      <c r="J959" s="2" t="str">
        <f>IF(Raw_Data!I959="", "", IF(ISNUMBER(FIND("@", Raw_Data!I959)), Raw_Data!I959, "Review"))</f>
        <v>david.smith@example.com</v>
      </c>
      <c r="K959" s="5" t="str">
        <f>IFERROR(TEXT(ABS(Raw_Data!J959), "0"), "Review")</f>
        <v>6079848703</v>
      </c>
      <c r="L959" s="2" t="str">
        <f>IFERROR(TRIM(Raw_Data!K959), "Review")</f>
        <v>Average</v>
      </c>
      <c r="M959" s="2" t="b">
        <f>IF(Raw_Data!L959="", "",
    IF(ISLOGICAL(Raw_Data!L959), Raw_Data!L959,
        IF(OR(UPPER(Raw_Data!L959)="TRUE", UPPER(Raw_Data!L959)="YES", UPPER(Raw_Data!L959)="1"), TRUE,
            IF(OR(UPPER(Raw_Data!L959)="FALSE", UPPER(Raw_Data!L959)="NO", UPPER(Raw_Data!L959)="0"), FALSE, "Review")
        )
    )
)</f>
        <v>1</v>
      </c>
    </row>
    <row r="960" spans="1:13" x14ac:dyDescent="0.4">
      <c r="A960" s="2" t="str">
        <f>IFERROR(TRIM(Raw_Data!A960), "Review")</f>
        <v>EMP1958</v>
      </c>
      <c r="B960" s="2" t="str">
        <f>IFERROR(TRIM(Raw_Data!B960), "Review")</f>
        <v>David</v>
      </c>
      <c r="C960" s="2" t="str">
        <f>IFERROR(TRIM(Raw_Data!C960), "Review")</f>
        <v>Johnson</v>
      </c>
      <c r="D960" s="2" t="str">
        <f>IF(Raw_Data!D960="", "", IFERROR(VALUE(Raw_Data!D960), ""))</f>
        <v/>
      </c>
      <c r="E960" s="2" t="str">
        <f>IFERROR(LEFT(Raw_Data!E960,SEARCH("-",Raw_Data!E960)-1),"Review")</f>
        <v>DevOps</v>
      </c>
      <c r="F960" s="2" t="str">
        <f>IFERROR(_xlfn.TEXTAFTER(Raw_Data!E960,"-"),"Review")</f>
        <v>Florida</v>
      </c>
      <c r="G960" s="2" t="str">
        <f>IFERROR(TRIM(Raw_Data!F960), "Review")</f>
        <v>Inactive</v>
      </c>
      <c r="H960" s="3" t="str">
        <f>IFERROR(TEXT(Raw_Data!G960, "YYYY-MM-DD"),"Review")</f>
        <v>2023-11-30</v>
      </c>
      <c r="I960" s="4">
        <f>IF(Raw_Data!H960="", "", IFERROR(VALUE(Raw_Data!H960), ""))</f>
        <v>91256.639999999999</v>
      </c>
      <c r="J960" s="2" t="str">
        <f>IF(Raw_Data!I960="", "", IF(ISNUMBER(FIND("@", Raw_Data!I960)), Raw_Data!I960, "Review"))</f>
        <v>david.johnson@example.com</v>
      </c>
      <c r="K960" s="5" t="str">
        <f>IFERROR(TEXT(ABS(Raw_Data!J960), "0"), "Review")</f>
        <v>5069176798</v>
      </c>
      <c r="L960" s="2" t="str">
        <f>IFERROR(TRIM(Raw_Data!K960), "Review")</f>
        <v>Average</v>
      </c>
      <c r="M960" s="2" t="b">
        <f>IF(Raw_Data!L960="", "",
    IF(ISLOGICAL(Raw_Data!L960), Raw_Data!L960,
        IF(OR(UPPER(Raw_Data!L960)="TRUE", UPPER(Raw_Data!L960)="YES", UPPER(Raw_Data!L960)="1"), TRUE,
            IF(OR(UPPER(Raw_Data!L960)="FALSE", UPPER(Raw_Data!L960)="NO", UPPER(Raw_Data!L960)="0"), FALSE, "Review")
        )
    )
)</f>
        <v>0</v>
      </c>
    </row>
    <row r="961" spans="1:13" x14ac:dyDescent="0.4">
      <c r="A961" s="2" t="str">
        <f>IFERROR(TRIM(Raw_Data!A961), "Review")</f>
        <v>EMP1959</v>
      </c>
      <c r="B961" s="2" t="str">
        <f>IFERROR(TRIM(Raw_Data!B961), "Review")</f>
        <v>Bob</v>
      </c>
      <c r="C961" s="2" t="str">
        <f>IFERROR(TRIM(Raw_Data!C961), "Review")</f>
        <v>Davis</v>
      </c>
      <c r="D961" s="2">
        <f>IF(Raw_Data!D961="", "", IFERROR(VALUE(Raw_Data!D961), ""))</f>
        <v>30</v>
      </c>
      <c r="E961" s="2" t="str">
        <f>IFERROR(LEFT(Raw_Data!E961,SEARCH("-",Raw_Data!E961)-1),"Review")</f>
        <v>HR</v>
      </c>
      <c r="F961" s="2" t="str">
        <f>IFERROR(_xlfn.TEXTAFTER(Raw_Data!E961,"-"),"Review")</f>
        <v>Florida</v>
      </c>
      <c r="G961" s="2" t="str">
        <f>IFERROR(TRIM(Raw_Data!F961), "Review")</f>
        <v>Inactive</v>
      </c>
      <c r="H961" s="3" t="str">
        <f>IFERROR(TEXT(Raw_Data!G961, "YYYY-MM-DD"),"Review")</f>
        <v>2021-03-14</v>
      </c>
      <c r="I961" s="4">
        <f>IF(Raw_Data!H961="", "", IFERROR(VALUE(Raw_Data!H961), ""))</f>
        <v>85997.57</v>
      </c>
      <c r="J961" s="2" t="str">
        <f>IF(Raw_Data!I961="", "", IF(ISNUMBER(FIND("@", Raw_Data!I961)), Raw_Data!I961, "Review"))</f>
        <v>bob.davis@example.com</v>
      </c>
      <c r="K961" s="5" t="str">
        <f>IFERROR(TEXT(ABS(Raw_Data!J961), "0"), "Review")</f>
        <v>3593744038</v>
      </c>
      <c r="L961" s="2" t="str">
        <f>IFERROR(TRIM(Raw_Data!K961), "Review")</f>
        <v>Good</v>
      </c>
      <c r="M961" s="2" t="b">
        <f>IF(Raw_Data!L961="", "",
    IF(ISLOGICAL(Raw_Data!L961), Raw_Data!L961,
        IF(OR(UPPER(Raw_Data!L961)="TRUE", UPPER(Raw_Data!L961)="YES", UPPER(Raw_Data!L961)="1"), TRUE,
            IF(OR(UPPER(Raw_Data!L961)="FALSE", UPPER(Raw_Data!L961)="NO", UPPER(Raw_Data!L961)="0"), FALSE, "Review")
        )
    )
)</f>
        <v>0</v>
      </c>
    </row>
    <row r="962" spans="1:13" x14ac:dyDescent="0.4">
      <c r="A962" s="2" t="str">
        <f>IFERROR(TRIM(Raw_Data!A962), "Review")</f>
        <v>EMP1960</v>
      </c>
      <c r="B962" s="2" t="str">
        <f>IFERROR(TRIM(Raw_Data!B962), "Review")</f>
        <v>Frank</v>
      </c>
      <c r="C962" s="2" t="str">
        <f>IFERROR(TRIM(Raw_Data!C962), "Review")</f>
        <v>Smith</v>
      </c>
      <c r="D962" s="2">
        <f>IF(Raw_Data!D962="", "", IFERROR(VALUE(Raw_Data!D962), ""))</f>
        <v>25</v>
      </c>
      <c r="E962" s="2" t="str">
        <f>IFERROR(LEFT(Raw_Data!E962,SEARCH("-",Raw_Data!E962)-1),"Review")</f>
        <v>Finance</v>
      </c>
      <c r="F962" s="2" t="str">
        <f>IFERROR(_xlfn.TEXTAFTER(Raw_Data!E962,"-"),"Review")</f>
        <v>Texas</v>
      </c>
      <c r="G962" s="2" t="str">
        <f>IFERROR(TRIM(Raw_Data!F962), "Review")</f>
        <v>Pending</v>
      </c>
      <c r="H962" s="3" t="str">
        <f>IFERROR(TEXT(Raw_Data!G962, "YYYY-MM-DD"),"Review")</f>
        <v>2020-10-05</v>
      </c>
      <c r="I962" s="4">
        <f>IF(Raw_Data!H962="", "", IFERROR(VALUE(Raw_Data!H962), ""))</f>
        <v>84707.12</v>
      </c>
      <c r="J962" s="2" t="str">
        <f>IF(Raw_Data!I962="", "", IF(ISNUMBER(FIND("@", Raw_Data!I962)), Raw_Data!I962, "Review"))</f>
        <v>frank.smith@example.com</v>
      </c>
      <c r="K962" s="5" t="str">
        <f>IFERROR(TEXT(ABS(Raw_Data!J962), "0"), "Review")</f>
        <v>4640830372</v>
      </c>
      <c r="L962" s="2" t="str">
        <f>IFERROR(TRIM(Raw_Data!K962), "Review")</f>
        <v>Excellent</v>
      </c>
      <c r="M962" s="2" t="b">
        <f>IF(Raw_Data!L962="", "",
    IF(ISLOGICAL(Raw_Data!L962), Raw_Data!L962,
        IF(OR(UPPER(Raw_Data!L962)="TRUE", UPPER(Raw_Data!L962)="YES", UPPER(Raw_Data!L962)="1"), TRUE,
            IF(OR(UPPER(Raw_Data!L962)="FALSE", UPPER(Raw_Data!L962)="NO", UPPER(Raw_Data!L962)="0"), FALSE, "Review")
        )
    )
)</f>
        <v>0</v>
      </c>
    </row>
    <row r="963" spans="1:13" x14ac:dyDescent="0.4">
      <c r="A963" s="2" t="str">
        <f>IFERROR(TRIM(Raw_Data!A963), "Review")</f>
        <v>EMP1961</v>
      </c>
      <c r="B963" s="2" t="str">
        <f>IFERROR(TRIM(Raw_Data!B963), "Review")</f>
        <v>Eva</v>
      </c>
      <c r="C963" s="2" t="str">
        <f>IFERROR(TRIM(Raw_Data!C963), "Review")</f>
        <v>Smith</v>
      </c>
      <c r="D963" s="2" t="str">
        <f>IF(Raw_Data!D963="", "", IFERROR(VALUE(Raw_Data!D963), ""))</f>
        <v/>
      </c>
      <c r="E963" s="2" t="str">
        <f>IFERROR(LEFT(Raw_Data!E963,SEARCH("-",Raw_Data!E963)-1),"Review")</f>
        <v>DevOps</v>
      </c>
      <c r="F963" s="2" t="str">
        <f>IFERROR(_xlfn.TEXTAFTER(Raw_Data!E963,"-"),"Review")</f>
        <v>Texas</v>
      </c>
      <c r="G963" s="2" t="str">
        <f>IFERROR(TRIM(Raw_Data!F963), "Review")</f>
        <v>Active</v>
      </c>
      <c r="H963" s="3" t="str">
        <f>IFERROR(TEXT(Raw_Data!G963, "YYYY-MM-DD"),"Review")</f>
        <v>2021-11-02</v>
      </c>
      <c r="I963" s="4">
        <f>IF(Raw_Data!H963="", "", IFERROR(VALUE(Raw_Data!H963), ""))</f>
        <v>84559.9</v>
      </c>
      <c r="J963" s="2" t="str">
        <f>IF(Raw_Data!I963="", "", IF(ISNUMBER(FIND("@", Raw_Data!I963)), Raw_Data!I963, "Review"))</f>
        <v>eva.smith@example.com</v>
      </c>
      <c r="K963" s="5" t="str">
        <f>IFERROR(TEXT(ABS(Raw_Data!J963), "0"), "Review")</f>
        <v>6060148859</v>
      </c>
      <c r="L963" s="2" t="str">
        <f>IFERROR(TRIM(Raw_Data!K963), "Review")</f>
        <v>Poor</v>
      </c>
      <c r="M963" s="2" t="b">
        <f>IF(Raw_Data!L963="", "",
    IF(ISLOGICAL(Raw_Data!L963), Raw_Data!L963,
        IF(OR(UPPER(Raw_Data!L963)="TRUE", UPPER(Raw_Data!L963)="YES", UPPER(Raw_Data!L963)="1"), TRUE,
            IF(OR(UPPER(Raw_Data!L963)="FALSE", UPPER(Raw_Data!L963)="NO", UPPER(Raw_Data!L963)="0"), FALSE, "Review")
        )
    )
)</f>
        <v>0</v>
      </c>
    </row>
    <row r="964" spans="1:13" x14ac:dyDescent="0.4">
      <c r="A964" s="2" t="str">
        <f>IFERROR(TRIM(Raw_Data!A964), "Review")</f>
        <v>EMP1962</v>
      </c>
      <c r="B964" s="2" t="str">
        <f>IFERROR(TRIM(Raw_Data!B964), "Review")</f>
        <v>Heidi</v>
      </c>
      <c r="C964" s="2" t="str">
        <f>IFERROR(TRIM(Raw_Data!C964), "Review")</f>
        <v>Miller</v>
      </c>
      <c r="D964" s="2" t="str">
        <f>IF(Raw_Data!D964="", "", IFERROR(VALUE(Raw_Data!D964), ""))</f>
        <v/>
      </c>
      <c r="E964" s="2" t="str">
        <f>IFERROR(LEFT(Raw_Data!E964,SEARCH("-",Raw_Data!E964)-1),"Review")</f>
        <v>DevOps</v>
      </c>
      <c r="F964" s="2" t="str">
        <f>IFERROR(_xlfn.TEXTAFTER(Raw_Data!E964,"-"),"Review")</f>
        <v>California</v>
      </c>
      <c r="G964" s="2" t="str">
        <f>IFERROR(TRIM(Raw_Data!F964), "Review")</f>
        <v>Pending</v>
      </c>
      <c r="H964" s="3" t="str">
        <f>IFERROR(TEXT(Raw_Data!G964, "YYYY-MM-DD"),"Review")</f>
        <v>2024-09-18</v>
      </c>
      <c r="I964" s="4">
        <f>IF(Raw_Data!H964="", "", IFERROR(VALUE(Raw_Data!H964), ""))</f>
        <v>81076.91</v>
      </c>
      <c r="J964" s="2" t="str">
        <f>IF(Raw_Data!I964="", "", IF(ISNUMBER(FIND("@", Raw_Data!I964)), Raw_Data!I964, "Review"))</f>
        <v>heidi.miller@example.com</v>
      </c>
      <c r="K964" s="5" t="str">
        <f>IFERROR(TEXT(ABS(Raw_Data!J964), "0"), "Review")</f>
        <v>8490793883</v>
      </c>
      <c r="L964" s="2" t="str">
        <f>IFERROR(TRIM(Raw_Data!K964), "Review")</f>
        <v>Poor</v>
      </c>
      <c r="M964" s="2" t="b">
        <f>IF(Raw_Data!L964="", "",
    IF(ISLOGICAL(Raw_Data!L964), Raw_Data!L964,
        IF(OR(UPPER(Raw_Data!L964)="TRUE", UPPER(Raw_Data!L964)="YES", UPPER(Raw_Data!L964)="1"), TRUE,
            IF(OR(UPPER(Raw_Data!L964)="FALSE", UPPER(Raw_Data!L964)="NO", UPPER(Raw_Data!L964)="0"), FALSE, "Review")
        )
    )
)</f>
        <v>0</v>
      </c>
    </row>
    <row r="965" spans="1:13" x14ac:dyDescent="0.4">
      <c r="A965" s="2" t="str">
        <f>IFERROR(TRIM(Raw_Data!A965), "Review")</f>
        <v>EMP1963</v>
      </c>
      <c r="B965" s="2" t="str">
        <f>IFERROR(TRIM(Raw_Data!B965), "Review")</f>
        <v>Eva</v>
      </c>
      <c r="C965" s="2" t="str">
        <f>IFERROR(TRIM(Raw_Data!C965), "Review")</f>
        <v>Davis</v>
      </c>
      <c r="D965" s="2">
        <f>IF(Raw_Data!D965="", "", IFERROR(VALUE(Raw_Data!D965), ""))</f>
        <v>40</v>
      </c>
      <c r="E965" s="2" t="str">
        <f>IFERROR(LEFT(Raw_Data!E965,SEARCH("-",Raw_Data!E965)-1),"Review")</f>
        <v>Admin</v>
      </c>
      <c r="F965" s="2" t="str">
        <f>IFERROR(_xlfn.TEXTAFTER(Raw_Data!E965,"-"),"Review")</f>
        <v>Texas</v>
      </c>
      <c r="G965" s="2" t="str">
        <f>IFERROR(TRIM(Raw_Data!F965), "Review")</f>
        <v>Inactive</v>
      </c>
      <c r="H965" s="3" t="str">
        <f>IFERROR(TEXT(Raw_Data!G965, "YYYY-MM-DD"),"Review")</f>
        <v>2023-10-22</v>
      </c>
      <c r="I965" s="4" t="str">
        <f>IF(Raw_Data!H965="", "", IFERROR(VALUE(Raw_Data!H965), ""))</f>
        <v/>
      </c>
      <c r="J965" s="2" t="str">
        <f>IF(Raw_Data!I965="", "", IF(ISNUMBER(FIND("@", Raw_Data!I965)), Raw_Data!I965, "Review"))</f>
        <v>eva.davis@example.com</v>
      </c>
      <c r="K965" s="5" t="str">
        <f>IFERROR(TEXT(ABS(Raw_Data!J965), "0"), "Review")</f>
        <v>1368528305</v>
      </c>
      <c r="L965" s="2" t="str">
        <f>IFERROR(TRIM(Raw_Data!K965), "Review")</f>
        <v>Average</v>
      </c>
      <c r="M965" s="2" t="b">
        <f>IF(Raw_Data!L965="", "",
    IF(ISLOGICAL(Raw_Data!L965), Raw_Data!L965,
        IF(OR(UPPER(Raw_Data!L965)="TRUE", UPPER(Raw_Data!L965)="YES", UPPER(Raw_Data!L965)="1"), TRUE,
            IF(OR(UPPER(Raw_Data!L965)="FALSE", UPPER(Raw_Data!L965)="NO", UPPER(Raw_Data!L965)="0"), FALSE, "Review")
        )
    )
)</f>
        <v>0</v>
      </c>
    </row>
    <row r="966" spans="1:13" x14ac:dyDescent="0.4">
      <c r="A966" s="2" t="str">
        <f>IFERROR(TRIM(Raw_Data!A966), "Review")</f>
        <v>EMP1964</v>
      </c>
      <c r="B966" s="2" t="str">
        <f>IFERROR(TRIM(Raw_Data!B966), "Review")</f>
        <v>Heidi</v>
      </c>
      <c r="C966" s="2" t="str">
        <f>IFERROR(TRIM(Raw_Data!C966), "Review")</f>
        <v>Davis</v>
      </c>
      <c r="D966" s="2">
        <f>IF(Raw_Data!D966="", "", IFERROR(VALUE(Raw_Data!D966), ""))</f>
        <v>25</v>
      </c>
      <c r="E966" s="2" t="str">
        <f>IFERROR(LEFT(Raw_Data!E966,SEARCH("-",Raw_Data!E966)-1),"Review")</f>
        <v>Finance</v>
      </c>
      <c r="F966" s="2" t="str">
        <f>IFERROR(_xlfn.TEXTAFTER(Raw_Data!E966,"-"),"Review")</f>
        <v>Florida</v>
      </c>
      <c r="G966" s="2" t="str">
        <f>IFERROR(TRIM(Raw_Data!F966), "Review")</f>
        <v>Pending</v>
      </c>
      <c r="H966" s="3" t="str">
        <f>IFERROR(TEXT(Raw_Data!G966, "YYYY-MM-DD"),"Review")</f>
        <v>2023-09-10</v>
      </c>
      <c r="I966" s="4">
        <f>IF(Raw_Data!H966="", "", IFERROR(VALUE(Raw_Data!H966), ""))</f>
        <v>97356.31</v>
      </c>
      <c r="J966" s="2" t="str">
        <f>IF(Raw_Data!I966="", "", IF(ISNUMBER(FIND("@", Raw_Data!I966)), Raw_Data!I966, "Review"))</f>
        <v>heidi.davis@example.com</v>
      </c>
      <c r="K966" s="5" t="str">
        <f>IFERROR(TEXT(ABS(Raw_Data!J966), "0"), "Review")</f>
        <v>1537012423</v>
      </c>
      <c r="L966" s="2" t="str">
        <f>IFERROR(TRIM(Raw_Data!K966), "Review")</f>
        <v>Good</v>
      </c>
      <c r="M966" s="2" t="b">
        <f>IF(Raw_Data!L966="", "",
    IF(ISLOGICAL(Raw_Data!L966), Raw_Data!L966,
        IF(OR(UPPER(Raw_Data!L966)="TRUE", UPPER(Raw_Data!L966)="YES", UPPER(Raw_Data!L966)="1"), TRUE,
            IF(OR(UPPER(Raw_Data!L966)="FALSE", UPPER(Raw_Data!L966)="NO", UPPER(Raw_Data!L966)="0"), FALSE, "Review")
        )
    )
)</f>
        <v>1</v>
      </c>
    </row>
    <row r="967" spans="1:13" x14ac:dyDescent="0.4">
      <c r="A967" s="2" t="str">
        <f>IFERROR(TRIM(Raw_Data!A967), "Review")</f>
        <v>EMP1965</v>
      </c>
      <c r="B967" s="2" t="str">
        <f>IFERROR(TRIM(Raw_Data!B967), "Review")</f>
        <v>Grace</v>
      </c>
      <c r="C967" s="2" t="str">
        <f>IFERROR(TRIM(Raw_Data!C967), "Review")</f>
        <v>Smith</v>
      </c>
      <c r="D967" s="2">
        <f>IF(Raw_Data!D967="", "", IFERROR(VALUE(Raw_Data!D967), ""))</f>
        <v>40</v>
      </c>
      <c r="E967" s="2" t="str">
        <f>IFERROR(LEFT(Raw_Data!E967,SEARCH("-",Raw_Data!E967)-1),"Review")</f>
        <v>DevOps</v>
      </c>
      <c r="F967" s="2" t="str">
        <f>IFERROR(_xlfn.TEXTAFTER(Raw_Data!E967,"-"),"Review")</f>
        <v>Illinois</v>
      </c>
      <c r="G967" s="2" t="str">
        <f>IFERROR(TRIM(Raw_Data!F967), "Review")</f>
        <v>Active</v>
      </c>
      <c r="H967" s="3" t="str">
        <f>IFERROR(TEXT(Raw_Data!G967, "YYYY-MM-DD"),"Review")</f>
        <v>2024-02-27</v>
      </c>
      <c r="I967" s="4">
        <f>IF(Raw_Data!H967="", "", IFERROR(VALUE(Raw_Data!H967), ""))</f>
        <v>114770.32</v>
      </c>
      <c r="J967" s="2" t="str">
        <f>IF(Raw_Data!I967="", "", IF(ISNUMBER(FIND("@", Raw_Data!I967)), Raw_Data!I967, "Review"))</f>
        <v>grace.smith@example.com</v>
      </c>
      <c r="K967" s="5" t="str">
        <f>IFERROR(TEXT(ABS(Raw_Data!J967), "0"), "Review")</f>
        <v>4626325143</v>
      </c>
      <c r="L967" s="2" t="str">
        <f>IFERROR(TRIM(Raw_Data!K967), "Review")</f>
        <v>Good</v>
      </c>
      <c r="M967" s="2" t="b">
        <f>IF(Raw_Data!L967="", "",
    IF(ISLOGICAL(Raw_Data!L967), Raw_Data!L967,
        IF(OR(UPPER(Raw_Data!L967)="TRUE", UPPER(Raw_Data!L967)="YES", UPPER(Raw_Data!L967)="1"), TRUE,
            IF(OR(UPPER(Raw_Data!L967)="FALSE", UPPER(Raw_Data!L967)="NO", UPPER(Raw_Data!L967)="0"), FALSE, "Review")
        )
    )
)</f>
        <v>1</v>
      </c>
    </row>
    <row r="968" spans="1:13" x14ac:dyDescent="0.4">
      <c r="A968" s="2" t="str">
        <f>IFERROR(TRIM(Raw_Data!A968), "Review")</f>
        <v>EMP1966</v>
      </c>
      <c r="B968" s="2" t="str">
        <f>IFERROR(TRIM(Raw_Data!B968), "Review")</f>
        <v>Bob</v>
      </c>
      <c r="C968" s="2" t="str">
        <f>IFERROR(TRIM(Raw_Data!C968), "Review")</f>
        <v>Jones</v>
      </c>
      <c r="D968" s="2">
        <f>IF(Raw_Data!D968="", "", IFERROR(VALUE(Raw_Data!D968), ""))</f>
        <v>35</v>
      </c>
      <c r="E968" s="2" t="str">
        <f>IFERROR(LEFT(Raw_Data!E968,SEARCH("-",Raw_Data!E968)-1),"Review")</f>
        <v>Admin</v>
      </c>
      <c r="F968" s="2" t="str">
        <f>IFERROR(_xlfn.TEXTAFTER(Raw_Data!E968,"-"),"Review")</f>
        <v>California</v>
      </c>
      <c r="G968" s="2" t="str">
        <f>IFERROR(TRIM(Raw_Data!F968), "Review")</f>
        <v>Active</v>
      </c>
      <c r="H968" s="3" t="str">
        <f>IFERROR(TEXT(Raw_Data!G968, "YYYY-MM-DD"),"Review")</f>
        <v>2023-05-03</v>
      </c>
      <c r="I968" s="4">
        <f>IF(Raw_Data!H968="", "", IFERROR(VALUE(Raw_Data!H968), ""))</f>
        <v>109082.07</v>
      </c>
      <c r="J968" s="2" t="str">
        <f>IF(Raw_Data!I968="", "", IF(ISNUMBER(FIND("@", Raw_Data!I968)), Raw_Data!I968, "Review"))</f>
        <v>bob.jones@example.com</v>
      </c>
      <c r="K968" s="5" t="str">
        <f>IFERROR(TEXT(ABS(Raw_Data!J968), "0"), "Review")</f>
        <v>8811210313</v>
      </c>
      <c r="L968" s="2" t="str">
        <f>IFERROR(TRIM(Raw_Data!K968), "Review")</f>
        <v>Good</v>
      </c>
      <c r="M968" s="2" t="b">
        <f>IF(Raw_Data!L968="", "",
    IF(ISLOGICAL(Raw_Data!L968), Raw_Data!L968,
        IF(OR(UPPER(Raw_Data!L968)="TRUE", UPPER(Raw_Data!L968)="YES", UPPER(Raw_Data!L968)="1"), TRUE,
            IF(OR(UPPER(Raw_Data!L968)="FALSE", UPPER(Raw_Data!L968)="NO", UPPER(Raw_Data!L968)="0"), FALSE, "Review")
        )
    )
)</f>
        <v>0</v>
      </c>
    </row>
    <row r="969" spans="1:13" x14ac:dyDescent="0.4">
      <c r="A969" s="2" t="str">
        <f>IFERROR(TRIM(Raw_Data!A969), "Review")</f>
        <v>EMP1967</v>
      </c>
      <c r="B969" s="2" t="str">
        <f>IFERROR(TRIM(Raw_Data!B969), "Review")</f>
        <v>David</v>
      </c>
      <c r="C969" s="2" t="str">
        <f>IFERROR(TRIM(Raw_Data!C969), "Review")</f>
        <v>Miller</v>
      </c>
      <c r="D969" s="2">
        <f>IF(Raw_Data!D969="", "", IFERROR(VALUE(Raw_Data!D969), ""))</f>
        <v>40</v>
      </c>
      <c r="E969" s="2" t="str">
        <f>IFERROR(LEFT(Raw_Data!E969,SEARCH("-",Raw_Data!E969)-1),"Review")</f>
        <v>DevOps</v>
      </c>
      <c r="F969" s="2" t="str">
        <f>IFERROR(_xlfn.TEXTAFTER(Raw_Data!E969,"-"),"Review")</f>
        <v>Florida</v>
      </c>
      <c r="G969" s="2" t="str">
        <f>IFERROR(TRIM(Raw_Data!F969), "Review")</f>
        <v>Inactive</v>
      </c>
      <c r="H969" s="3" t="str">
        <f>IFERROR(TEXT(Raw_Data!G969, "YYYY-MM-DD"),"Review")</f>
        <v>2024-04-15</v>
      </c>
      <c r="I969" s="4">
        <f>IF(Raw_Data!H969="", "", IFERROR(VALUE(Raw_Data!H969), ""))</f>
        <v>99944.57</v>
      </c>
      <c r="J969" s="2" t="str">
        <f>IF(Raw_Data!I969="", "", IF(ISNUMBER(FIND("@", Raw_Data!I969)), Raw_Data!I969, "Review"))</f>
        <v>david.miller@example.com</v>
      </c>
      <c r="K969" s="5" t="str">
        <f>IFERROR(TEXT(ABS(Raw_Data!J969), "0"), "Review")</f>
        <v>2175188780</v>
      </c>
      <c r="L969" s="2" t="str">
        <f>IFERROR(TRIM(Raw_Data!K969), "Review")</f>
        <v>Poor</v>
      </c>
      <c r="M969" s="2" t="b">
        <f>IF(Raw_Data!L969="", "",
    IF(ISLOGICAL(Raw_Data!L969), Raw_Data!L969,
        IF(OR(UPPER(Raw_Data!L969)="TRUE", UPPER(Raw_Data!L969)="YES", UPPER(Raw_Data!L969)="1"), TRUE,
            IF(OR(UPPER(Raw_Data!L969)="FALSE", UPPER(Raw_Data!L969)="NO", UPPER(Raw_Data!L969)="0"), FALSE, "Review")
        )
    )
)</f>
        <v>1</v>
      </c>
    </row>
    <row r="970" spans="1:13" x14ac:dyDescent="0.4">
      <c r="A970" s="2" t="str">
        <f>IFERROR(TRIM(Raw_Data!A970), "Review")</f>
        <v>EMP1968</v>
      </c>
      <c r="B970" s="2" t="str">
        <f>IFERROR(TRIM(Raw_Data!B970), "Review")</f>
        <v>Eva</v>
      </c>
      <c r="C970" s="2" t="str">
        <f>IFERROR(TRIM(Raw_Data!C970), "Review")</f>
        <v>Miller</v>
      </c>
      <c r="D970" s="2">
        <f>IF(Raw_Data!D970="", "", IFERROR(VALUE(Raw_Data!D970), ""))</f>
        <v>40</v>
      </c>
      <c r="E970" s="2" t="str">
        <f>IFERROR(LEFT(Raw_Data!E970,SEARCH("-",Raw_Data!E970)-1),"Review")</f>
        <v>HR</v>
      </c>
      <c r="F970" s="2" t="str">
        <f>IFERROR(_xlfn.TEXTAFTER(Raw_Data!E970,"-"),"Review")</f>
        <v>Florida</v>
      </c>
      <c r="G970" s="2" t="str">
        <f>IFERROR(TRIM(Raw_Data!F970), "Review")</f>
        <v>Pending</v>
      </c>
      <c r="H970" s="3" t="str">
        <f>IFERROR(TEXT(Raw_Data!G970, "YYYY-MM-DD"),"Review")</f>
        <v>2023-05-20</v>
      </c>
      <c r="I970" s="4">
        <f>IF(Raw_Data!H970="", "", IFERROR(VALUE(Raw_Data!H970), ""))</f>
        <v>116509.72</v>
      </c>
      <c r="J970" s="2" t="str">
        <f>IF(Raw_Data!I970="", "", IF(ISNUMBER(FIND("@", Raw_Data!I970)), Raw_Data!I970, "Review"))</f>
        <v>eva.miller@example.com</v>
      </c>
      <c r="K970" s="5" t="str">
        <f>IFERROR(TEXT(ABS(Raw_Data!J970), "0"), "Review")</f>
        <v>7941515262</v>
      </c>
      <c r="L970" s="2" t="str">
        <f>IFERROR(TRIM(Raw_Data!K970), "Review")</f>
        <v>Average</v>
      </c>
      <c r="M970" s="2" t="b">
        <f>IF(Raw_Data!L970="", "",
    IF(ISLOGICAL(Raw_Data!L970), Raw_Data!L970,
        IF(OR(UPPER(Raw_Data!L970)="TRUE", UPPER(Raw_Data!L970)="YES", UPPER(Raw_Data!L970)="1"), TRUE,
            IF(OR(UPPER(Raw_Data!L970)="FALSE", UPPER(Raw_Data!L970)="NO", UPPER(Raw_Data!L970)="0"), FALSE, "Review")
        )
    )
)</f>
        <v>0</v>
      </c>
    </row>
    <row r="971" spans="1:13" x14ac:dyDescent="0.4">
      <c r="A971" s="2" t="str">
        <f>IFERROR(TRIM(Raw_Data!A971), "Review")</f>
        <v>EMP1969</v>
      </c>
      <c r="B971" s="2" t="str">
        <f>IFERROR(TRIM(Raw_Data!B971), "Review")</f>
        <v>Eva</v>
      </c>
      <c r="C971" s="2" t="str">
        <f>IFERROR(TRIM(Raw_Data!C971), "Review")</f>
        <v>Williams</v>
      </c>
      <c r="D971" s="2">
        <f>IF(Raw_Data!D971="", "", IFERROR(VALUE(Raw_Data!D971), ""))</f>
        <v>30</v>
      </c>
      <c r="E971" s="2" t="str">
        <f>IFERROR(LEFT(Raw_Data!E971,SEARCH("-",Raw_Data!E971)-1),"Review")</f>
        <v>Finance</v>
      </c>
      <c r="F971" s="2" t="str">
        <f>IFERROR(_xlfn.TEXTAFTER(Raw_Data!E971,"-"),"Review")</f>
        <v>Texas</v>
      </c>
      <c r="G971" s="2" t="str">
        <f>IFERROR(TRIM(Raw_Data!F971), "Review")</f>
        <v>Active</v>
      </c>
      <c r="H971" s="3" t="str">
        <f>IFERROR(TEXT(Raw_Data!G971, "YYYY-MM-DD"),"Review")</f>
        <v>2021-05-28</v>
      </c>
      <c r="I971" s="4">
        <f>IF(Raw_Data!H971="", "", IFERROR(VALUE(Raw_Data!H971), ""))</f>
        <v>84253.9</v>
      </c>
      <c r="J971" s="2" t="str">
        <f>IF(Raw_Data!I971="", "", IF(ISNUMBER(FIND("@", Raw_Data!I971)), Raw_Data!I971, "Review"))</f>
        <v>eva.williams@example.com</v>
      </c>
      <c r="K971" s="5" t="str">
        <f>IFERROR(TEXT(ABS(Raw_Data!J971), "0"), "Review")</f>
        <v>8409112251</v>
      </c>
      <c r="L971" s="2" t="str">
        <f>IFERROR(TRIM(Raw_Data!K971), "Review")</f>
        <v>Excellent</v>
      </c>
      <c r="M971" s="2" t="b">
        <f>IF(Raw_Data!L971="", "",
    IF(ISLOGICAL(Raw_Data!L971), Raw_Data!L971,
        IF(OR(UPPER(Raw_Data!L971)="TRUE", UPPER(Raw_Data!L971)="YES", UPPER(Raw_Data!L971)="1"), TRUE,
            IF(OR(UPPER(Raw_Data!L971)="FALSE", UPPER(Raw_Data!L971)="NO", UPPER(Raw_Data!L971)="0"), FALSE, "Review")
        )
    )
)</f>
        <v>1</v>
      </c>
    </row>
    <row r="972" spans="1:13" x14ac:dyDescent="0.4">
      <c r="A972" s="2" t="str">
        <f>IFERROR(TRIM(Raw_Data!A972), "Review")</f>
        <v>EMP1970</v>
      </c>
      <c r="B972" s="2" t="str">
        <f>IFERROR(TRIM(Raw_Data!B972), "Review")</f>
        <v>Charlie</v>
      </c>
      <c r="C972" s="2" t="str">
        <f>IFERROR(TRIM(Raw_Data!C972), "Review")</f>
        <v>Garcia</v>
      </c>
      <c r="D972" s="2">
        <f>IF(Raw_Data!D972="", "", IFERROR(VALUE(Raw_Data!D972), ""))</f>
        <v>25</v>
      </c>
      <c r="E972" s="2" t="str">
        <f>IFERROR(LEFT(Raw_Data!E972,SEARCH("-",Raw_Data!E972)-1),"Review")</f>
        <v>Cloud Tech</v>
      </c>
      <c r="F972" s="2" t="str">
        <f>IFERROR(_xlfn.TEXTAFTER(Raw_Data!E972,"-"),"Review")</f>
        <v>Nevada</v>
      </c>
      <c r="G972" s="2" t="str">
        <f>IFERROR(TRIM(Raw_Data!F972), "Review")</f>
        <v>Active</v>
      </c>
      <c r="H972" s="3" t="str">
        <f>IFERROR(TEXT(Raw_Data!G972, "YYYY-MM-DD"),"Review")</f>
        <v>2024-08-27</v>
      </c>
      <c r="I972" s="4">
        <f>IF(Raw_Data!H972="", "", IFERROR(VALUE(Raw_Data!H972), ""))</f>
        <v>54776.01</v>
      </c>
      <c r="J972" s="2" t="str">
        <f>IF(Raw_Data!I972="", "", IF(ISNUMBER(FIND("@", Raw_Data!I972)), Raw_Data!I972, "Review"))</f>
        <v>charlie.garcia@example.com</v>
      </c>
      <c r="K972" s="5" t="str">
        <f>IFERROR(TEXT(ABS(Raw_Data!J972), "0"), "Review")</f>
        <v>8837505660</v>
      </c>
      <c r="L972" s="2" t="str">
        <f>IFERROR(TRIM(Raw_Data!K972), "Review")</f>
        <v>Poor</v>
      </c>
      <c r="M972" s="2" t="b">
        <f>IF(Raw_Data!L972="", "",
    IF(ISLOGICAL(Raw_Data!L972), Raw_Data!L972,
        IF(OR(UPPER(Raw_Data!L972)="TRUE", UPPER(Raw_Data!L972)="YES", UPPER(Raw_Data!L972)="1"), TRUE,
            IF(OR(UPPER(Raw_Data!L972)="FALSE", UPPER(Raw_Data!L972)="NO", UPPER(Raw_Data!L972)="0"), FALSE, "Review")
        )
    )
)</f>
        <v>0</v>
      </c>
    </row>
    <row r="973" spans="1:13" x14ac:dyDescent="0.4">
      <c r="A973" s="2" t="str">
        <f>IFERROR(TRIM(Raw_Data!A973), "Review")</f>
        <v>EMP1971</v>
      </c>
      <c r="B973" s="2" t="str">
        <f>IFERROR(TRIM(Raw_Data!B973), "Review")</f>
        <v>Charlie</v>
      </c>
      <c r="C973" s="2" t="str">
        <f>IFERROR(TRIM(Raw_Data!C973), "Review")</f>
        <v>Davis</v>
      </c>
      <c r="D973" s="2">
        <f>IF(Raw_Data!D973="", "", IFERROR(VALUE(Raw_Data!D973), ""))</f>
        <v>40</v>
      </c>
      <c r="E973" s="2" t="str">
        <f>IFERROR(LEFT(Raw_Data!E973,SEARCH("-",Raw_Data!E973)-1),"Review")</f>
        <v>Sales</v>
      </c>
      <c r="F973" s="2" t="str">
        <f>IFERROR(_xlfn.TEXTAFTER(Raw_Data!E973,"-"),"Review")</f>
        <v>Nevada</v>
      </c>
      <c r="G973" s="2" t="str">
        <f>IFERROR(TRIM(Raw_Data!F973), "Review")</f>
        <v>Inactive</v>
      </c>
      <c r="H973" s="3" t="str">
        <f>IFERROR(TEXT(Raw_Data!G973, "YYYY-MM-DD"),"Review")</f>
        <v>2020-11-08</v>
      </c>
      <c r="I973" s="4">
        <f>IF(Raw_Data!H973="", "", IFERROR(VALUE(Raw_Data!H973), ""))</f>
        <v>71192.679999999993</v>
      </c>
      <c r="J973" s="2" t="str">
        <f>IF(Raw_Data!I973="", "", IF(ISNUMBER(FIND("@", Raw_Data!I973)), Raw_Data!I973, "Review"))</f>
        <v>charlie.davis@example.com</v>
      </c>
      <c r="K973" s="5" t="str">
        <f>IFERROR(TEXT(ABS(Raw_Data!J973), "0"), "Review")</f>
        <v>8632397912</v>
      </c>
      <c r="L973" s="2" t="str">
        <f>IFERROR(TRIM(Raw_Data!K973), "Review")</f>
        <v>Average</v>
      </c>
      <c r="M973" s="2" t="b">
        <f>IF(Raw_Data!L973="", "",
    IF(ISLOGICAL(Raw_Data!L973), Raw_Data!L973,
        IF(OR(UPPER(Raw_Data!L973)="TRUE", UPPER(Raw_Data!L973)="YES", UPPER(Raw_Data!L973)="1"), TRUE,
            IF(OR(UPPER(Raw_Data!L973)="FALSE", UPPER(Raw_Data!L973)="NO", UPPER(Raw_Data!L973)="0"), FALSE, "Review")
        )
    )
)</f>
        <v>0</v>
      </c>
    </row>
    <row r="974" spans="1:13" x14ac:dyDescent="0.4">
      <c r="A974" s="2" t="str">
        <f>IFERROR(TRIM(Raw_Data!A974), "Review")</f>
        <v>EMP1972</v>
      </c>
      <c r="B974" s="2" t="str">
        <f>IFERROR(TRIM(Raw_Data!B974), "Review")</f>
        <v>Bob</v>
      </c>
      <c r="C974" s="2" t="str">
        <f>IFERROR(TRIM(Raw_Data!C974), "Review")</f>
        <v>Smith</v>
      </c>
      <c r="D974" s="2" t="str">
        <f>IF(Raw_Data!D974="", "", IFERROR(VALUE(Raw_Data!D974), ""))</f>
        <v/>
      </c>
      <c r="E974" s="2" t="str">
        <f>IFERROR(LEFT(Raw_Data!E974,SEARCH("-",Raw_Data!E974)-1),"Review")</f>
        <v>Finance</v>
      </c>
      <c r="F974" s="2" t="str">
        <f>IFERROR(_xlfn.TEXTAFTER(Raw_Data!E974,"-"),"Review")</f>
        <v>Florida</v>
      </c>
      <c r="G974" s="2" t="str">
        <f>IFERROR(TRIM(Raw_Data!F974), "Review")</f>
        <v>Active</v>
      </c>
      <c r="H974" s="3" t="str">
        <f>IFERROR(TEXT(Raw_Data!G974, "YYYY-MM-DD"),"Review")</f>
        <v>2021-08-24</v>
      </c>
      <c r="I974" s="4">
        <f>IF(Raw_Data!H974="", "", IFERROR(VALUE(Raw_Data!H974), ""))</f>
        <v>96346.53</v>
      </c>
      <c r="J974" s="2" t="str">
        <f>IF(Raw_Data!I974="", "", IF(ISNUMBER(FIND("@", Raw_Data!I974)), Raw_Data!I974, "Review"))</f>
        <v>bob.smith@example.com</v>
      </c>
      <c r="K974" s="5" t="str">
        <f>IFERROR(TEXT(ABS(Raw_Data!J974), "0"), "Review")</f>
        <v>7876553006</v>
      </c>
      <c r="L974" s="2" t="str">
        <f>IFERROR(TRIM(Raw_Data!K974), "Review")</f>
        <v>Average</v>
      </c>
      <c r="M974" s="2" t="b">
        <f>IF(Raw_Data!L974="", "",
    IF(ISLOGICAL(Raw_Data!L974), Raw_Data!L974,
        IF(OR(UPPER(Raw_Data!L974)="TRUE", UPPER(Raw_Data!L974)="YES", UPPER(Raw_Data!L974)="1"), TRUE,
            IF(OR(UPPER(Raw_Data!L974)="FALSE", UPPER(Raw_Data!L974)="NO", UPPER(Raw_Data!L974)="0"), FALSE, "Review")
        )
    )
)</f>
        <v>1</v>
      </c>
    </row>
    <row r="975" spans="1:13" x14ac:dyDescent="0.4">
      <c r="A975" s="2" t="str">
        <f>IFERROR(TRIM(Raw_Data!A975), "Review")</f>
        <v>EMP1973</v>
      </c>
      <c r="B975" s="2" t="str">
        <f>IFERROR(TRIM(Raw_Data!B975), "Review")</f>
        <v>Eva</v>
      </c>
      <c r="C975" s="2" t="str">
        <f>IFERROR(TRIM(Raw_Data!C975), "Review")</f>
        <v>Williams</v>
      </c>
      <c r="D975" s="2" t="str">
        <f>IF(Raw_Data!D975="", "", IFERROR(VALUE(Raw_Data!D975), ""))</f>
        <v/>
      </c>
      <c r="E975" s="2" t="str">
        <f>IFERROR(LEFT(Raw_Data!E975,SEARCH("-",Raw_Data!E975)-1),"Review")</f>
        <v>HR</v>
      </c>
      <c r="F975" s="2" t="str">
        <f>IFERROR(_xlfn.TEXTAFTER(Raw_Data!E975,"-"),"Review")</f>
        <v>Illinois</v>
      </c>
      <c r="G975" s="2" t="str">
        <f>IFERROR(TRIM(Raw_Data!F975), "Review")</f>
        <v>Pending</v>
      </c>
      <c r="H975" s="3" t="str">
        <f>IFERROR(TEXT(Raw_Data!G975, "YYYY-MM-DD"),"Review")</f>
        <v>2020-02-06</v>
      </c>
      <c r="I975" s="4">
        <f>IF(Raw_Data!H975="", "", IFERROR(VALUE(Raw_Data!H975), ""))</f>
        <v>116680.63</v>
      </c>
      <c r="J975" s="2" t="str">
        <f>IF(Raw_Data!I975="", "", IF(ISNUMBER(FIND("@", Raw_Data!I975)), Raw_Data!I975, "Review"))</f>
        <v>eva.williams@example.com</v>
      </c>
      <c r="K975" s="5" t="str">
        <f>IFERROR(TEXT(ABS(Raw_Data!J975), "0"), "Review")</f>
        <v>3095055604</v>
      </c>
      <c r="L975" s="2" t="str">
        <f>IFERROR(TRIM(Raw_Data!K975), "Review")</f>
        <v>Excellent</v>
      </c>
      <c r="M975" s="2" t="b">
        <f>IF(Raw_Data!L975="", "",
    IF(ISLOGICAL(Raw_Data!L975), Raw_Data!L975,
        IF(OR(UPPER(Raw_Data!L975)="TRUE", UPPER(Raw_Data!L975)="YES", UPPER(Raw_Data!L975)="1"), TRUE,
            IF(OR(UPPER(Raw_Data!L975)="FALSE", UPPER(Raw_Data!L975)="NO", UPPER(Raw_Data!L975)="0"), FALSE, "Review")
        )
    )
)</f>
        <v>1</v>
      </c>
    </row>
    <row r="976" spans="1:13" x14ac:dyDescent="0.4">
      <c r="A976" s="2" t="str">
        <f>IFERROR(TRIM(Raw_Data!A976), "Review")</f>
        <v>EMP1974</v>
      </c>
      <c r="B976" s="2" t="str">
        <f>IFERROR(TRIM(Raw_Data!B976), "Review")</f>
        <v>Grace</v>
      </c>
      <c r="C976" s="2" t="str">
        <f>IFERROR(TRIM(Raw_Data!C976), "Review")</f>
        <v>Brown</v>
      </c>
      <c r="D976" s="2">
        <f>IF(Raw_Data!D976="", "", IFERROR(VALUE(Raw_Data!D976), ""))</f>
        <v>25</v>
      </c>
      <c r="E976" s="2" t="str">
        <f>IFERROR(LEFT(Raw_Data!E976,SEARCH("-",Raw_Data!E976)-1),"Review")</f>
        <v>Finance</v>
      </c>
      <c r="F976" s="2" t="str">
        <f>IFERROR(_xlfn.TEXTAFTER(Raw_Data!E976,"-"),"Review")</f>
        <v>Florida</v>
      </c>
      <c r="G976" s="2" t="str">
        <f>IFERROR(TRIM(Raw_Data!F976), "Review")</f>
        <v>Inactive</v>
      </c>
      <c r="H976" s="3" t="str">
        <f>IFERROR(TEXT(Raw_Data!G976, "YYYY-MM-DD"),"Review")</f>
        <v>2024-10-12</v>
      </c>
      <c r="I976" s="4">
        <f>IF(Raw_Data!H976="", "", IFERROR(VALUE(Raw_Data!H976), ""))</f>
        <v>76343.56</v>
      </c>
      <c r="J976" s="2" t="str">
        <f>IF(Raw_Data!I976="", "", IF(ISNUMBER(FIND("@", Raw_Data!I976)), Raw_Data!I976, "Review"))</f>
        <v>grace.brown@example.com</v>
      </c>
      <c r="K976" s="5" t="str">
        <f>IFERROR(TEXT(ABS(Raw_Data!J976), "0"), "Review")</f>
        <v>7121988191</v>
      </c>
      <c r="L976" s="2" t="str">
        <f>IFERROR(TRIM(Raw_Data!K976), "Review")</f>
        <v>Excellent</v>
      </c>
      <c r="M976" s="2" t="b">
        <f>IF(Raw_Data!L976="", "",
    IF(ISLOGICAL(Raw_Data!L976), Raw_Data!L976,
        IF(OR(UPPER(Raw_Data!L976)="TRUE", UPPER(Raw_Data!L976)="YES", UPPER(Raw_Data!L976)="1"), TRUE,
            IF(OR(UPPER(Raw_Data!L976)="FALSE", UPPER(Raw_Data!L976)="NO", UPPER(Raw_Data!L976)="0"), FALSE, "Review")
        )
    )
)</f>
        <v>0</v>
      </c>
    </row>
    <row r="977" spans="1:13" x14ac:dyDescent="0.4">
      <c r="A977" s="2" t="str">
        <f>IFERROR(TRIM(Raw_Data!A977), "Review")</f>
        <v>EMP1975</v>
      </c>
      <c r="B977" s="2" t="str">
        <f>IFERROR(TRIM(Raw_Data!B977), "Review")</f>
        <v>Alice</v>
      </c>
      <c r="C977" s="2" t="str">
        <f>IFERROR(TRIM(Raw_Data!C977), "Review")</f>
        <v>Johnson</v>
      </c>
      <c r="D977" s="2">
        <f>IF(Raw_Data!D977="", "", IFERROR(VALUE(Raw_Data!D977), ""))</f>
        <v>30</v>
      </c>
      <c r="E977" s="2" t="str">
        <f>IFERROR(LEFT(Raw_Data!E977,SEARCH("-",Raw_Data!E977)-1),"Review")</f>
        <v>Sales</v>
      </c>
      <c r="F977" s="2" t="str">
        <f>IFERROR(_xlfn.TEXTAFTER(Raw_Data!E977,"-"),"Review")</f>
        <v>Nevada</v>
      </c>
      <c r="G977" s="2" t="str">
        <f>IFERROR(TRIM(Raw_Data!F977), "Review")</f>
        <v>Inactive</v>
      </c>
      <c r="H977" s="3" t="str">
        <f>IFERROR(TEXT(Raw_Data!G977, "YYYY-MM-DD"),"Review")</f>
        <v>2024-12-16</v>
      </c>
      <c r="I977" s="4">
        <f>IF(Raw_Data!H977="", "", IFERROR(VALUE(Raw_Data!H977), ""))</f>
        <v>99424.14</v>
      </c>
      <c r="J977" s="2" t="str">
        <f>IF(Raw_Data!I977="", "", IF(ISNUMBER(FIND("@", Raw_Data!I977)), Raw_Data!I977, "Review"))</f>
        <v>alice.johnson@example.com</v>
      </c>
      <c r="K977" s="5" t="str">
        <f>IFERROR(TEXT(ABS(Raw_Data!J977), "0"), "Review")</f>
        <v>7788519052</v>
      </c>
      <c r="L977" s="2" t="str">
        <f>IFERROR(TRIM(Raw_Data!K977), "Review")</f>
        <v>Excellent</v>
      </c>
      <c r="M977" s="2" t="b">
        <f>IF(Raw_Data!L977="", "",
    IF(ISLOGICAL(Raw_Data!L977), Raw_Data!L977,
        IF(OR(UPPER(Raw_Data!L977)="TRUE", UPPER(Raw_Data!L977)="YES", UPPER(Raw_Data!L977)="1"), TRUE,
            IF(OR(UPPER(Raw_Data!L977)="FALSE", UPPER(Raw_Data!L977)="NO", UPPER(Raw_Data!L977)="0"), FALSE, "Review")
        )
    )
)</f>
        <v>0</v>
      </c>
    </row>
    <row r="978" spans="1:13" x14ac:dyDescent="0.4">
      <c r="A978" s="2" t="str">
        <f>IFERROR(TRIM(Raw_Data!A978), "Review")</f>
        <v>EMP1976</v>
      </c>
      <c r="B978" s="2" t="str">
        <f>IFERROR(TRIM(Raw_Data!B978), "Review")</f>
        <v>Charlie</v>
      </c>
      <c r="C978" s="2" t="str">
        <f>IFERROR(TRIM(Raw_Data!C978), "Review")</f>
        <v>Garcia</v>
      </c>
      <c r="D978" s="2">
        <f>IF(Raw_Data!D978="", "", IFERROR(VALUE(Raw_Data!D978), ""))</f>
        <v>35</v>
      </c>
      <c r="E978" s="2" t="str">
        <f>IFERROR(LEFT(Raw_Data!E978,SEARCH("-",Raw_Data!E978)-1),"Review")</f>
        <v>DevOps</v>
      </c>
      <c r="F978" s="2" t="str">
        <f>IFERROR(_xlfn.TEXTAFTER(Raw_Data!E978,"-"),"Review")</f>
        <v>Florida</v>
      </c>
      <c r="G978" s="2" t="str">
        <f>IFERROR(TRIM(Raw_Data!F978), "Review")</f>
        <v>Inactive</v>
      </c>
      <c r="H978" s="3" t="str">
        <f>IFERROR(TEXT(Raw_Data!G978, "YYYY-MM-DD"),"Review")</f>
        <v>2024-04-13</v>
      </c>
      <c r="I978" s="4">
        <f>IF(Raw_Data!H978="", "", IFERROR(VALUE(Raw_Data!H978), ""))</f>
        <v>57656.74</v>
      </c>
      <c r="J978" s="2" t="str">
        <f>IF(Raw_Data!I978="", "", IF(ISNUMBER(FIND("@", Raw_Data!I978)), Raw_Data!I978, "Review"))</f>
        <v>charlie.garcia@example.com</v>
      </c>
      <c r="K978" s="5" t="str">
        <f>IFERROR(TEXT(ABS(Raw_Data!J978), "0"), "Review")</f>
        <v>4864010423</v>
      </c>
      <c r="L978" s="2" t="str">
        <f>IFERROR(TRIM(Raw_Data!K978), "Review")</f>
        <v>Good</v>
      </c>
      <c r="M978" s="2" t="b">
        <f>IF(Raw_Data!L978="", "",
    IF(ISLOGICAL(Raw_Data!L978), Raw_Data!L978,
        IF(OR(UPPER(Raw_Data!L978)="TRUE", UPPER(Raw_Data!L978)="YES", UPPER(Raw_Data!L978)="1"), TRUE,
            IF(OR(UPPER(Raw_Data!L978)="FALSE", UPPER(Raw_Data!L978)="NO", UPPER(Raw_Data!L978)="0"), FALSE, "Review")
        )
    )
)</f>
        <v>1</v>
      </c>
    </row>
    <row r="979" spans="1:13" x14ac:dyDescent="0.4">
      <c r="A979" s="2" t="str">
        <f>IFERROR(TRIM(Raw_Data!A979), "Review")</f>
        <v>EMP1977</v>
      </c>
      <c r="B979" s="2" t="str">
        <f>IFERROR(TRIM(Raw_Data!B979), "Review")</f>
        <v>Heidi</v>
      </c>
      <c r="C979" s="2" t="str">
        <f>IFERROR(TRIM(Raw_Data!C979), "Review")</f>
        <v>Garcia</v>
      </c>
      <c r="D979" s="2">
        <f>IF(Raw_Data!D979="", "", IFERROR(VALUE(Raw_Data!D979), ""))</f>
        <v>40</v>
      </c>
      <c r="E979" s="2" t="str">
        <f>IFERROR(LEFT(Raw_Data!E979,SEARCH("-",Raw_Data!E979)-1),"Review")</f>
        <v>Sales</v>
      </c>
      <c r="F979" s="2" t="str">
        <f>IFERROR(_xlfn.TEXTAFTER(Raw_Data!E979,"-"),"Review")</f>
        <v>New York</v>
      </c>
      <c r="G979" s="2" t="str">
        <f>IFERROR(TRIM(Raw_Data!F979), "Review")</f>
        <v>Pending</v>
      </c>
      <c r="H979" s="3" t="str">
        <f>IFERROR(TEXT(Raw_Data!G979, "YYYY-MM-DD"),"Review")</f>
        <v>2020-04-24</v>
      </c>
      <c r="I979" s="4">
        <f>IF(Raw_Data!H979="", "", IFERROR(VALUE(Raw_Data!H979), ""))</f>
        <v>77396.94</v>
      </c>
      <c r="J979" s="2" t="str">
        <f>IF(Raw_Data!I979="", "", IF(ISNUMBER(FIND("@", Raw_Data!I979)), Raw_Data!I979, "Review"))</f>
        <v>heidi.garcia@example.com</v>
      </c>
      <c r="K979" s="5" t="str">
        <f>IFERROR(TEXT(ABS(Raw_Data!J979), "0"), "Review")</f>
        <v>6245618516</v>
      </c>
      <c r="L979" s="2" t="str">
        <f>IFERROR(TRIM(Raw_Data!K979), "Review")</f>
        <v>Excellent</v>
      </c>
      <c r="M979" s="2" t="b">
        <f>IF(Raw_Data!L979="", "",
    IF(ISLOGICAL(Raw_Data!L979), Raw_Data!L979,
        IF(OR(UPPER(Raw_Data!L979)="TRUE", UPPER(Raw_Data!L979)="YES", UPPER(Raw_Data!L979)="1"), TRUE,
            IF(OR(UPPER(Raw_Data!L979)="FALSE", UPPER(Raw_Data!L979)="NO", UPPER(Raw_Data!L979)="0"), FALSE, "Review")
        )
    )
)</f>
        <v>1</v>
      </c>
    </row>
    <row r="980" spans="1:13" x14ac:dyDescent="0.4">
      <c r="A980" s="2" t="str">
        <f>IFERROR(TRIM(Raw_Data!A980), "Review")</f>
        <v>EMP1978</v>
      </c>
      <c r="B980" s="2" t="str">
        <f>IFERROR(TRIM(Raw_Data!B980), "Review")</f>
        <v>Grace</v>
      </c>
      <c r="C980" s="2" t="str">
        <f>IFERROR(TRIM(Raw_Data!C980), "Review")</f>
        <v>Garcia</v>
      </c>
      <c r="D980" s="2" t="str">
        <f>IF(Raw_Data!D980="", "", IFERROR(VALUE(Raw_Data!D980), ""))</f>
        <v/>
      </c>
      <c r="E980" s="2" t="str">
        <f>IFERROR(LEFT(Raw_Data!E980,SEARCH("-",Raw_Data!E980)-1),"Review")</f>
        <v>DevOps</v>
      </c>
      <c r="F980" s="2" t="str">
        <f>IFERROR(_xlfn.TEXTAFTER(Raw_Data!E980,"-"),"Review")</f>
        <v>California</v>
      </c>
      <c r="G980" s="2" t="str">
        <f>IFERROR(TRIM(Raw_Data!F980), "Review")</f>
        <v>Inactive</v>
      </c>
      <c r="H980" s="3" t="str">
        <f>IFERROR(TEXT(Raw_Data!G980, "YYYY-MM-DD"),"Review")</f>
        <v>2021-10-18</v>
      </c>
      <c r="I980" s="4">
        <f>IF(Raw_Data!H980="", "", IFERROR(VALUE(Raw_Data!H980), ""))</f>
        <v>54299.68</v>
      </c>
      <c r="J980" s="2" t="str">
        <f>IF(Raw_Data!I980="", "", IF(ISNUMBER(FIND("@", Raw_Data!I980)), Raw_Data!I980, "Review"))</f>
        <v>grace.garcia@example.com</v>
      </c>
      <c r="K980" s="5" t="str">
        <f>IFERROR(TEXT(ABS(Raw_Data!J980), "0"), "Review")</f>
        <v>4460045211</v>
      </c>
      <c r="L980" s="2" t="str">
        <f>IFERROR(TRIM(Raw_Data!K980), "Review")</f>
        <v>Average</v>
      </c>
      <c r="M980" s="2" t="b">
        <f>IF(Raw_Data!L980="", "",
    IF(ISLOGICAL(Raw_Data!L980), Raw_Data!L980,
        IF(OR(UPPER(Raw_Data!L980)="TRUE", UPPER(Raw_Data!L980)="YES", UPPER(Raw_Data!L980)="1"), TRUE,
            IF(OR(UPPER(Raw_Data!L980)="FALSE", UPPER(Raw_Data!L980)="NO", UPPER(Raw_Data!L980)="0"), FALSE, "Review")
        )
    )
)</f>
        <v>0</v>
      </c>
    </row>
    <row r="981" spans="1:13" x14ac:dyDescent="0.4">
      <c r="A981" s="2" t="str">
        <f>IFERROR(TRIM(Raw_Data!A981), "Review")</f>
        <v>EMP1979</v>
      </c>
      <c r="B981" s="2" t="str">
        <f>IFERROR(TRIM(Raw_Data!B981), "Review")</f>
        <v>Charlie</v>
      </c>
      <c r="C981" s="2" t="str">
        <f>IFERROR(TRIM(Raw_Data!C981), "Review")</f>
        <v>Miller</v>
      </c>
      <c r="D981" s="2">
        <f>IF(Raw_Data!D981="", "", IFERROR(VALUE(Raw_Data!D981), ""))</f>
        <v>35</v>
      </c>
      <c r="E981" s="2" t="str">
        <f>IFERROR(LEFT(Raw_Data!E981,SEARCH("-",Raw_Data!E981)-1),"Review")</f>
        <v>HR</v>
      </c>
      <c r="F981" s="2" t="str">
        <f>IFERROR(_xlfn.TEXTAFTER(Raw_Data!E981,"-"),"Review")</f>
        <v>Nevada</v>
      </c>
      <c r="G981" s="2" t="str">
        <f>IFERROR(TRIM(Raw_Data!F981), "Review")</f>
        <v>Pending</v>
      </c>
      <c r="H981" s="3" t="str">
        <f>IFERROR(TEXT(Raw_Data!G981, "YYYY-MM-DD"),"Review")</f>
        <v>2020-02-25</v>
      </c>
      <c r="I981" s="4">
        <f>IF(Raw_Data!H981="", "", IFERROR(VALUE(Raw_Data!H981), ""))</f>
        <v>103563.58</v>
      </c>
      <c r="J981" s="2" t="str">
        <f>IF(Raw_Data!I981="", "", IF(ISNUMBER(FIND("@", Raw_Data!I981)), Raw_Data!I981, "Review"))</f>
        <v>charlie.miller@example.com</v>
      </c>
      <c r="K981" s="5" t="str">
        <f>IFERROR(TEXT(ABS(Raw_Data!J981), "0"), "Review")</f>
        <v>8991511454</v>
      </c>
      <c r="L981" s="2" t="str">
        <f>IFERROR(TRIM(Raw_Data!K981), "Review")</f>
        <v>Excellent</v>
      </c>
      <c r="M981" s="2" t="b">
        <f>IF(Raw_Data!L981="", "",
    IF(ISLOGICAL(Raw_Data!L981), Raw_Data!L981,
        IF(OR(UPPER(Raw_Data!L981)="TRUE", UPPER(Raw_Data!L981)="YES", UPPER(Raw_Data!L981)="1"), TRUE,
            IF(OR(UPPER(Raw_Data!L981)="FALSE", UPPER(Raw_Data!L981)="NO", UPPER(Raw_Data!L981)="0"), FALSE, "Review")
        )
    )
)</f>
        <v>1</v>
      </c>
    </row>
    <row r="982" spans="1:13" x14ac:dyDescent="0.4">
      <c r="A982" s="2" t="str">
        <f>IFERROR(TRIM(Raw_Data!A982), "Review")</f>
        <v>EMP1980</v>
      </c>
      <c r="B982" s="2" t="str">
        <f>IFERROR(TRIM(Raw_Data!B982), "Review")</f>
        <v>Grace</v>
      </c>
      <c r="C982" s="2" t="str">
        <f>IFERROR(TRIM(Raw_Data!C982), "Review")</f>
        <v>Brown</v>
      </c>
      <c r="D982" s="2">
        <f>IF(Raw_Data!D982="", "", IFERROR(VALUE(Raw_Data!D982), ""))</f>
        <v>25</v>
      </c>
      <c r="E982" s="2" t="str">
        <f>IFERROR(LEFT(Raw_Data!E982,SEARCH("-",Raw_Data!E982)-1),"Review")</f>
        <v>Finance</v>
      </c>
      <c r="F982" s="2" t="str">
        <f>IFERROR(_xlfn.TEXTAFTER(Raw_Data!E982,"-"),"Review")</f>
        <v>California</v>
      </c>
      <c r="G982" s="2" t="str">
        <f>IFERROR(TRIM(Raw_Data!F982), "Review")</f>
        <v>Inactive</v>
      </c>
      <c r="H982" s="3" t="str">
        <f>IFERROR(TEXT(Raw_Data!G982, "YYYY-MM-DD"),"Review")</f>
        <v>2022-04-23</v>
      </c>
      <c r="I982" s="4">
        <f>IF(Raw_Data!H982="", "", IFERROR(VALUE(Raw_Data!H982), ""))</f>
        <v>74588.850000000006</v>
      </c>
      <c r="J982" s="2" t="str">
        <f>IF(Raw_Data!I982="", "", IF(ISNUMBER(FIND("@", Raw_Data!I982)), Raw_Data!I982, "Review"))</f>
        <v>grace.brown@example.com</v>
      </c>
      <c r="K982" s="5" t="str">
        <f>IFERROR(TEXT(ABS(Raw_Data!J982), "0"), "Review")</f>
        <v>1293913043</v>
      </c>
      <c r="L982" s="2" t="str">
        <f>IFERROR(TRIM(Raw_Data!K982), "Review")</f>
        <v>Average</v>
      </c>
      <c r="M982" s="2" t="b">
        <f>IF(Raw_Data!L982="", "",
    IF(ISLOGICAL(Raw_Data!L982), Raw_Data!L982,
        IF(OR(UPPER(Raw_Data!L982)="TRUE", UPPER(Raw_Data!L982)="YES", UPPER(Raw_Data!L982)="1"), TRUE,
            IF(OR(UPPER(Raw_Data!L982)="FALSE", UPPER(Raw_Data!L982)="NO", UPPER(Raw_Data!L982)="0"), FALSE, "Review")
        )
    )
)</f>
        <v>0</v>
      </c>
    </row>
    <row r="983" spans="1:13" x14ac:dyDescent="0.4">
      <c r="A983" s="2" t="str">
        <f>IFERROR(TRIM(Raw_Data!A983), "Review")</f>
        <v>EMP1981</v>
      </c>
      <c r="B983" s="2" t="str">
        <f>IFERROR(TRIM(Raw_Data!B983), "Review")</f>
        <v>David</v>
      </c>
      <c r="C983" s="2" t="str">
        <f>IFERROR(TRIM(Raw_Data!C983), "Review")</f>
        <v>Garcia</v>
      </c>
      <c r="D983" s="2">
        <f>IF(Raw_Data!D983="", "", IFERROR(VALUE(Raw_Data!D983), ""))</f>
        <v>30</v>
      </c>
      <c r="E983" s="2" t="str">
        <f>IFERROR(LEFT(Raw_Data!E983,SEARCH("-",Raw_Data!E983)-1),"Review")</f>
        <v>DevOps</v>
      </c>
      <c r="F983" s="2" t="str">
        <f>IFERROR(_xlfn.TEXTAFTER(Raw_Data!E983,"-"),"Review")</f>
        <v>California</v>
      </c>
      <c r="G983" s="2" t="str">
        <f>IFERROR(TRIM(Raw_Data!F983), "Review")</f>
        <v>Pending</v>
      </c>
      <c r="H983" s="3" t="str">
        <f>IFERROR(TEXT(Raw_Data!G983, "YYYY-MM-DD"),"Review")</f>
        <v>2020-06-22</v>
      </c>
      <c r="I983" s="4">
        <f>IF(Raw_Data!H983="", "", IFERROR(VALUE(Raw_Data!H983), ""))</f>
        <v>113727.23</v>
      </c>
      <c r="J983" s="2" t="str">
        <f>IF(Raw_Data!I983="", "", IF(ISNUMBER(FIND("@", Raw_Data!I983)), Raw_Data!I983, "Review"))</f>
        <v>david.garcia@example.com</v>
      </c>
      <c r="K983" s="5" t="str">
        <f>IFERROR(TEXT(ABS(Raw_Data!J983), "0"), "Review")</f>
        <v>8818984840</v>
      </c>
      <c r="L983" s="2" t="str">
        <f>IFERROR(TRIM(Raw_Data!K983), "Review")</f>
        <v>Poor</v>
      </c>
      <c r="M983" s="2" t="b">
        <f>IF(Raw_Data!L983="", "",
    IF(ISLOGICAL(Raw_Data!L983), Raw_Data!L983,
        IF(OR(UPPER(Raw_Data!L983)="TRUE", UPPER(Raw_Data!L983)="YES", UPPER(Raw_Data!L983)="1"), TRUE,
            IF(OR(UPPER(Raw_Data!L983)="FALSE", UPPER(Raw_Data!L983)="NO", UPPER(Raw_Data!L983)="0"), FALSE, "Review")
        )
    )
)</f>
        <v>0</v>
      </c>
    </row>
    <row r="984" spans="1:13" x14ac:dyDescent="0.4">
      <c r="A984" s="2" t="str">
        <f>IFERROR(TRIM(Raw_Data!A984), "Review")</f>
        <v>EMP1982</v>
      </c>
      <c r="B984" s="2" t="str">
        <f>IFERROR(TRIM(Raw_Data!B984), "Review")</f>
        <v>Eva</v>
      </c>
      <c r="C984" s="2" t="str">
        <f>IFERROR(TRIM(Raw_Data!C984), "Review")</f>
        <v>Brown</v>
      </c>
      <c r="D984" s="2">
        <f>IF(Raw_Data!D984="", "", IFERROR(VALUE(Raw_Data!D984), ""))</f>
        <v>25</v>
      </c>
      <c r="E984" s="2" t="str">
        <f>IFERROR(LEFT(Raw_Data!E984,SEARCH("-",Raw_Data!E984)-1),"Review")</f>
        <v>HR</v>
      </c>
      <c r="F984" s="2" t="str">
        <f>IFERROR(_xlfn.TEXTAFTER(Raw_Data!E984,"-"),"Review")</f>
        <v>New York</v>
      </c>
      <c r="G984" s="2" t="str">
        <f>IFERROR(TRIM(Raw_Data!F984), "Review")</f>
        <v>Active</v>
      </c>
      <c r="H984" s="3" t="str">
        <f>IFERROR(TEXT(Raw_Data!G984, "YYYY-MM-DD"),"Review")</f>
        <v>2023-01-07</v>
      </c>
      <c r="I984" s="4">
        <f>IF(Raw_Data!H984="", "", IFERROR(VALUE(Raw_Data!H984), ""))</f>
        <v>72828.179999999993</v>
      </c>
      <c r="J984" s="2" t="str">
        <f>IF(Raw_Data!I984="", "", IF(ISNUMBER(FIND("@", Raw_Data!I984)), Raw_Data!I984, "Review"))</f>
        <v>eva.brown@example.com</v>
      </c>
      <c r="K984" s="5" t="str">
        <f>IFERROR(TEXT(ABS(Raw_Data!J984), "0"), "Review")</f>
        <v>6046154020</v>
      </c>
      <c r="L984" s="2" t="str">
        <f>IFERROR(TRIM(Raw_Data!K984), "Review")</f>
        <v>Good</v>
      </c>
      <c r="M984" s="2" t="b">
        <f>IF(Raw_Data!L984="", "",
    IF(ISLOGICAL(Raw_Data!L984), Raw_Data!L984,
        IF(OR(UPPER(Raw_Data!L984)="TRUE", UPPER(Raw_Data!L984)="YES", UPPER(Raw_Data!L984)="1"), TRUE,
            IF(OR(UPPER(Raw_Data!L984)="FALSE", UPPER(Raw_Data!L984)="NO", UPPER(Raw_Data!L984)="0"), FALSE, "Review")
        )
    )
)</f>
        <v>0</v>
      </c>
    </row>
    <row r="985" spans="1:13" x14ac:dyDescent="0.4">
      <c r="A985" s="2" t="str">
        <f>IFERROR(TRIM(Raw_Data!A985), "Review")</f>
        <v>EMP1983</v>
      </c>
      <c r="B985" s="2" t="str">
        <f>IFERROR(TRIM(Raw_Data!B985), "Review")</f>
        <v>Grace</v>
      </c>
      <c r="C985" s="2" t="str">
        <f>IFERROR(TRIM(Raw_Data!C985), "Review")</f>
        <v>Jones</v>
      </c>
      <c r="D985" s="2" t="str">
        <f>IF(Raw_Data!D985="", "", IFERROR(VALUE(Raw_Data!D985), ""))</f>
        <v/>
      </c>
      <c r="E985" s="2" t="str">
        <f>IFERROR(LEFT(Raw_Data!E985,SEARCH("-",Raw_Data!E985)-1),"Review")</f>
        <v>Sales</v>
      </c>
      <c r="F985" s="2" t="str">
        <f>IFERROR(_xlfn.TEXTAFTER(Raw_Data!E985,"-"),"Review")</f>
        <v>Florida</v>
      </c>
      <c r="G985" s="2" t="str">
        <f>IFERROR(TRIM(Raw_Data!F985), "Review")</f>
        <v>Inactive</v>
      </c>
      <c r="H985" s="3" t="str">
        <f>IFERROR(TEXT(Raw_Data!G985, "YYYY-MM-DD"),"Review")</f>
        <v>2020-02-11</v>
      </c>
      <c r="I985" s="4">
        <f>IF(Raw_Data!H985="", "", IFERROR(VALUE(Raw_Data!H985), ""))</f>
        <v>98717.09</v>
      </c>
      <c r="J985" s="2" t="str">
        <f>IF(Raw_Data!I985="", "", IF(ISNUMBER(FIND("@", Raw_Data!I985)), Raw_Data!I985, "Review"))</f>
        <v>grace.jones@example.com</v>
      </c>
      <c r="K985" s="5" t="str">
        <f>IFERROR(TEXT(ABS(Raw_Data!J985), "0"), "Review")</f>
        <v>1901707567</v>
      </c>
      <c r="L985" s="2" t="str">
        <f>IFERROR(TRIM(Raw_Data!K985), "Review")</f>
        <v>Poor</v>
      </c>
      <c r="M985" s="2" t="b">
        <f>IF(Raw_Data!L985="", "",
    IF(ISLOGICAL(Raw_Data!L985), Raw_Data!L985,
        IF(OR(UPPER(Raw_Data!L985)="TRUE", UPPER(Raw_Data!L985)="YES", UPPER(Raw_Data!L985)="1"), TRUE,
            IF(OR(UPPER(Raw_Data!L985)="FALSE", UPPER(Raw_Data!L985)="NO", UPPER(Raw_Data!L985)="0"), FALSE, "Review")
        )
    )
)</f>
        <v>0</v>
      </c>
    </row>
    <row r="986" spans="1:13" x14ac:dyDescent="0.4">
      <c r="A986" s="2" t="str">
        <f>IFERROR(TRIM(Raw_Data!A986), "Review")</f>
        <v>EMP1984</v>
      </c>
      <c r="B986" s="2" t="str">
        <f>IFERROR(TRIM(Raw_Data!B986), "Review")</f>
        <v>Frank</v>
      </c>
      <c r="C986" s="2" t="str">
        <f>IFERROR(TRIM(Raw_Data!C986), "Review")</f>
        <v>Garcia</v>
      </c>
      <c r="D986" s="2">
        <f>IF(Raw_Data!D986="", "", IFERROR(VALUE(Raw_Data!D986), ""))</f>
        <v>40</v>
      </c>
      <c r="E986" s="2" t="str">
        <f>IFERROR(LEFT(Raw_Data!E986,SEARCH("-",Raw_Data!E986)-1),"Review")</f>
        <v>Sales</v>
      </c>
      <c r="F986" s="2" t="str">
        <f>IFERROR(_xlfn.TEXTAFTER(Raw_Data!E986,"-"),"Review")</f>
        <v>Florida</v>
      </c>
      <c r="G986" s="2" t="str">
        <f>IFERROR(TRIM(Raw_Data!F986), "Review")</f>
        <v>Inactive</v>
      </c>
      <c r="H986" s="3" t="str">
        <f>IFERROR(TEXT(Raw_Data!G986, "YYYY-MM-DD"),"Review")</f>
        <v>2023-03-18</v>
      </c>
      <c r="I986" s="4">
        <f>IF(Raw_Data!H986="", "", IFERROR(VALUE(Raw_Data!H986), ""))</f>
        <v>56840.800000000003</v>
      </c>
      <c r="J986" s="2" t="str">
        <f>IF(Raw_Data!I986="", "", IF(ISNUMBER(FIND("@", Raw_Data!I986)), Raw_Data!I986, "Review"))</f>
        <v>frank.garcia@example.com</v>
      </c>
      <c r="K986" s="5" t="str">
        <f>IFERROR(TEXT(ABS(Raw_Data!J986), "0"), "Review")</f>
        <v>1429831521</v>
      </c>
      <c r="L986" s="2" t="str">
        <f>IFERROR(TRIM(Raw_Data!K986), "Review")</f>
        <v>Poor</v>
      </c>
      <c r="M986" s="2" t="b">
        <f>IF(Raw_Data!L986="", "",
    IF(ISLOGICAL(Raw_Data!L986), Raw_Data!L986,
        IF(OR(UPPER(Raw_Data!L986)="TRUE", UPPER(Raw_Data!L986)="YES", UPPER(Raw_Data!L986)="1"), TRUE,
            IF(OR(UPPER(Raw_Data!L986)="FALSE", UPPER(Raw_Data!L986)="NO", UPPER(Raw_Data!L986)="0"), FALSE, "Review")
        )
    )
)</f>
        <v>1</v>
      </c>
    </row>
    <row r="987" spans="1:13" x14ac:dyDescent="0.4">
      <c r="A987" s="2" t="str">
        <f>IFERROR(TRIM(Raw_Data!A987), "Review")</f>
        <v>EMP1985</v>
      </c>
      <c r="B987" s="2" t="str">
        <f>IFERROR(TRIM(Raw_Data!B987), "Review")</f>
        <v>David</v>
      </c>
      <c r="C987" s="2" t="str">
        <f>IFERROR(TRIM(Raw_Data!C987), "Review")</f>
        <v>Johnson</v>
      </c>
      <c r="D987" s="2">
        <f>IF(Raw_Data!D987="", "", IFERROR(VALUE(Raw_Data!D987), ""))</f>
        <v>35</v>
      </c>
      <c r="E987" s="2" t="str">
        <f>IFERROR(LEFT(Raw_Data!E987,SEARCH("-",Raw_Data!E987)-1),"Review")</f>
        <v>Finance</v>
      </c>
      <c r="F987" s="2" t="str">
        <f>IFERROR(_xlfn.TEXTAFTER(Raw_Data!E987,"-"),"Review")</f>
        <v>Illinois</v>
      </c>
      <c r="G987" s="2" t="str">
        <f>IFERROR(TRIM(Raw_Data!F987), "Review")</f>
        <v>Pending</v>
      </c>
      <c r="H987" s="3" t="str">
        <f>IFERROR(TEXT(Raw_Data!G987, "YYYY-MM-DD"),"Review")</f>
        <v>2021-11-26</v>
      </c>
      <c r="I987" s="4">
        <f>IF(Raw_Data!H987="", "", IFERROR(VALUE(Raw_Data!H987), ""))</f>
        <v>61663.91</v>
      </c>
      <c r="J987" s="2" t="str">
        <f>IF(Raw_Data!I987="", "", IF(ISNUMBER(FIND("@", Raw_Data!I987)), Raw_Data!I987, "Review"))</f>
        <v>david.johnson@example.com</v>
      </c>
      <c r="K987" s="5" t="str">
        <f>IFERROR(TEXT(ABS(Raw_Data!J987), "0"), "Review")</f>
        <v>9107322835</v>
      </c>
      <c r="L987" s="2" t="str">
        <f>IFERROR(TRIM(Raw_Data!K987), "Review")</f>
        <v>Average</v>
      </c>
      <c r="M987" s="2" t="b">
        <f>IF(Raw_Data!L987="", "",
    IF(ISLOGICAL(Raw_Data!L987), Raw_Data!L987,
        IF(OR(UPPER(Raw_Data!L987)="TRUE", UPPER(Raw_Data!L987)="YES", UPPER(Raw_Data!L987)="1"), TRUE,
            IF(OR(UPPER(Raw_Data!L987)="FALSE", UPPER(Raw_Data!L987)="NO", UPPER(Raw_Data!L987)="0"), FALSE, "Review")
        )
    )
)</f>
        <v>1</v>
      </c>
    </row>
    <row r="988" spans="1:13" x14ac:dyDescent="0.4">
      <c r="A988" s="2" t="str">
        <f>IFERROR(TRIM(Raw_Data!A988), "Review")</f>
        <v>EMP1986</v>
      </c>
      <c r="B988" s="2" t="str">
        <f>IFERROR(TRIM(Raw_Data!B988), "Review")</f>
        <v>Grace</v>
      </c>
      <c r="C988" s="2" t="str">
        <f>IFERROR(TRIM(Raw_Data!C988), "Review")</f>
        <v>Brown</v>
      </c>
      <c r="D988" s="2">
        <f>IF(Raw_Data!D988="", "", IFERROR(VALUE(Raw_Data!D988), ""))</f>
        <v>30</v>
      </c>
      <c r="E988" s="2" t="str">
        <f>IFERROR(LEFT(Raw_Data!E988,SEARCH("-",Raw_Data!E988)-1),"Review")</f>
        <v>Finance</v>
      </c>
      <c r="F988" s="2" t="str">
        <f>IFERROR(_xlfn.TEXTAFTER(Raw_Data!E988,"-"),"Review")</f>
        <v>Nevada</v>
      </c>
      <c r="G988" s="2" t="str">
        <f>IFERROR(TRIM(Raw_Data!F988), "Review")</f>
        <v>Active</v>
      </c>
      <c r="H988" s="3" t="str">
        <f>IFERROR(TEXT(Raw_Data!G988, "YYYY-MM-DD"),"Review")</f>
        <v>2024-09-17</v>
      </c>
      <c r="I988" s="4">
        <f>IF(Raw_Data!H988="", "", IFERROR(VALUE(Raw_Data!H988), ""))</f>
        <v>109523.4</v>
      </c>
      <c r="J988" s="2" t="str">
        <f>IF(Raw_Data!I988="", "", IF(ISNUMBER(FIND("@", Raw_Data!I988)), Raw_Data!I988, "Review"))</f>
        <v>grace.brown@example.com</v>
      </c>
      <c r="K988" s="5" t="str">
        <f>IFERROR(TEXT(ABS(Raw_Data!J988), "0"), "Review")</f>
        <v>849378305</v>
      </c>
      <c r="L988" s="2" t="str">
        <f>IFERROR(TRIM(Raw_Data!K988), "Review")</f>
        <v>Poor</v>
      </c>
      <c r="M988" s="2" t="b">
        <f>IF(Raw_Data!L988="", "",
    IF(ISLOGICAL(Raw_Data!L988), Raw_Data!L988,
        IF(OR(UPPER(Raw_Data!L988)="TRUE", UPPER(Raw_Data!L988)="YES", UPPER(Raw_Data!L988)="1"), TRUE,
            IF(OR(UPPER(Raw_Data!L988)="FALSE", UPPER(Raw_Data!L988)="NO", UPPER(Raw_Data!L988)="0"), FALSE, "Review")
        )
    )
)</f>
        <v>1</v>
      </c>
    </row>
    <row r="989" spans="1:13" x14ac:dyDescent="0.4">
      <c r="A989" s="2" t="str">
        <f>IFERROR(TRIM(Raw_Data!A989), "Review")</f>
        <v>EMP1987</v>
      </c>
      <c r="B989" s="2" t="str">
        <f>IFERROR(TRIM(Raw_Data!B989), "Review")</f>
        <v>Eva</v>
      </c>
      <c r="C989" s="2" t="str">
        <f>IFERROR(TRIM(Raw_Data!C989), "Review")</f>
        <v>Brown</v>
      </c>
      <c r="D989" s="2">
        <f>IF(Raw_Data!D989="", "", IFERROR(VALUE(Raw_Data!D989), ""))</f>
        <v>25</v>
      </c>
      <c r="E989" s="2" t="str">
        <f>IFERROR(LEFT(Raw_Data!E989,SEARCH("-",Raw_Data!E989)-1),"Review")</f>
        <v>HR</v>
      </c>
      <c r="F989" s="2" t="str">
        <f>IFERROR(_xlfn.TEXTAFTER(Raw_Data!E989,"-"),"Review")</f>
        <v>Illinois</v>
      </c>
      <c r="G989" s="2" t="str">
        <f>IFERROR(TRIM(Raw_Data!F989), "Review")</f>
        <v>Inactive</v>
      </c>
      <c r="H989" s="3" t="str">
        <f>IFERROR(TEXT(Raw_Data!G989, "YYYY-MM-DD"),"Review")</f>
        <v>2024-07-05</v>
      </c>
      <c r="I989" s="4">
        <f>IF(Raw_Data!H989="", "", IFERROR(VALUE(Raw_Data!H989), ""))</f>
        <v>65812.02</v>
      </c>
      <c r="J989" s="2" t="str">
        <f>IF(Raw_Data!I989="", "", IF(ISNUMBER(FIND("@", Raw_Data!I989)), Raw_Data!I989, "Review"))</f>
        <v>eva.brown@example.com</v>
      </c>
      <c r="K989" s="5" t="str">
        <f>IFERROR(TEXT(ABS(Raw_Data!J989), "0"), "Review")</f>
        <v>3963845268</v>
      </c>
      <c r="L989" s="2" t="str">
        <f>IFERROR(TRIM(Raw_Data!K989), "Review")</f>
        <v>Average</v>
      </c>
      <c r="M989" s="2" t="b">
        <f>IF(Raw_Data!L989="", "",
    IF(ISLOGICAL(Raw_Data!L989), Raw_Data!L989,
        IF(OR(UPPER(Raw_Data!L989)="TRUE", UPPER(Raw_Data!L989)="YES", UPPER(Raw_Data!L989)="1"), TRUE,
            IF(OR(UPPER(Raw_Data!L989)="FALSE", UPPER(Raw_Data!L989)="NO", UPPER(Raw_Data!L989)="0"), FALSE, "Review")
        )
    )
)</f>
        <v>1</v>
      </c>
    </row>
    <row r="990" spans="1:13" x14ac:dyDescent="0.4">
      <c r="A990" s="2" t="str">
        <f>IFERROR(TRIM(Raw_Data!A990), "Review")</f>
        <v>EMP1988</v>
      </c>
      <c r="B990" s="2" t="str">
        <f>IFERROR(TRIM(Raw_Data!B990), "Review")</f>
        <v>Bob</v>
      </c>
      <c r="C990" s="2" t="str">
        <f>IFERROR(TRIM(Raw_Data!C990), "Review")</f>
        <v>Johnson</v>
      </c>
      <c r="D990" s="2" t="str">
        <f>IF(Raw_Data!D990="", "", IFERROR(VALUE(Raw_Data!D990), ""))</f>
        <v/>
      </c>
      <c r="E990" s="2" t="str">
        <f>IFERROR(LEFT(Raw_Data!E990,SEARCH("-",Raw_Data!E990)-1),"Review")</f>
        <v>Cloud Tech</v>
      </c>
      <c r="F990" s="2" t="str">
        <f>IFERROR(_xlfn.TEXTAFTER(Raw_Data!E990,"-"),"Review")</f>
        <v>Illinois</v>
      </c>
      <c r="G990" s="2" t="str">
        <f>IFERROR(TRIM(Raw_Data!F990), "Review")</f>
        <v>Inactive</v>
      </c>
      <c r="H990" s="3" t="str">
        <f>IFERROR(TEXT(Raw_Data!G990, "YYYY-MM-DD"),"Review")</f>
        <v>2021-07-13</v>
      </c>
      <c r="I990" s="4">
        <f>IF(Raw_Data!H990="", "", IFERROR(VALUE(Raw_Data!H990), ""))</f>
        <v>54708.88</v>
      </c>
      <c r="J990" s="2" t="str">
        <f>IF(Raw_Data!I990="", "", IF(ISNUMBER(FIND("@", Raw_Data!I990)), Raw_Data!I990, "Review"))</f>
        <v>bob.johnson@example.com</v>
      </c>
      <c r="K990" s="5" t="str">
        <f>IFERROR(TEXT(ABS(Raw_Data!J990), "0"), "Review")</f>
        <v>6944391648</v>
      </c>
      <c r="L990" s="2" t="str">
        <f>IFERROR(TRIM(Raw_Data!K990), "Review")</f>
        <v>Excellent</v>
      </c>
      <c r="M990" s="2" t="b">
        <f>IF(Raw_Data!L990="", "",
    IF(ISLOGICAL(Raw_Data!L990), Raw_Data!L990,
        IF(OR(UPPER(Raw_Data!L990)="TRUE", UPPER(Raw_Data!L990)="YES", UPPER(Raw_Data!L990)="1"), TRUE,
            IF(OR(UPPER(Raw_Data!L990)="FALSE", UPPER(Raw_Data!L990)="NO", UPPER(Raw_Data!L990)="0"), FALSE, "Review")
        )
    )
)</f>
        <v>1</v>
      </c>
    </row>
    <row r="991" spans="1:13" x14ac:dyDescent="0.4">
      <c r="A991" s="2" t="str">
        <f>IFERROR(TRIM(Raw_Data!A991), "Review")</f>
        <v>EMP1989</v>
      </c>
      <c r="B991" s="2" t="str">
        <f>IFERROR(TRIM(Raw_Data!B991), "Review")</f>
        <v>Heidi</v>
      </c>
      <c r="C991" s="2" t="str">
        <f>IFERROR(TRIM(Raw_Data!C991), "Review")</f>
        <v>Garcia</v>
      </c>
      <c r="D991" s="2">
        <f>IF(Raw_Data!D991="", "", IFERROR(VALUE(Raw_Data!D991), ""))</f>
        <v>40</v>
      </c>
      <c r="E991" s="2" t="str">
        <f>IFERROR(LEFT(Raw_Data!E991,SEARCH("-",Raw_Data!E991)-1),"Review")</f>
        <v>Admin</v>
      </c>
      <c r="F991" s="2" t="str">
        <f>IFERROR(_xlfn.TEXTAFTER(Raw_Data!E991,"-"),"Review")</f>
        <v>California</v>
      </c>
      <c r="G991" s="2" t="str">
        <f>IFERROR(TRIM(Raw_Data!F991), "Review")</f>
        <v>Active</v>
      </c>
      <c r="H991" s="3" t="str">
        <f>IFERROR(TEXT(Raw_Data!G991, "YYYY-MM-DD"),"Review")</f>
        <v>2023-08-27</v>
      </c>
      <c r="I991" s="4">
        <f>IF(Raw_Data!H991="", "", IFERROR(VALUE(Raw_Data!H991), ""))</f>
        <v>107661.73</v>
      </c>
      <c r="J991" s="2" t="str">
        <f>IF(Raw_Data!I991="", "", IF(ISNUMBER(FIND("@", Raw_Data!I991)), Raw_Data!I991, "Review"))</f>
        <v>heidi.garcia@example.com</v>
      </c>
      <c r="K991" s="5" t="str">
        <f>IFERROR(TEXT(ABS(Raw_Data!J991), "0"), "Review")</f>
        <v>7016934291</v>
      </c>
      <c r="L991" s="2" t="str">
        <f>IFERROR(TRIM(Raw_Data!K991), "Review")</f>
        <v>Excellent</v>
      </c>
      <c r="M991" s="2" t="b">
        <f>IF(Raw_Data!L991="", "",
    IF(ISLOGICAL(Raw_Data!L991), Raw_Data!L991,
        IF(OR(UPPER(Raw_Data!L991)="TRUE", UPPER(Raw_Data!L991)="YES", UPPER(Raw_Data!L991)="1"), TRUE,
            IF(OR(UPPER(Raw_Data!L991)="FALSE", UPPER(Raw_Data!L991)="NO", UPPER(Raw_Data!L991)="0"), FALSE, "Review")
        )
    )
)</f>
        <v>1</v>
      </c>
    </row>
    <row r="992" spans="1:13" x14ac:dyDescent="0.4">
      <c r="A992" s="2" t="str">
        <f>IFERROR(TRIM(Raw_Data!A992), "Review")</f>
        <v>EMP1990</v>
      </c>
      <c r="B992" s="2" t="str">
        <f>IFERROR(TRIM(Raw_Data!B992), "Review")</f>
        <v>Eva</v>
      </c>
      <c r="C992" s="2" t="str">
        <f>IFERROR(TRIM(Raw_Data!C992), "Review")</f>
        <v>Johnson</v>
      </c>
      <c r="D992" s="2">
        <f>IF(Raw_Data!D992="", "", IFERROR(VALUE(Raw_Data!D992), ""))</f>
        <v>40</v>
      </c>
      <c r="E992" s="2" t="str">
        <f>IFERROR(LEFT(Raw_Data!E992,SEARCH("-",Raw_Data!E992)-1),"Review")</f>
        <v>DevOps</v>
      </c>
      <c r="F992" s="2" t="str">
        <f>IFERROR(_xlfn.TEXTAFTER(Raw_Data!E992,"-"),"Review")</f>
        <v>Illinois</v>
      </c>
      <c r="G992" s="2" t="str">
        <f>IFERROR(TRIM(Raw_Data!F992), "Review")</f>
        <v>Inactive</v>
      </c>
      <c r="H992" s="3" t="str">
        <f>IFERROR(TEXT(Raw_Data!G992, "YYYY-MM-DD"),"Review")</f>
        <v>2021-02-13</v>
      </c>
      <c r="I992" s="4">
        <f>IF(Raw_Data!H992="", "", IFERROR(VALUE(Raw_Data!H992), ""))</f>
        <v>79002</v>
      </c>
      <c r="J992" s="2" t="str">
        <f>IF(Raw_Data!I992="", "", IF(ISNUMBER(FIND("@", Raw_Data!I992)), Raw_Data!I992, "Review"))</f>
        <v>eva.johnson@example.com</v>
      </c>
      <c r="K992" s="5" t="str">
        <f>IFERROR(TEXT(ABS(Raw_Data!J992), "0"), "Review")</f>
        <v>9132033015</v>
      </c>
      <c r="L992" s="2" t="str">
        <f>IFERROR(TRIM(Raw_Data!K992), "Review")</f>
        <v>Average</v>
      </c>
      <c r="M992" s="2" t="b">
        <f>IF(Raw_Data!L992="", "",
    IF(ISLOGICAL(Raw_Data!L992), Raw_Data!L992,
        IF(OR(UPPER(Raw_Data!L992)="TRUE", UPPER(Raw_Data!L992)="YES", UPPER(Raw_Data!L992)="1"), TRUE,
            IF(OR(UPPER(Raw_Data!L992)="FALSE", UPPER(Raw_Data!L992)="NO", UPPER(Raw_Data!L992)="0"), FALSE, "Review")
        )
    )
)</f>
        <v>1</v>
      </c>
    </row>
    <row r="993" spans="1:13" x14ac:dyDescent="0.4">
      <c r="A993" s="2" t="str">
        <f>IFERROR(TRIM(Raw_Data!A993), "Review")</f>
        <v>EMP1991</v>
      </c>
      <c r="B993" s="2" t="str">
        <f>IFERROR(TRIM(Raw_Data!B993), "Review")</f>
        <v>Heidi</v>
      </c>
      <c r="C993" s="2" t="str">
        <f>IFERROR(TRIM(Raw_Data!C993), "Review")</f>
        <v>Brown</v>
      </c>
      <c r="D993" s="2" t="str">
        <f>IF(Raw_Data!D993="", "", IFERROR(VALUE(Raw_Data!D993), ""))</f>
        <v/>
      </c>
      <c r="E993" s="2" t="str">
        <f>IFERROR(LEFT(Raw_Data!E993,SEARCH("-",Raw_Data!E993)-1),"Review")</f>
        <v>Admin</v>
      </c>
      <c r="F993" s="2" t="str">
        <f>IFERROR(_xlfn.TEXTAFTER(Raw_Data!E993,"-"),"Review")</f>
        <v>Texas</v>
      </c>
      <c r="G993" s="2" t="str">
        <f>IFERROR(TRIM(Raw_Data!F993), "Review")</f>
        <v>Pending</v>
      </c>
      <c r="H993" s="3" t="str">
        <f>IFERROR(TEXT(Raw_Data!G993, "YYYY-MM-DD"),"Review")</f>
        <v>2023-12-11</v>
      </c>
      <c r="I993" s="4">
        <f>IF(Raw_Data!H993="", "", IFERROR(VALUE(Raw_Data!H993), ""))</f>
        <v>86135.69</v>
      </c>
      <c r="J993" s="2" t="str">
        <f>IF(Raw_Data!I993="", "", IF(ISNUMBER(FIND("@", Raw_Data!I993)), Raw_Data!I993, "Review"))</f>
        <v>heidi.brown@example.com</v>
      </c>
      <c r="K993" s="5" t="str">
        <f>IFERROR(TEXT(ABS(Raw_Data!J993), "0"), "Review")</f>
        <v>2341903105</v>
      </c>
      <c r="L993" s="2" t="str">
        <f>IFERROR(TRIM(Raw_Data!K993), "Review")</f>
        <v>Excellent</v>
      </c>
      <c r="M993" s="2" t="b">
        <f>IF(Raw_Data!L993="", "",
    IF(ISLOGICAL(Raw_Data!L993), Raw_Data!L993,
        IF(OR(UPPER(Raw_Data!L993)="TRUE", UPPER(Raw_Data!L993)="YES", UPPER(Raw_Data!L993)="1"), TRUE,
            IF(OR(UPPER(Raw_Data!L993)="FALSE", UPPER(Raw_Data!L993)="NO", UPPER(Raw_Data!L993)="0"), FALSE, "Review")
        )
    )
)</f>
        <v>0</v>
      </c>
    </row>
    <row r="994" spans="1:13" x14ac:dyDescent="0.4">
      <c r="A994" s="2" t="str">
        <f>IFERROR(TRIM(Raw_Data!A994), "Review")</f>
        <v>EMP1992</v>
      </c>
      <c r="B994" s="2" t="str">
        <f>IFERROR(TRIM(Raw_Data!B994), "Review")</f>
        <v>Heidi</v>
      </c>
      <c r="C994" s="2" t="str">
        <f>IFERROR(TRIM(Raw_Data!C994), "Review")</f>
        <v>Johnson</v>
      </c>
      <c r="D994" s="2">
        <f>IF(Raw_Data!D994="", "", IFERROR(VALUE(Raw_Data!D994), ""))</f>
        <v>30</v>
      </c>
      <c r="E994" s="2" t="str">
        <f>IFERROR(LEFT(Raw_Data!E994,SEARCH("-",Raw_Data!E994)-1),"Review")</f>
        <v>DevOps</v>
      </c>
      <c r="F994" s="2" t="str">
        <f>IFERROR(_xlfn.TEXTAFTER(Raw_Data!E994,"-"),"Review")</f>
        <v>Nevada</v>
      </c>
      <c r="G994" s="2" t="str">
        <f>IFERROR(TRIM(Raw_Data!F994), "Review")</f>
        <v>Inactive</v>
      </c>
      <c r="H994" s="3" t="str">
        <f>IFERROR(TEXT(Raw_Data!G994, "YYYY-MM-DD"),"Review")</f>
        <v>2021-07-02</v>
      </c>
      <c r="I994" s="4">
        <f>IF(Raw_Data!H994="", "", IFERROR(VALUE(Raw_Data!H994), ""))</f>
        <v>115601.4</v>
      </c>
      <c r="J994" s="2" t="str">
        <f>IF(Raw_Data!I994="", "", IF(ISNUMBER(FIND("@", Raw_Data!I994)), Raw_Data!I994, "Review"))</f>
        <v>heidi.johnson@example.com</v>
      </c>
      <c r="K994" s="5" t="str">
        <f>IFERROR(TEXT(ABS(Raw_Data!J994), "0"), "Review")</f>
        <v>1537221555</v>
      </c>
      <c r="L994" s="2" t="str">
        <f>IFERROR(TRIM(Raw_Data!K994), "Review")</f>
        <v>Good</v>
      </c>
      <c r="M994" s="2" t="b">
        <f>IF(Raw_Data!L994="", "",
    IF(ISLOGICAL(Raw_Data!L994), Raw_Data!L994,
        IF(OR(UPPER(Raw_Data!L994)="TRUE", UPPER(Raw_Data!L994)="YES", UPPER(Raw_Data!L994)="1"), TRUE,
            IF(OR(UPPER(Raw_Data!L994)="FALSE", UPPER(Raw_Data!L994)="NO", UPPER(Raw_Data!L994)="0"), FALSE, "Review")
        )
    )
)</f>
        <v>1</v>
      </c>
    </row>
    <row r="995" spans="1:13" x14ac:dyDescent="0.4">
      <c r="A995" s="2" t="str">
        <f>IFERROR(TRIM(Raw_Data!A995), "Review")</f>
        <v>EMP1993</v>
      </c>
      <c r="B995" s="2" t="str">
        <f>IFERROR(TRIM(Raw_Data!B995), "Review")</f>
        <v>Grace</v>
      </c>
      <c r="C995" s="2" t="str">
        <f>IFERROR(TRIM(Raw_Data!C995), "Review")</f>
        <v>Brown</v>
      </c>
      <c r="D995" s="2" t="str">
        <f>IF(Raw_Data!D995="", "", IFERROR(VALUE(Raw_Data!D995), ""))</f>
        <v/>
      </c>
      <c r="E995" s="2" t="str">
        <f>IFERROR(LEFT(Raw_Data!E995,SEARCH("-",Raw_Data!E995)-1),"Review")</f>
        <v>DevOps</v>
      </c>
      <c r="F995" s="2" t="str">
        <f>IFERROR(_xlfn.TEXTAFTER(Raw_Data!E995,"-"),"Review")</f>
        <v>Nevada</v>
      </c>
      <c r="G995" s="2" t="str">
        <f>IFERROR(TRIM(Raw_Data!F995), "Review")</f>
        <v>Active</v>
      </c>
      <c r="H995" s="3" t="str">
        <f>IFERROR(TEXT(Raw_Data!G995, "YYYY-MM-DD"),"Review")</f>
        <v>2022-12-05</v>
      </c>
      <c r="I995" s="4">
        <f>IF(Raw_Data!H995="", "", IFERROR(VALUE(Raw_Data!H995), ""))</f>
        <v>64045.36</v>
      </c>
      <c r="J995" s="2" t="str">
        <f>IF(Raw_Data!I995="", "", IF(ISNUMBER(FIND("@", Raw_Data!I995)), Raw_Data!I995, "Review"))</f>
        <v>grace.brown@example.com</v>
      </c>
      <c r="K995" s="5" t="str">
        <f>IFERROR(TEXT(ABS(Raw_Data!J995), "0"), "Review")</f>
        <v>6847323652</v>
      </c>
      <c r="L995" s="2" t="str">
        <f>IFERROR(TRIM(Raw_Data!K995), "Review")</f>
        <v>Poor</v>
      </c>
      <c r="M995" s="2" t="b">
        <f>IF(Raw_Data!L995="", "",
    IF(ISLOGICAL(Raw_Data!L995), Raw_Data!L995,
        IF(OR(UPPER(Raw_Data!L995)="TRUE", UPPER(Raw_Data!L995)="YES", UPPER(Raw_Data!L995)="1"), TRUE,
            IF(OR(UPPER(Raw_Data!L995)="FALSE", UPPER(Raw_Data!L995)="NO", UPPER(Raw_Data!L995)="0"), FALSE, "Review")
        )
    )
)</f>
        <v>1</v>
      </c>
    </row>
    <row r="996" spans="1:13" x14ac:dyDescent="0.4">
      <c r="A996" s="2" t="str">
        <f>IFERROR(TRIM(Raw_Data!A996), "Review")</f>
        <v>EMP1994</v>
      </c>
      <c r="B996" s="2" t="str">
        <f>IFERROR(TRIM(Raw_Data!B996), "Review")</f>
        <v>David</v>
      </c>
      <c r="C996" s="2" t="str">
        <f>IFERROR(TRIM(Raw_Data!C996), "Review")</f>
        <v>Brown</v>
      </c>
      <c r="D996" s="2">
        <f>IF(Raw_Data!D996="", "", IFERROR(VALUE(Raw_Data!D996), ""))</f>
        <v>30</v>
      </c>
      <c r="E996" s="2" t="str">
        <f>IFERROR(LEFT(Raw_Data!E996,SEARCH("-",Raw_Data!E996)-1),"Review")</f>
        <v>DevOps</v>
      </c>
      <c r="F996" s="2" t="str">
        <f>IFERROR(_xlfn.TEXTAFTER(Raw_Data!E996,"-"),"Review")</f>
        <v>Nevada</v>
      </c>
      <c r="G996" s="2" t="str">
        <f>IFERROR(TRIM(Raw_Data!F996), "Review")</f>
        <v>Inactive</v>
      </c>
      <c r="H996" s="3" t="str">
        <f>IFERROR(TEXT(Raw_Data!G996, "YYYY-MM-DD"),"Review")</f>
        <v>2024-09-24</v>
      </c>
      <c r="I996" s="4">
        <f>IF(Raw_Data!H996="", "", IFERROR(VALUE(Raw_Data!H996), ""))</f>
        <v>80477.210000000006</v>
      </c>
      <c r="J996" s="2" t="str">
        <f>IF(Raw_Data!I996="", "", IF(ISNUMBER(FIND("@", Raw_Data!I996)), Raw_Data!I996, "Review"))</f>
        <v>david.brown@example.com</v>
      </c>
      <c r="K996" s="5" t="str">
        <f>IFERROR(TEXT(ABS(Raw_Data!J996), "0"), "Review")</f>
        <v>3774604066</v>
      </c>
      <c r="L996" s="2" t="str">
        <f>IFERROR(TRIM(Raw_Data!K996), "Review")</f>
        <v>Good</v>
      </c>
      <c r="M996" s="2" t="b">
        <f>IF(Raw_Data!L996="", "",
    IF(ISLOGICAL(Raw_Data!L996), Raw_Data!L996,
        IF(OR(UPPER(Raw_Data!L996)="TRUE", UPPER(Raw_Data!L996)="YES", UPPER(Raw_Data!L996)="1"), TRUE,
            IF(OR(UPPER(Raw_Data!L996)="FALSE", UPPER(Raw_Data!L996)="NO", UPPER(Raw_Data!L996)="0"), FALSE, "Review")
        )
    )
)</f>
        <v>0</v>
      </c>
    </row>
    <row r="997" spans="1:13" x14ac:dyDescent="0.4">
      <c r="A997" s="2" t="str">
        <f>IFERROR(TRIM(Raw_Data!A997), "Review")</f>
        <v>EMP1995</v>
      </c>
      <c r="B997" s="2" t="str">
        <f>IFERROR(TRIM(Raw_Data!B997), "Review")</f>
        <v>Bob</v>
      </c>
      <c r="C997" s="2" t="str">
        <f>IFERROR(TRIM(Raw_Data!C997), "Review")</f>
        <v>Jones</v>
      </c>
      <c r="D997" s="2">
        <f>IF(Raw_Data!D997="", "", IFERROR(VALUE(Raw_Data!D997), ""))</f>
        <v>30</v>
      </c>
      <c r="E997" s="2" t="str">
        <f>IFERROR(LEFT(Raw_Data!E997,SEARCH("-",Raw_Data!E997)-1),"Review")</f>
        <v>Finance</v>
      </c>
      <c r="F997" s="2" t="str">
        <f>IFERROR(_xlfn.TEXTAFTER(Raw_Data!E997,"-"),"Review")</f>
        <v>California</v>
      </c>
      <c r="G997" s="2" t="str">
        <f>IFERROR(TRIM(Raw_Data!F997), "Review")</f>
        <v>Inactive</v>
      </c>
      <c r="H997" s="3" t="str">
        <f>IFERROR(TEXT(Raw_Data!G997, "YYYY-MM-DD"),"Review")</f>
        <v>2023-08-16</v>
      </c>
      <c r="I997" s="4">
        <f>IF(Raw_Data!H997="", "", IFERROR(VALUE(Raw_Data!H997), ""))</f>
        <v>61240.9</v>
      </c>
      <c r="J997" s="2" t="str">
        <f>IF(Raw_Data!I997="", "", IF(ISNUMBER(FIND("@", Raw_Data!I997)), Raw_Data!I997, "Review"))</f>
        <v>bob.jones@example.com</v>
      </c>
      <c r="K997" s="5" t="str">
        <f>IFERROR(TEXT(ABS(Raw_Data!J997), "0"), "Review")</f>
        <v>2007843613</v>
      </c>
      <c r="L997" s="2" t="str">
        <f>IFERROR(TRIM(Raw_Data!K997), "Review")</f>
        <v>Poor</v>
      </c>
      <c r="M997" s="2" t="b">
        <f>IF(Raw_Data!L997="", "",
    IF(ISLOGICAL(Raw_Data!L997), Raw_Data!L997,
        IF(OR(UPPER(Raw_Data!L997)="TRUE", UPPER(Raw_Data!L997)="YES", UPPER(Raw_Data!L997)="1"), TRUE,
            IF(OR(UPPER(Raw_Data!L997)="FALSE", UPPER(Raw_Data!L997)="NO", UPPER(Raw_Data!L997)="0"), FALSE, "Review")
        )
    )
)</f>
        <v>1</v>
      </c>
    </row>
    <row r="998" spans="1:13" x14ac:dyDescent="0.4">
      <c r="A998" s="2" t="str">
        <f>IFERROR(TRIM(Raw_Data!A998), "Review")</f>
        <v>EMP1996</v>
      </c>
      <c r="B998" s="2" t="str">
        <f>IFERROR(TRIM(Raw_Data!B998), "Review")</f>
        <v>David</v>
      </c>
      <c r="C998" s="2" t="str">
        <f>IFERROR(TRIM(Raw_Data!C998), "Review")</f>
        <v>Smith</v>
      </c>
      <c r="D998" s="2">
        <f>IF(Raw_Data!D998="", "", IFERROR(VALUE(Raw_Data!D998), ""))</f>
        <v>40</v>
      </c>
      <c r="E998" s="2" t="str">
        <f>IFERROR(LEFT(Raw_Data!E998,SEARCH("-",Raw_Data!E998)-1),"Review")</f>
        <v>Admin</v>
      </c>
      <c r="F998" s="2" t="str">
        <f>IFERROR(_xlfn.TEXTAFTER(Raw_Data!E998,"-"),"Review")</f>
        <v>Texas</v>
      </c>
      <c r="G998" s="2" t="str">
        <f>IFERROR(TRIM(Raw_Data!F998), "Review")</f>
        <v>Active</v>
      </c>
      <c r="H998" s="3" t="str">
        <f>IFERROR(TEXT(Raw_Data!G998, "YYYY-MM-DD"),"Review")</f>
        <v>2021-01-28</v>
      </c>
      <c r="I998" s="4">
        <f>IF(Raw_Data!H998="", "", IFERROR(VALUE(Raw_Data!H998), ""))</f>
        <v>51939.29</v>
      </c>
      <c r="J998" s="2" t="str">
        <f>IF(Raw_Data!I998="", "", IF(ISNUMBER(FIND("@", Raw_Data!I998)), Raw_Data!I998, "Review"))</f>
        <v>david.smith@example.com</v>
      </c>
      <c r="K998" s="5" t="str">
        <f>IFERROR(TEXT(ABS(Raw_Data!J998), "0"), "Review")</f>
        <v>2442607818</v>
      </c>
      <c r="L998" s="2" t="str">
        <f>IFERROR(TRIM(Raw_Data!K998), "Review")</f>
        <v>Excellent</v>
      </c>
      <c r="M998" s="2" t="b">
        <f>IF(Raw_Data!L998="", "",
    IF(ISLOGICAL(Raw_Data!L998), Raw_Data!L998,
        IF(OR(UPPER(Raw_Data!L998)="TRUE", UPPER(Raw_Data!L998)="YES", UPPER(Raw_Data!L998)="1"), TRUE,
            IF(OR(UPPER(Raw_Data!L998)="FALSE", UPPER(Raw_Data!L998)="NO", UPPER(Raw_Data!L998)="0"), FALSE, "Review")
        )
    )
)</f>
        <v>1</v>
      </c>
    </row>
    <row r="999" spans="1:13" x14ac:dyDescent="0.4">
      <c r="A999" s="2" t="str">
        <f>IFERROR(TRIM(Raw_Data!A999), "Review")</f>
        <v>EMP1997</v>
      </c>
      <c r="B999" s="2" t="str">
        <f>IFERROR(TRIM(Raw_Data!B999), "Review")</f>
        <v>Eva</v>
      </c>
      <c r="C999" s="2" t="str">
        <f>IFERROR(TRIM(Raw_Data!C999), "Review")</f>
        <v>Brown</v>
      </c>
      <c r="D999" s="2">
        <f>IF(Raw_Data!D999="", "", IFERROR(VALUE(Raw_Data!D999), ""))</f>
        <v>40</v>
      </c>
      <c r="E999" s="2" t="str">
        <f>IFERROR(LEFT(Raw_Data!E999,SEARCH("-",Raw_Data!E999)-1),"Review")</f>
        <v>Finance</v>
      </c>
      <c r="F999" s="2" t="str">
        <f>IFERROR(_xlfn.TEXTAFTER(Raw_Data!E999,"-"),"Review")</f>
        <v>Illinois</v>
      </c>
      <c r="G999" s="2" t="str">
        <f>IFERROR(TRIM(Raw_Data!F999), "Review")</f>
        <v>Inactive</v>
      </c>
      <c r="H999" s="3" t="str">
        <f>IFERROR(TEXT(Raw_Data!G999, "YYYY-MM-DD"),"Review")</f>
        <v>2022-05-14</v>
      </c>
      <c r="I999" s="4">
        <f>IF(Raw_Data!H999="", "", IFERROR(VALUE(Raw_Data!H999), ""))</f>
        <v>95284.54</v>
      </c>
      <c r="J999" s="2" t="str">
        <f>IF(Raw_Data!I999="", "", IF(ISNUMBER(FIND("@", Raw_Data!I999)), Raw_Data!I999, "Review"))</f>
        <v>eva.brown@example.com</v>
      </c>
      <c r="K999" s="5" t="str">
        <f>IFERROR(TEXT(ABS(Raw_Data!J999), "0"), "Review")</f>
        <v>7543734763</v>
      </c>
      <c r="L999" s="2" t="str">
        <f>IFERROR(TRIM(Raw_Data!K999), "Review")</f>
        <v>Good</v>
      </c>
      <c r="M999" s="2" t="b">
        <f>IF(Raw_Data!L999="", "",
    IF(ISLOGICAL(Raw_Data!L999), Raw_Data!L999,
        IF(OR(UPPER(Raw_Data!L999)="TRUE", UPPER(Raw_Data!L999)="YES", UPPER(Raw_Data!L999)="1"), TRUE,
            IF(OR(UPPER(Raw_Data!L999)="FALSE", UPPER(Raw_Data!L999)="NO", UPPER(Raw_Data!L999)="0"), FALSE, "Review")
        )
    )
)</f>
        <v>0</v>
      </c>
    </row>
    <row r="1000" spans="1:13" x14ac:dyDescent="0.4">
      <c r="A1000" s="2" t="str">
        <f>IFERROR(TRIM(Raw_Data!A1000), "Review")</f>
        <v>EMP1998</v>
      </c>
      <c r="B1000" s="2" t="str">
        <f>IFERROR(TRIM(Raw_Data!B1000), "Review")</f>
        <v>Charlie</v>
      </c>
      <c r="C1000" s="2" t="str">
        <f>IFERROR(TRIM(Raw_Data!C1000), "Review")</f>
        <v>Garcia</v>
      </c>
      <c r="D1000" s="2">
        <f>IF(Raw_Data!D1000="", "", IFERROR(VALUE(Raw_Data!D1000), ""))</f>
        <v>35</v>
      </c>
      <c r="E1000" s="2" t="str">
        <f>IFERROR(LEFT(Raw_Data!E1000,SEARCH("-",Raw_Data!E1000)-1),"Review")</f>
        <v>Admin</v>
      </c>
      <c r="F1000" s="2" t="str">
        <f>IFERROR(_xlfn.TEXTAFTER(Raw_Data!E1000,"-"),"Review")</f>
        <v>Texas</v>
      </c>
      <c r="G1000" s="2" t="str">
        <f>IFERROR(TRIM(Raw_Data!F1000), "Review")</f>
        <v>Inactive</v>
      </c>
      <c r="H1000" s="3" t="str">
        <f>IFERROR(TEXT(Raw_Data!G1000, "YYYY-MM-DD"),"Review")</f>
        <v>2024-06-05</v>
      </c>
      <c r="I1000" s="4">
        <f>IF(Raw_Data!H1000="", "", IFERROR(VALUE(Raw_Data!H1000), ""))</f>
        <v>106247.67</v>
      </c>
      <c r="J1000" s="2" t="str">
        <f>IF(Raw_Data!I1000="", "", IF(ISNUMBER(FIND("@", Raw_Data!I1000)), Raw_Data!I1000, "Review"))</f>
        <v>charlie.garcia@example.com</v>
      </c>
      <c r="K1000" s="5" t="str">
        <f>IFERROR(TEXT(ABS(Raw_Data!J1000), "0"), "Review")</f>
        <v>2737203762</v>
      </c>
      <c r="L1000" s="2" t="str">
        <f>IFERROR(TRIM(Raw_Data!K1000), "Review")</f>
        <v>Excellent</v>
      </c>
      <c r="M1000" s="2" t="b">
        <f>IF(Raw_Data!L1000="", "",
    IF(ISLOGICAL(Raw_Data!L1000), Raw_Data!L1000,
        IF(OR(UPPER(Raw_Data!L1000)="TRUE", UPPER(Raw_Data!L1000)="YES", UPPER(Raw_Data!L1000)="1"), TRUE,
            IF(OR(UPPER(Raw_Data!L1000)="FALSE", UPPER(Raw_Data!L1000)="NO", UPPER(Raw_Data!L1000)="0"), FALSE, "Review")
        )
    )
)</f>
        <v>1</v>
      </c>
    </row>
    <row r="1001" spans="1:13" x14ac:dyDescent="0.4">
      <c r="A1001" s="2" t="str">
        <f>IFERROR(TRIM(Raw_Data!A1001), "Review")</f>
        <v>EMP1999</v>
      </c>
      <c r="B1001" s="2" t="str">
        <f>IFERROR(TRIM(Raw_Data!B1001), "Review")</f>
        <v>Charlie</v>
      </c>
      <c r="C1001" s="2" t="str">
        <f>IFERROR(TRIM(Raw_Data!C1001), "Review")</f>
        <v>Williams</v>
      </c>
      <c r="D1001" s="2">
        <f>IF(Raw_Data!D1001="", "", IFERROR(VALUE(Raw_Data!D1001), ""))</f>
        <v>25</v>
      </c>
      <c r="E1001" s="2" t="str">
        <f>IFERROR(LEFT(Raw_Data!E1001,SEARCH("-",Raw_Data!E1001)-1),"Review")</f>
        <v>DevOps</v>
      </c>
      <c r="F1001" s="2" t="str">
        <f>IFERROR(_xlfn.TEXTAFTER(Raw_Data!E1001,"-"),"Review")</f>
        <v>Florida</v>
      </c>
      <c r="G1001" s="2" t="str">
        <f>IFERROR(TRIM(Raw_Data!F1001), "Review")</f>
        <v>Active</v>
      </c>
      <c r="H1001" s="3" t="str">
        <f>IFERROR(TEXT(Raw_Data!G1001, "YYYY-MM-DD"),"Review")</f>
        <v>2020-04-23</v>
      </c>
      <c r="I1001" s="4">
        <f>IF(Raw_Data!H1001="", "", IFERROR(VALUE(Raw_Data!H1001), ""))</f>
        <v>110170.88</v>
      </c>
      <c r="J1001" s="2" t="str">
        <f>IF(Raw_Data!I1001="", "", IF(ISNUMBER(FIND("@", Raw_Data!I1001)), Raw_Data!I1001, "Review"))</f>
        <v>charlie.williams@example.com</v>
      </c>
      <c r="K1001" s="5" t="str">
        <f>IFERROR(TEXT(ABS(Raw_Data!J1001), "0"), "Review")</f>
        <v>8821458413</v>
      </c>
      <c r="L1001" s="2" t="str">
        <f>IFERROR(TRIM(Raw_Data!K1001), "Review")</f>
        <v>Poor</v>
      </c>
      <c r="M1001" s="2" t="b">
        <f>IF(Raw_Data!L1001="", "",
    IF(ISLOGICAL(Raw_Data!L1001), Raw_Data!L1001,
        IF(OR(UPPER(Raw_Data!L1001)="TRUE", UPPER(Raw_Data!L1001)="YES", UPPER(Raw_Data!L1001)="1"), TRUE,
            IF(OR(UPPER(Raw_Data!L1001)="FALSE", UPPER(Raw_Data!L1001)="NO", UPPER(Raw_Data!L1001)="0"), FALSE, "Review")
        )
    )
)</f>
        <v>1</v>
      </c>
    </row>
    <row r="1002" spans="1:13" x14ac:dyDescent="0.4">
      <c r="A1002" s="2" t="str">
        <f>IFERROR(TRIM(Raw_Data!A1002), "Review")</f>
        <v>EMP2000</v>
      </c>
      <c r="B1002" s="2" t="str">
        <f>IFERROR(TRIM(Raw_Data!B1002), "Review")</f>
        <v>Charlie</v>
      </c>
      <c r="C1002" s="2" t="str">
        <f>IFERROR(TRIM(Raw_Data!C1002), "Review")</f>
        <v>Miller</v>
      </c>
      <c r="D1002" s="2">
        <f>IF(Raw_Data!D1002="", "", IFERROR(VALUE(Raw_Data!D1002), ""))</f>
        <v>25</v>
      </c>
      <c r="E1002" s="2" t="str">
        <f>IFERROR(LEFT(Raw_Data!E1002,SEARCH("-",Raw_Data!E1002)-1),"Review")</f>
        <v>HR</v>
      </c>
      <c r="F1002" s="2" t="str">
        <f>IFERROR(_xlfn.TEXTAFTER(Raw_Data!E1002,"-"),"Review")</f>
        <v>Nevada</v>
      </c>
      <c r="G1002" s="2" t="str">
        <f>IFERROR(TRIM(Raw_Data!F1002), "Review")</f>
        <v>Pending</v>
      </c>
      <c r="H1002" s="3" t="str">
        <f>IFERROR(TEXT(Raw_Data!G1002, "YYYY-MM-DD"),"Review")</f>
        <v>2024-06-10</v>
      </c>
      <c r="I1002" s="4">
        <f>IF(Raw_Data!H1002="", "", IFERROR(VALUE(Raw_Data!H1002), ""))</f>
        <v>52615.44</v>
      </c>
      <c r="J1002" s="2" t="str">
        <f>IF(Raw_Data!I1002="", "", IF(ISNUMBER(FIND("@", Raw_Data!I1002)), Raw_Data!I1002, "Review"))</f>
        <v>charlie.miller@example.com</v>
      </c>
      <c r="K1002" s="5" t="str">
        <f>IFERROR(TEXT(ABS(Raw_Data!J1002), "0"), "Review")</f>
        <v>8460191343</v>
      </c>
      <c r="L1002" s="2" t="str">
        <f>IFERROR(TRIM(Raw_Data!K1002), "Review")</f>
        <v>Average</v>
      </c>
      <c r="M1002" s="2" t="b">
        <f>IF(Raw_Data!L1002="", "",
    IF(ISLOGICAL(Raw_Data!L1002), Raw_Data!L1002,
        IF(OR(UPPER(Raw_Data!L1002)="TRUE", UPPER(Raw_Data!L1002)="YES", UPPER(Raw_Data!L1002)="1"), TRUE,
            IF(OR(UPPER(Raw_Data!L1002)="FALSE", UPPER(Raw_Data!L1002)="NO", UPPER(Raw_Data!L1002)="0"), FALSE, "Review")
        )
    )
)</f>
        <v>1</v>
      </c>
    </row>
    <row r="1003" spans="1:13" x14ac:dyDescent="0.4">
      <c r="A1003" s="2" t="str">
        <f>IFERROR(TRIM(Raw_Data!A1003), "Review")</f>
        <v>EMP2001</v>
      </c>
      <c r="B1003" s="2" t="str">
        <f>IFERROR(TRIM(Raw_Data!B1003), "Review")</f>
        <v>Eva</v>
      </c>
      <c r="C1003" s="2" t="str">
        <f>IFERROR(TRIM(Raw_Data!C1003), "Review")</f>
        <v>Davis</v>
      </c>
      <c r="D1003" s="2">
        <f>IF(Raw_Data!D1003="", "", IFERROR(VALUE(Raw_Data!D1003), ""))</f>
        <v>30</v>
      </c>
      <c r="E1003" s="2" t="str">
        <f>IFERROR(LEFT(Raw_Data!E1003,SEARCH("-",Raw_Data!E1003)-1),"Review")</f>
        <v>DevOps</v>
      </c>
      <c r="F1003" s="2" t="str">
        <f>IFERROR(_xlfn.TEXTAFTER(Raw_Data!E1003,"-"),"Review")</f>
        <v>Illinois</v>
      </c>
      <c r="G1003" s="2" t="str">
        <f>IFERROR(TRIM(Raw_Data!F1003), "Review")</f>
        <v>Inactive</v>
      </c>
      <c r="H1003" s="3" t="str">
        <f>IFERROR(TEXT(Raw_Data!G1003, "YYYY-MM-DD"),"Review")</f>
        <v>2020-04-18</v>
      </c>
      <c r="I1003" s="4">
        <f>IF(Raw_Data!H1003="", "", IFERROR(VALUE(Raw_Data!H1003), ""))</f>
        <v>82547.259999999995</v>
      </c>
      <c r="J1003" s="2" t="str">
        <f>IF(Raw_Data!I1003="", "", IF(ISNUMBER(FIND("@", Raw_Data!I1003)), Raw_Data!I1003, "Review"))</f>
        <v>eva.davis@example.com</v>
      </c>
      <c r="K1003" s="5" t="str">
        <f>IFERROR(TEXT(ABS(Raw_Data!J1003), "0"), "Review")</f>
        <v>3899827801</v>
      </c>
      <c r="L1003" s="2" t="str">
        <f>IFERROR(TRIM(Raw_Data!K1003), "Review")</f>
        <v>Average</v>
      </c>
      <c r="M1003" s="2" t="b">
        <f>IF(Raw_Data!L1003="", "",
    IF(ISLOGICAL(Raw_Data!L1003), Raw_Data!L1003,
        IF(OR(UPPER(Raw_Data!L1003)="TRUE", UPPER(Raw_Data!L1003)="YES", UPPER(Raw_Data!L1003)="1"), TRUE,
            IF(OR(UPPER(Raw_Data!L1003)="FALSE", UPPER(Raw_Data!L1003)="NO", UPPER(Raw_Data!L1003)="0"), FALSE, "Review")
        )
    )
)</f>
        <v>0</v>
      </c>
    </row>
    <row r="1004" spans="1:13" x14ac:dyDescent="0.4">
      <c r="A1004" s="2" t="str">
        <f>IFERROR(TRIM(Raw_Data!A1004), "Review")</f>
        <v>EMP2002</v>
      </c>
      <c r="B1004" s="2" t="str">
        <f>IFERROR(TRIM(Raw_Data!B1004), "Review")</f>
        <v>Bob</v>
      </c>
      <c r="C1004" s="2" t="str">
        <f>IFERROR(TRIM(Raw_Data!C1004), "Review")</f>
        <v>Smith</v>
      </c>
      <c r="D1004" s="2">
        <f>IF(Raw_Data!D1004="", "", IFERROR(VALUE(Raw_Data!D1004), ""))</f>
        <v>35</v>
      </c>
      <c r="E1004" s="2" t="str">
        <f>IFERROR(LEFT(Raw_Data!E1004,SEARCH("-",Raw_Data!E1004)-1),"Review")</f>
        <v>Finance</v>
      </c>
      <c r="F1004" s="2" t="str">
        <f>IFERROR(_xlfn.TEXTAFTER(Raw_Data!E1004,"-"),"Review")</f>
        <v>Illinois</v>
      </c>
      <c r="G1004" s="2" t="str">
        <f>IFERROR(TRIM(Raw_Data!F1004), "Review")</f>
        <v>Pending</v>
      </c>
      <c r="H1004" s="3" t="str">
        <f>IFERROR(TEXT(Raw_Data!G1004, "YYYY-MM-DD"),"Review")</f>
        <v>2020-06-29</v>
      </c>
      <c r="I1004" s="4">
        <f>IF(Raw_Data!H1004="", "", IFERROR(VALUE(Raw_Data!H1004), ""))</f>
        <v>63049.22</v>
      </c>
      <c r="J1004" s="2" t="str">
        <f>IF(Raw_Data!I1004="", "", IF(ISNUMBER(FIND("@", Raw_Data!I1004)), Raw_Data!I1004, "Review"))</f>
        <v>bob.smith@example.com</v>
      </c>
      <c r="K1004" s="5" t="str">
        <f>IFERROR(TEXT(ABS(Raw_Data!J1004), "0"), "Review")</f>
        <v>586950731</v>
      </c>
      <c r="L1004" s="2" t="str">
        <f>IFERROR(TRIM(Raw_Data!K1004), "Review")</f>
        <v>Good</v>
      </c>
      <c r="M1004" s="2" t="b">
        <f>IF(Raw_Data!L1004="", "",
    IF(ISLOGICAL(Raw_Data!L1004), Raw_Data!L1004,
        IF(OR(UPPER(Raw_Data!L1004)="TRUE", UPPER(Raw_Data!L1004)="YES", UPPER(Raw_Data!L1004)="1"), TRUE,
            IF(OR(UPPER(Raw_Data!L1004)="FALSE", UPPER(Raw_Data!L1004)="NO", UPPER(Raw_Data!L1004)="0"), FALSE, "Review")
        )
    )
)</f>
        <v>1</v>
      </c>
    </row>
    <row r="1005" spans="1:13" x14ac:dyDescent="0.4">
      <c r="A1005" s="2" t="str">
        <f>IFERROR(TRIM(Raw_Data!A1005), "Review")</f>
        <v>EMP2003</v>
      </c>
      <c r="B1005" s="2" t="str">
        <f>IFERROR(TRIM(Raw_Data!B1005), "Review")</f>
        <v>Frank</v>
      </c>
      <c r="C1005" s="2" t="str">
        <f>IFERROR(TRIM(Raw_Data!C1005), "Review")</f>
        <v>Smith</v>
      </c>
      <c r="D1005" s="2">
        <f>IF(Raw_Data!D1005="", "", IFERROR(VALUE(Raw_Data!D1005), ""))</f>
        <v>35</v>
      </c>
      <c r="E1005" s="2" t="str">
        <f>IFERROR(LEFT(Raw_Data!E1005,SEARCH("-",Raw_Data!E1005)-1),"Review")</f>
        <v>HR</v>
      </c>
      <c r="F1005" s="2" t="str">
        <f>IFERROR(_xlfn.TEXTAFTER(Raw_Data!E1005,"-"),"Review")</f>
        <v>California</v>
      </c>
      <c r="G1005" s="2" t="str">
        <f>IFERROR(TRIM(Raw_Data!F1005), "Review")</f>
        <v>Pending</v>
      </c>
      <c r="H1005" s="3" t="str">
        <f>IFERROR(TEXT(Raw_Data!G1005, "YYYY-MM-DD"),"Review")</f>
        <v>2023-02-15</v>
      </c>
      <c r="I1005" s="4">
        <f>IF(Raw_Data!H1005="", "", IFERROR(VALUE(Raw_Data!H1005), ""))</f>
        <v>115229.12</v>
      </c>
      <c r="J1005" s="2" t="str">
        <f>IF(Raw_Data!I1005="", "", IF(ISNUMBER(FIND("@", Raw_Data!I1005)), Raw_Data!I1005, "Review"))</f>
        <v>frank.smith@example.com</v>
      </c>
      <c r="K1005" s="5" t="str">
        <f>IFERROR(TEXT(ABS(Raw_Data!J1005), "0"), "Review")</f>
        <v>1464493698</v>
      </c>
      <c r="L1005" s="2" t="str">
        <f>IFERROR(TRIM(Raw_Data!K1005), "Review")</f>
        <v>Excellent</v>
      </c>
      <c r="M1005" s="2" t="b">
        <f>IF(Raw_Data!L1005="", "",
    IF(ISLOGICAL(Raw_Data!L1005), Raw_Data!L1005,
        IF(OR(UPPER(Raw_Data!L1005)="TRUE", UPPER(Raw_Data!L1005)="YES", UPPER(Raw_Data!L1005)="1"), TRUE,
            IF(OR(UPPER(Raw_Data!L1005)="FALSE", UPPER(Raw_Data!L1005)="NO", UPPER(Raw_Data!L1005)="0"), FALSE, "Review")
        )
    )
)</f>
        <v>1</v>
      </c>
    </row>
    <row r="1006" spans="1:13" x14ac:dyDescent="0.4">
      <c r="A1006" s="2" t="str">
        <f>IFERROR(TRIM(Raw_Data!A1006), "Review")</f>
        <v>EMP2004</v>
      </c>
      <c r="B1006" s="2" t="str">
        <f>IFERROR(TRIM(Raw_Data!B1006), "Review")</f>
        <v>Grace</v>
      </c>
      <c r="C1006" s="2" t="str">
        <f>IFERROR(TRIM(Raw_Data!C1006), "Review")</f>
        <v>Smith</v>
      </c>
      <c r="D1006" s="2">
        <f>IF(Raw_Data!D1006="", "", IFERROR(VALUE(Raw_Data!D1006), ""))</f>
        <v>25</v>
      </c>
      <c r="E1006" s="2" t="str">
        <f>IFERROR(LEFT(Raw_Data!E1006,SEARCH("-",Raw_Data!E1006)-1),"Review")</f>
        <v>DevOps</v>
      </c>
      <c r="F1006" s="2" t="str">
        <f>IFERROR(_xlfn.TEXTAFTER(Raw_Data!E1006,"-"),"Review")</f>
        <v>Illinois</v>
      </c>
      <c r="G1006" s="2" t="str">
        <f>IFERROR(TRIM(Raw_Data!F1006), "Review")</f>
        <v>Pending</v>
      </c>
      <c r="H1006" s="3" t="str">
        <f>IFERROR(TEXT(Raw_Data!G1006, "YYYY-MM-DD"),"Review")</f>
        <v>2023-06-15</v>
      </c>
      <c r="I1006" s="4">
        <f>IF(Raw_Data!H1006="", "", IFERROR(VALUE(Raw_Data!H1006), ""))</f>
        <v>60687.63</v>
      </c>
      <c r="J1006" s="2" t="str">
        <f>IF(Raw_Data!I1006="", "", IF(ISNUMBER(FIND("@", Raw_Data!I1006)), Raw_Data!I1006, "Review"))</f>
        <v>grace.smith@example.com</v>
      </c>
      <c r="K1006" s="5" t="str">
        <f>IFERROR(TEXT(ABS(Raw_Data!J1006), "0"), "Review")</f>
        <v>9516793349</v>
      </c>
      <c r="L1006" s="2" t="str">
        <f>IFERROR(TRIM(Raw_Data!K1006), "Review")</f>
        <v>Excellent</v>
      </c>
      <c r="M1006" s="2" t="b">
        <f>IF(Raw_Data!L1006="", "",
    IF(ISLOGICAL(Raw_Data!L1006), Raw_Data!L1006,
        IF(OR(UPPER(Raw_Data!L1006)="TRUE", UPPER(Raw_Data!L1006)="YES", UPPER(Raw_Data!L1006)="1"), TRUE,
            IF(OR(UPPER(Raw_Data!L1006)="FALSE", UPPER(Raw_Data!L1006)="NO", UPPER(Raw_Data!L1006)="0"), FALSE, "Review")
        )
    )
)</f>
        <v>0</v>
      </c>
    </row>
    <row r="1007" spans="1:13" x14ac:dyDescent="0.4">
      <c r="A1007" s="2" t="str">
        <f>IFERROR(TRIM(Raw_Data!A1007), "Review")</f>
        <v>EMP2005</v>
      </c>
      <c r="B1007" s="2" t="str">
        <f>IFERROR(TRIM(Raw_Data!B1007), "Review")</f>
        <v>Frank</v>
      </c>
      <c r="C1007" s="2" t="str">
        <f>IFERROR(TRIM(Raw_Data!C1007), "Review")</f>
        <v>Jones</v>
      </c>
      <c r="D1007" s="2">
        <f>IF(Raw_Data!D1007="", "", IFERROR(VALUE(Raw_Data!D1007), ""))</f>
        <v>30</v>
      </c>
      <c r="E1007" s="2" t="str">
        <f>IFERROR(LEFT(Raw_Data!E1007,SEARCH("-",Raw_Data!E1007)-1),"Review")</f>
        <v>Finance</v>
      </c>
      <c r="F1007" s="2" t="str">
        <f>IFERROR(_xlfn.TEXTAFTER(Raw_Data!E1007,"-"),"Review")</f>
        <v>Illinois</v>
      </c>
      <c r="G1007" s="2" t="str">
        <f>IFERROR(TRIM(Raw_Data!F1007), "Review")</f>
        <v>Inactive</v>
      </c>
      <c r="H1007" s="3" t="str">
        <f>IFERROR(TEXT(Raw_Data!G1007, "YYYY-MM-DD"),"Review")</f>
        <v>2022-03-19</v>
      </c>
      <c r="I1007" s="4">
        <f>IF(Raw_Data!H1007="", "", IFERROR(VALUE(Raw_Data!H1007), ""))</f>
        <v>67492.73</v>
      </c>
      <c r="J1007" s="2" t="str">
        <f>IF(Raw_Data!I1007="", "", IF(ISNUMBER(FIND("@", Raw_Data!I1007)), Raw_Data!I1007, "Review"))</f>
        <v>frank.jones@example.com</v>
      </c>
      <c r="K1007" s="5" t="str">
        <f>IFERROR(TEXT(ABS(Raw_Data!J1007), "0"), "Review")</f>
        <v>5573857367</v>
      </c>
      <c r="L1007" s="2" t="str">
        <f>IFERROR(TRIM(Raw_Data!K1007), "Review")</f>
        <v>Good</v>
      </c>
      <c r="M1007" s="2" t="b">
        <f>IF(Raw_Data!L1007="", "",
    IF(ISLOGICAL(Raw_Data!L1007), Raw_Data!L1007,
        IF(OR(UPPER(Raw_Data!L1007)="TRUE", UPPER(Raw_Data!L1007)="YES", UPPER(Raw_Data!L1007)="1"), TRUE,
            IF(OR(UPPER(Raw_Data!L1007)="FALSE", UPPER(Raw_Data!L1007)="NO", UPPER(Raw_Data!L1007)="0"), FALSE, "Review")
        )
    )
)</f>
        <v>1</v>
      </c>
    </row>
    <row r="1008" spans="1:13" x14ac:dyDescent="0.4">
      <c r="A1008" s="2" t="str">
        <f>IFERROR(TRIM(Raw_Data!A1008), "Review")</f>
        <v>EMP2006</v>
      </c>
      <c r="B1008" s="2" t="str">
        <f>IFERROR(TRIM(Raw_Data!B1008), "Review")</f>
        <v>Grace</v>
      </c>
      <c r="C1008" s="2" t="str">
        <f>IFERROR(TRIM(Raw_Data!C1008), "Review")</f>
        <v>Brown</v>
      </c>
      <c r="D1008" s="2" t="str">
        <f>IF(Raw_Data!D1008="", "", IFERROR(VALUE(Raw_Data!D1008), ""))</f>
        <v/>
      </c>
      <c r="E1008" s="2" t="str">
        <f>IFERROR(LEFT(Raw_Data!E1008,SEARCH("-",Raw_Data!E1008)-1),"Review")</f>
        <v>HR</v>
      </c>
      <c r="F1008" s="2" t="str">
        <f>IFERROR(_xlfn.TEXTAFTER(Raw_Data!E1008,"-"),"Review")</f>
        <v>Illinois</v>
      </c>
      <c r="G1008" s="2" t="str">
        <f>IFERROR(TRIM(Raw_Data!F1008), "Review")</f>
        <v>Inactive</v>
      </c>
      <c r="H1008" s="3" t="str">
        <f>IFERROR(TEXT(Raw_Data!G1008, "YYYY-MM-DD"),"Review")</f>
        <v>2023-10-25</v>
      </c>
      <c r="I1008" s="4">
        <f>IF(Raw_Data!H1008="", "", IFERROR(VALUE(Raw_Data!H1008), ""))</f>
        <v>77821.789999999994</v>
      </c>
      <c r="J1008" s="2" t="str">
        <f>IF(Raw_Data!I1008="", "", IF(ISNUMBER(FIND("@", Raw_Data!I1008)), Raw_Data!I1008, "Review"))</f>
        <v>grace.brown@example.com</v>
      </c>
      <c r="K1008" s="5" t="str">
        <f>IFERROR(TEXT(ABS(Raw_Data!J1008), "0"), "Review")</f>
        <v>119236036</v>
      </c>
      <c r="L1008" s="2" t="str">
        <f>IFERROR(TRIM(Raw_Data!K1008), "Review")</f>
        <v>Average</v>
      </c>
      <c r="M1008" s="2" t="b">
        <f>IF(Raw_Data!L1008="", "",
    IF(ISLOGICAL(Raw_Data!L1008), Raw_Data!L1008,
        IF(OR(UPPER(Raw_Data!L1008)="TRUE", UPPER(Raw_Data!L1008)="YES", UPPER(Raw_Data!L1008)="1"), TRUE,
            IF(OR(UPPER(Raw_Data!L1008)="FALSE", UPPER(Raw_Data!L1008)="NO", UPPER(Raw_Data!L1008)="0"), FALSE, "Review")
        )
    )
)</f>
        <v>0</v>
      </c>
    </row>
    <row r="1009" spans="1:13" x14ac:dyDescent="0.4">
      <c r="A1009" s="2" t="str">
        <f>IFERROR(TRIM(Raw_Data!A1009), "Review")</f>
        <v>EMP2007</v>
      </c>
      <c r="B1009" s="2" t="str">
        <f>IFERROR(TRIM(Raw_Data!B1009), "Review")</f>
        <v>Charlie</v>
      </c>
      <c r="C1009" s="2" t="str">
        <f>IFERROR(TRIM(Raw_Data!C1009), "Review")</f>
        <v>Jones</v>
      </c>
      <c r="D1009" s="2">
        <f>IF(Raw_Data!D1009="", "", IFERROR(VALUE(Raw_Data!D1009), ""))</f>
        <v>35</v>
      </c>
      <c r="E1009" s="2" t="str">
        <f>IFERROR(LEFT(Raw_Data!E1009,SEARCH("-",Raw_Data!E1009)-1),"Review")</f>
        <v>DevOps</v>
      </c>
      <c r="F1009" s="2" t="str">
        <f>IFERROR(_xlfn.TEXTAFTER(Raw_Data!E1009,"-"),"Review")</f>
        <v>Texas</v>
      </c>
      <c r="G1009" s="2" t="str">
        <f>IFERROR(TRIM(Raw_Data!F1009), "Review")</f>
        <v>Active</v>
      </c>
      <c r="H1009" s="3" t="str">
        <f>IFERROR(TEXT(Raw_Data!G1009, "YYYY-MM-DD"),"Review")</f>
        <v>2022-07-14</v>
      </c>
      <c r="I1009" s="4">
        <f>IF(Raw_Data!H1009="", "", IFERROR(VALUE(Raw_Data!H1009), ""))</f>
        <v>69146.95</v>
      </c>
      <c r="J1009" s="2" t="str">
        <f>IF(Raw_Data!I1009="", "", IF(ISNUMBER(FIND("@", Raw_Data!I1009)), Raw_Data!I1009, "Review"))</f>
        <v>charlie.jones@example.com</v>
      </c>
      <c r="K1009" s="5" t="str">
        <f>IFERROR(TEXT(ABS(Raw_Data!J1009), "0"), "Review")</f>
        <v>6811872332</v>
      </c>
      <c r="L1009" s="2" t="str">
        <f>IFERROR(TRIM(Raw_Data!K1009), "Review")</f>
        <v>Poor</v>
      </c>
      <c r="M1009" s="2" t="b">
        <f>IF(Raw_Data!L1009="", "",
    IF(ISLOGICAL(Raw_Data!L1009), Raw_Data!L1009,
        IF(OR(UPPER(Raw_Data!L1009)="TRUE", UPPER(Raw_Data!L1009)="YES", UPPER(Raw_Data!L1009)="1"), TRUE,
            IF(OR(UPPER(Raw_Data!L1009)="FALSE", UPPER(Raw_Data!L1009)="NO", UPPER(Raw_Data!L1009)="0"), FALSE, "Review")
        )
    )
)</f>
        <v>0</v>
      </c>
    </row>
    <row r="1010" spans="1:13" x14ac:dyDescent="0.4">
      <c r="A1010" s="2" t="str">
        <f>IFERROR(TRIM(Raw_Data!A1010), "Review")</f>
        <v>EMP2008</v>
      </c>
      <c r="B1010" s="2" t="str">
        <f>IFERROR(TRIM(Raw_Data!B1010), "Review")</f>
        <v>Grace</v>
      </c>
      <c r="C1010" s="2" t="str">
        <f>IFERROR(TRIM(Raw_Data!C1010), "Review")</f>
        <v>Brown</v>
      </c>
      <c r="D1010" s="2">
        <f>IF(Raw_Data!D1010="", "", IFERROR(VALUE(Raw_Data!D1010), ""))</f>
        <v>35</v>
      </c>
      <c r="E1010" s="2" t="str">
        <f>IFERROR(LEFT(Raw_Data!E1010,SEARCH("-",Raw_Data!E1010)-1),"Review")</f>
        <v>Admin</v>
      </c>
      <c r="F1010" s="2" t="str">
        <f>IFERROR(_xlfn.TEXTAFTER(Raw_Data!E1010,"-"),"Review")</f>
        <v>Nevada</v>
      </c>
      <c r="G1010" s="2" t="str">
        <f>IFERROR(TRIM(Raw_Data!F1010), "Review")</f>
        <v>Inactive</v>
      </c>
      <c r="H1010" s="3" t="str">
        <f>IFERROR(TEXT(Raw_Data!G1010, "YYYY-MM-DD"),"Review")</f>
        <v>2022-03-12</v>
      </c>
      <c r="I1010" s="4">
        <f>IF(Raw_Data!H1010="", "", IFERROR(VALUE(Raw_Data!H1010), ""))</f>
        <v>90224.82</v>
      </c>
      <c r="J1010" s="2" t="str">
        <f>IF(Raw_Data!I1010="", "", IF(ISNUMBER(FIND("@", Raw_Data!I1010)), Raw_Data!I1010, "Review"))</f>
        <v>grace.brown@example.com</v>
      </c>
      <c r="K1010" s="5" t="str">
        <f>IFERROR(TEXT(ABS(Raw_Data!J1010), "0"), "Review")</f>
        <v>5104096148</v>
      </c>
      <c r="L1010" s="2" t="str">
        <f>IFERROR(TRIM(Raw_Data!K1010), "Review")</f>
        <v>Good</v>
      </c>
      <c r="M1010" s="2" t="b">
        <f>IF(Raw_Data!L1010="", "",
    IF(ISLOGICAL(Raw_Data!L1010), Raw_Data!L1010,
        IF(OR(UPPER(Raw_Data!L1010)="TRUE", UPPER(Raw_Data!L1010)="YES", UPPER(Raw_Data!L1010)="1"), TRUE,
            IF(OR(UPPER(Raw_Data!L1010)="FALSE", UPPER(Raw_Data!L1010)="NO", UPPER(Raw_Data!L1010)="0"), FALSE, "Review")
        )
    )
)</f>
        <v>1</v>
      </c>
    </row>
    <row r="1011" spans="1:13" x14ac:dyDescent="0.4">
      <c r="A1011" s="2" t="str">
        <f>IFERROR(TRIM(Raw_Data!A1011), "Review")</f>
        <v>EMP2009</v>
      </c>
      <c r="B1011" s="2" t="str">
        <f>IFERROR(TRIM(Raw_Data!B1011), "Review")</f>
        <v>David</v>
      </c>
      <c r="C1011" s="2" t="str">
        <f>IFERROR(TRIM(Raw_Data!C1011), "Review")</f>
        <v>Garcia</v>
      </c>
      <c r="D1011" s="2" t="str">
        <f>IF(Raw_Data!D1011="", "", IFERROR(VALUE(Raw_Data!D1011), ""))</f>
        <v/>
      </c>
      <c r="E1011" s="2" t="str">
        <f>IFERROR(LEFT(Raw_Data!E1011,SEARCH("-",Raw_Data!E1011)-1),"Review")</f>
        <v>Finance</v>
      </c>
      <c r="F1011" s="2" t="str">
        <f>IFERROR(_xlfn.TEXTAFTER(Raw_Data!E1011,"-"),"Review")</f>
        <v>Illinois</v>
      </c>
      <c r="G1011" s="2" t="str">
        <f>IFERROR(TRIM(Raw_Data!F1011), "Review")</f>
        <v>Pending</v>
      </c>
      <c r="H1011" s="3" t="str">
        <f>IFERROR(TEXT(Raw_Data!G1011, "YYYY-MM-DD"),"Review")</f>
        <v>2024-06-11</v>
      </c>
      <c r="I1011" s="4">
        <f>IF(Raw_Data!H1011="", "", IFERROR(VALUE(Raw_Data!H1011), ""))</f>
        <v>62603.98</v>
      </c>
      <c r="J1011" s="2" t="str">
        <f>IF(Raw_Data!I1011="", "", IF(ISNUMBER(FIND("@", Raw_Data!I1011)), Raw_Data!I1011, "Review"))</f>
        <v>david.garcia@example.com</v>
      </c>
      <c r="K1011" s="5" t="str">
        <f>IFERROR(TEXT(ABS(Raw_Data!J1011), "0"), "Review")</f>
        <v>7315391148</v>
      </c>
      <c r="L1011" s="2" t="str">
        <f>IFERROR(TRIM(Raw_Data!K1011), "Review")</f>
        <v>Poor</v>
      </c>
      <c r="M1011" s="2" t="b">
        <f>IF(Raw_Data!L1011="", "",
    IF(ISLOGICAL(Raw_Data!L1011), Raw_Data!L1011,
        IF(OR(UPPER(Raw_Data!L1011)="TRUE", UPPER(Raw_Data!L1011)="YES", UPPER(Raw_Data!L1011)="1"), TRUE,
            IF(OR(UPPER(Raw_Data!L1011)="FALSE", UPPER(Raw_Data!L1011)="NO", UPPER(Raw_Data!L1011)="0"), FALSE, "Review")
        )
    )
)</f>
        <v>0</v>
      </c>
    </row>
    <row r="1012" spans="1:13" x14ac:dyDescent="0.4">
      <c r="A1012" s="2" t="str">
        <f>IFERROR(TRIM(Raw_Data!A1012), "Review")</f>
        <v>EMP2010</v>
      </c>
      <c r="B1012" s="2" t="str">
        <f>IFERROR(TRIM(Raw_Data!B1012), "Review")</f>
        <v>Bob</v>
      </c>
      <c r="C1012" s="2" t="str">
        <f>IFERROR(TRIM(Raw_Data!C1012), "Review")</f>
        <v>Jones</v>
      </c>
      <c r="D1012" s="2">
        <f>IF(Raw_Data!D1012="", "", IFERROR(VALUE(Raw_Data!D1012), ""))</f>
        <v>35</v>
      </c>
      <c r="E1012" s="2" t="str">
        <f>IFERROR(LEFT(Raw_Data!E1012,SEARCH("-",Raw_Data!E1012)-1),"Review")</f>
        <v>Sales</v>
      </c>
      <c r="F1012" s="2" t="str">
        <f>IFERROR(_xlfn.TEXTAFTER(Raw_Data!E1012,"-"),"Review")</f>
        <v>Nevada</v>
      </c>
      <c r="G1012" s="2" t="str">
        <f>IFERROR(TRIM(Raw_Data!F1012), "Review")</f>
        <v>Active</v>
      </c>
      <c r="H1012" s="3" t="str">
        <f>IFERROR(TEXT(Raw_Data!G1012, "YYYY-MM-DD"),"Review")</f>
        <v>2024-06-10</v>
      </c>
      <c r="I1012" s="4">
        <f>IF(Raw_Data!H1012="", "", IFERROR(VALUE(Raw_Data!H1012), ""))</f>
        <v>71148.27</v>
      </c>
      <c r="J1012" s="2" t="str">
        <f>IF(Raw_Data!I1012="", "", IF(ISNUMBER(FIND("@", Raw_Data!I1012)), Raw_Data!I1012, "Review"))</f>
        <v>bob.jones@example.com</v>
      </c>
      <c r="K1012" s="5" t="str">
        <f>IFERROR(TEXT(ABS(Raw_Data!J1012), "0"), "Review")</f>
        <v>8307482072</v>
      </c>
      <c r="L1012" s="2" t="str">
        <f>IFERROR(TRIM(Raw_Data!K1012), "Review")</f>
        <v>Average</v>
      </c>
      <c r="M1012" s="2" t="b">
        <f>IF(Raw_Data!L1012="", "",
    IF(ISLOGICAL(Raw_Data!L1012), Raw_Data!L1012,
        IF(OR(UPPER(Raw_Data!L1012)="TRUE", UPPER(Raw_Data!L1012)="YES", UPPER(Raw_Data!L1012)="1"), TRUE,
            IF(OR(UPPER(Raw_Data!L1012)="FALSE", UPPER(Raw_Data!L1012)="NO", UPPER(Raw_Data!L1012)="0"), FALSE, "Review")
        )
    )
)</f>
        <v>0</v>
      </c>
    </row>
    <row r="1013" spans="1:13" x14ac:dyDescent="0.4">
      <c r="A1013" s="2" t="str">
        <f>IFERROR(TRIM(Raw_Data!A1013), "Review")</f>
        <v>EMP2011</v>
      </c>
      <c r="B1013" s="2" t="str">
        <f>IFERROR(TRIM(Raw_Data!B1013), "Review")</f>
        <v>David</v>
      </c>
      <c r="C1013" s="2" t="str">
        <f>IFERROR(TRIM(Raw_Data!C1013), "Review")</f>
        <v>Jones</v>
      </c>
      <c r="D1013" s="2">
        <f>IF(Raw_Data!D1013="", "", IFERROR(VALUE(Raw_Data!D1013), ""))</f>
        <v>40</v>
      </c>
      <c r="E1013" s="2" t="str">
        <f>IFERROR(LEFT(Raw_Data!E1013,SEARCH("-",Raw_Data!E1013)-1),"Review")</f>
        <v>Admin</v>
      </c>
      <c r="F1013" s="2" t="str">
        <f>IFERROR(_xlfn.TEXTAFTER(Raw_Data!E1013,"-"),"Review")</f>
        <v>California</v>
      </c>
      <c r="G1013" s="2" t="str">
        <f>IFERROR(TRIM(Raw_Data!F1013), "Review")</f>
        <v>Inactive</v>
      </c>
      <c r="H1013" s="3" t="str">
        <f>IFERROR(TEXT(Raw_Data!G1013, "YYYY-MM-DD"),"Review")</f>
        <v>2022-09-21</v>
      </c>
      <c r="I1013" s="4">
        <f>IF(Raw_Data!H1013="", "", IFERROR(VALUE(Raw_Data!H1013), ""))</f>
        <v>52031.74</v>
      </c>
      <c r="J1013" s="2" t="str">
        <f>IF(Raw_Data!I1013="", "", IF(ISNUMBER(FIND("@", Raw_Data!I1013)), Raw_Data!I1013, "Review"))</f>
        <v>david.jones@example.com</v>
      </c>
      <c r="K1013" s="5" t="str">
        <f>IFERROR(TEXT(ABS(Raw_Data!J1013), "0"), "Review")</f>
        <v>6511893939</v>
      </c>
      <c r="L1013" s="2" t="str">
        <f>IFERROR(TRIM(Raw_Data!K1013), "Review")</f>
        <v>Excellent</v>
      </c>
      <c r="M1013" s="2" t="b">
        <f>IF(Raw_Data!L1013="", "",
    IF(ISLOGICAL(Raw_Data!L1013), Raw_Data!L1013,
        IF(OR(UPPER(Raw_Data!L1013)="TRUE", UPPER(Raw_Data!L1013)="YES", UPPER(Raw_Data!L1013)="1"), TRUE,
            IF(OR(UPPER(Raw_Data!L1013)="FALSE", UPPER(Raw_Data!L1013)="NO", UPPER(Raw_Data!L1013)="0"), FALSE, "Review")
        )
    )
)</f>
        <v>1</v>
      </c>
    </row>
    <row r="1014" spans="1:13" x14ac:dyDescent="0.4">
      <c r="A1014" s="2" t="str">
        <f>IFERROR(TRIM(Raw_Data!A1014), "Review")</f>
        <v>EMP2012</v>
      </c>
      <c r="B1014" s="2" t="str">
        <f>IFERROR(TRIM(Raw_Data!B1014), "Review")</f>
        <v>Grace</v>
      </c>
      <c r="C1014" s="2" t="str">
        <f>IFERROR(TRIM(Raw_Data!C1014), "Review")</f>
        <v>Miller</v>
      </c>
      <c r="D1014" s="2">
        <f>IF(Raw_Data!D1014="", "", IFERROR(VALUE(Raw_Data!D1014), ""))</f>
        <v>35</v>
      </c>
      <c r="E1014" s="2" t="str">
        <f>IFERROR(LEFT(Raw_Data!E1014,SEARCH("-",Raw_Data!E1014)-1),"Review")</f>
        <v>DevOps</v>
      </c>
      <c r="F1014" s="2" t="str">
        <f>IFERROR(_xlfn.TEXTAFTER(Raw_Data!E1014,"-"),"Review")</f>
        <v>Florida</v>
      </c>
      <c r="G1014" s="2" t="str">
        <f>IFERROR(TRIM(Raw_Data!F1014), "Review")</f>
        <v>Inactive</v>
      </c>
      <c r="H1014" s="3" t="str">
        <f>IFERROR(TEXT(Raw_Data!G1014, "YYYY-MM-DD"),"Review")</f>
        <v>2023-04-15</v>
      </c>
      <c r="I1014" s="4" t="str">
        <f>IF(Raw_Data!H1014="", "", IFERROR(VALUE(Raw_Data!H1014), ""))</f>
        <v/>
      </c>
      <c r="J1014" s="2" t="str">
        <f>IF(Raw_Data!I1014="", "", IF(ISNUMBER(FIND("@", Raw_Data!I1014)), Raw_Data!I1014, "Review"))</f>
        <v>grace.miller@example.com</v>
      </c>
      <c r="K1014" s="5" t="str">
        <f>IFERROR(TEXT(ABS(Raw_Data!J1014), "0"), "Review")</f>
        <v>6557820189</v>
      </c>
      <c r="L1014" s="2" t="str">
        <f>IFERROR(TRIM(Raw_Data!K1014), "Review")</f>
        <v>Average</v>
      </c>
      <c r="M1014" s="2" t="b">
        <f>IF(Raw_Data!L1014="", "",
    IF(ISLOGICAL(Raw_Data!L1014), Raw_Data!L1014,
        IF(OR(UPPER(Raw_Data!L1014)="TRUE", UPPER(Raw_Data!L1014)="YES", UPPER(Raw_Data!L1014)="1"), TRUE,
            IF(OR(UPPER(Raw_Data!L1014)="FALSE", UPPER(Raw_Data!L1014)="NO", UPPER(Raw_Data!L1014)="0"), FALSE, "Review")
        )
    )
)</f>
        <v>0</v>
      </c>
    </row>
    <row r="1015" spans="1:13" x14ac:dyDescent="0.4">
      <c r="A1015" s="2" t="str">
        <f>IFERROR(TRIM(Raw_Data!A1015), "Review")</f>
        <v>EMP2013</v>
      </c>
      <c r="B1015" s="2" t="str">
        <f>IFERROR(TRIM(Raw_Data!B1015), "Review")</f>
        <v>Eva</v>
      </c>
      <c r="C1015" s="2" t="str">
        <f>IFERROR(TRIM(Raw_Data!C1015), "Review")</f>
        <v>Williams</v>
      </c>
      <c r="D1015" s="2" t="str">
        <f>IF(Raw_Data!D1015="", "", IFERROR(VALUE(Raw_Data!D1015), ""))</f>
        <v/>
      </c>
      <c r="E1015" s="2" t="str">
        <f>IFERROR(LEFT(Raw_Data!E1015,SEARCH("-",Raw_Data!E1015)-1),"Review")</f>
        <v>HR</v>
      </c>
      <c r="F1015" s="2" t="str">
        <f>IFERROR(_xlfn.TEXTAFTER(Raw_Data!E1015,"-"),"Review")</f>
        <v>Illinois</v>
      </c>
      <c r="G1015" s="2" t="str">
        <f>IFERROR(TRIM(Raw_Data!F1015), "Review")</f>
        <v>Pending</v>
      </c>
      <c r="H1015" s="3" t="str">
        <f>IFERROR(TEXT(Raw_Data!G1015, "YYYY-MM-DD"),"Review")</f>
        <v>2020-02-06</v>
      </c>
      <c r="I1015" s="4">
        <f>IF(Raw_Data!H1015="", "", IFERROR(VALUE(Raw_Data!H1015), ""))</f>
        <v>116680.63</v>
      </c>
      <c r="J1015" s="2" t="str">
        <f>IF(Raw_Data!I1015="", "", IF(ISNUMBER(FIND("@", Raw_Data!I1015)), Raw_Data!I1015, "Review"))</f>
        <v>eva.williams@example.com</v>
      </c>
      <c r="K1015" s="5" t="str">
        <f>IFERROR(TEXT(ABS(Raw_Data!J1015), "0"), "Review")</f>
        <v>4322302332</v>
      </c>
      <c r="L1015" s="2" t="str">
        <f>IFERROR(TRIM(Raw_Data!K1015), "Review")</f>
        <v>Good</v>
      </c>
      <c r="M1015" s="2" t="b">
        <f>IF(Raw_Data!L1015="", "",
    IF(ISLOGICAL(Raw_Data!L1015), Raw_Data!L1015,
        IF(OR(UPPER(Raw_Data!L1015)="TRUE", UPPER(Raw_Data!L1015)="YES", UPPER(Raw_Data!L1015)="1"), TRUE,
            IF(OR(UPPER(Raw_Data!L1015)="FALSE", UPPER(Raw_Data!L1015)="NO", UPPER(Raw_Data!L1015)="0"), FALSE, "Review")
        )
    )
)</f>
        <v>0</v>
      </c>
    </row>
    <row r="1016" spans="1:13" x14ac:dyDescent="0.4">
      <c r="A1016" s="2" t="str">
        <f>IFERROR(TRIM(Raw_Data!A1016), "Review")</f>
        <v>EMP2014</v>
      </c>
      <c r="B1016" s="2" t="str">
        <f>IFERROR(TRIM(Raw_Data!B1016), "Review")</f>
        <v>Grace</v>
      </c>
      <c r="C1016" s="2" t="str">
        <f>IFERROR(TRIM(Raw_Data!C1016), "Review")</f>
        <v>Jones</v>
      </c>
      <c r="D1016" s="2">
        <f>IF(Raw_Data!D1016="", "", IFERROR(VALUE(Raw_Data!D1016), ""))</f>
        <v>30</v>
      </c>
      <c r="E1016" s="2" t="str">
        <f>IFERROR(LEFT(Raw_Data!E1016,SEARCH("-",Raw_Data!E1016)-1),"Review")</f>
        <v>Finance</v>
      </c>
      <c r="F1016" s="2" t="str">
        <f>IFERROR(_xlfn.TEXTAFTER(Raw_Data!E1016,"-"),"Review")</f>
        <v>Nevada</v>
      </c>
      <c r="G1016" s="2" t="str">
        <f>IFERROR(TRIM(Raw_Data!F1016), "Review")</f>
        <v>Pending</v>
      </c>
      <c r="H1016" s="3" t="str">
        <f>IFERROR(TEXT(Raw_Data!G1016, "YYYY-MM-DD"),"Review")</f>
        <v>2021-05-16</v>
      </c>
      <c r="I1016" s="4">
        <f>IF(Raw_Data!H1016="", "", IFERROR(VALUE(Raw_Data!H1016), ""))</f>
        <v>51990.98</v>
      </c>
      <c r="J1016" s="2" t="str">
        <f>IF(Raw_Data!I1016="", "", IF(ISNUMBER(FIND("@", Raw_Data!I1016)), Raw_Data!I1016, "Review"))</f>
        <v>grace.jones@example.com</v>
      </c>
      <c r="K1016" s="5" t="str">
        <f>IFERROR(TEXT(ABS(Raw_Data!J1016), "0"), "Review")</f>
        <v>2470739200</v>
      </c>
      <c r="L1016" s="2" t="str">
        <f>IFERROR(TRIM(Raw_Data!K1016), "Review")</f>
        <v>Excellent</v>
      </c>
      <c r="M1016" s="2" t="b">
        <f>IF(Raw_Data!L1016="", "",
    IF(ISLOGICAL(Raw_Data!L1016), Raw_Data!L1016,
        IF(OR(UPPER(Raw_Data!L1016)="TRUE", UPPER(Raw_Data!L1016)="YES", UPPER(Raw_Data!L1016)="1"), TRUE,
            IF(OR(UPPER(Raw_Data!L1016)="FALSE", UPPER(Raw_Data!L1016)="NO", UPPER(Raw_Data!L1016)="0"), FALSE, "Review")
        )
    )
)</f>
        <v>1</v>
      </c>
    </row>
    <row r="1017" spans="1:13" x14ac:dyDescent="0.4">
      <c r="A1017" s="2" t="str">
        <f>IFERROR(TRIM(Raw_Data!A1017), "Review")</f>
        <v>EMP2015</v>
      </c>
      <c r="B1017" s="2" t="str">
        <f>IFERROR(TRIM(Raw_Data!B1017), "Review")</f>
        <v>David</v>
      </c>
      <c r="C1017" s="2" t="str">
        <f>IFERROR(TRIM(Raw_Data!C1017), "Review")</f>
        <v>Miller</v>
      </c>
      <c r="D1017" s="2">
        <f>IF(Raw_Data!D1017="", "", IFERROR(VALUE(Raw_Data!D1017), ""))</f>
        <v>30</v>
      </c>
      <c r="E1017" s="2" t="str">
        <f>IFERROR(LEFT(Raw_Data!E1017,SEARCH("-",Raw_Data!E1017)-1),"Review")</f>
        <v>HR</v>
      </c>
      <c r="F1017" s="2" t="str">
        <f>IFERROR(_xlfn.TEXTAFTER(Raw_Data!E1017,"-"),"Review")</f>
        <v>California</v>
      </c>
      <c r="G1017" s="2" t="str">
        <f>IFERROR(TRIM(Raw_Data!F1017), "Review")</f>
        <v>Active</v>
      </c>
      <c r="H1017" s="3" t="str">
        <f>IFERROR(TEXT(Raw_Data!G1017, "YYYY-MM-DD"),"Review")</f>
        <v>2023-08-19</v>
      </c>
      <c r="I1017" s="4" t="str">
        <f>IF(Raw_Data!H1017="", "", IFERROR(VALUE(Raw_Data!H1017), ""))</f>
        <v/>
      </c>
      <c r="J1017" s="2" t="str">
        <f>IF(Raw_Data!I1017="", "", IF(ISNUMBER(FIND("@", Raw_Data!I1017)), Raw_Data!I1017, "Review"))</f>
        <v>david.miller@example.com</v>
      </c>
      <c r="K1017" s="5" t="str">
        <f>IFERROR(TEXT(ABS(Raw_Data!J1017), "0"), "Review")</f>
        <v>3546212759</v>
      </c>
      <c r="L1017" s="2" t="str">
        <f>IFERROR(TRIM(Raw_Data!K1017), "Review")</f>
        <v>Good</v>
      </c>
      <c r="M1017" s="2" t="b">
        <f>IF(Raw_Data!L1017="", "",
    IF(ISLOGICAL(Raw_Data!L1017), Raw_Data!L1017,
        IF(OR(UPPER(Raw_Data!L1017)="TRUE", UPPER(Raw_Data!L1017)="YES", UPPER(Raw_Data!L1017)="1"), TRUE,
            IF(OR(UPPER(Raw_Data!L1017)="FALSE", UPPER(Raw_Data!L1017)="NO", UPPER(Raw_Data!L1017)="0"), FALSE, "Review")
        )
    )
)</f>
        <v>1</v>
      </c>
    </row>
    <row r="1018" spans="1:13" x14ac:dyDescent="0.4">
      <c r="A1018" s="2" t="str">
        <f>IFERROR(TRIM(Raw_Data!A1018), "Review")</f>
        <v>EMP2016</v>
      </c>
      <c r="B1018" s="2" t="str">
        <f>IFERROR(TRIM(Raw_Data!B1018), "Review")</f>
        <v>David</v>
      </c>
      <c r="C1018" s="2" t="str">
        <f>IFERROR(TRIM(Raw_Data!C1018), "Review")</f>
        <v>Johnson</v>
      </c>
      <c r="D1018" s="2">
        <f>IF(Raw_Data!D1018="", "", IFERROR(VALUE(Raw_Data!D1018), ""))</f>
        <v>30</v>
      </c>
      <c r="E1018" s="2" t="str">
        <f>IFERROR(LEFT(Raw_Data!E1018,SEARCH("-",Raw_Data!E1018)-1),"Review")</f>
        <v>Cloud Tech</v>
      </c>
      <c r="F1018" s="2" t="str">
        <f>IFERROR(_xlfn.TEXTAFTER(Raw_Data!E1018,"-"),"Review")</f>
        <v>Texas</v>
      </c>
      <c r="G1018" s="2" t="str">
        <f>IFERROR(TRIM(Raw_Data!F1018), "Review")</f>
        <v>Inactive</v>
      </c>
      <c r="H1018" s="3" t="str">
        <f>IFERROR(TEXT(Raw_Data!G1018, "YYYY-MM-DD"),"Review")</f>
        <v>2021-11-07</v>
      </c>
      <c r="I1018" s="4">
        <f>IF(Raw_Data!H1018="", "", IFERROR(VALUE(Raw_Data!H1018), ""))</f>
        <v>100215.06</v>
      </c>
      <c r="J1018" s="2" t="str">
        <f>IF(Raw_Data!I1018="", "", IF(ISNUMBER(FIND("@", Raw_Data!I1018)), Raw_Data!I1018, "Review"))</f>
        <v>david.johnson@example.com</v>
      </c>
      <c r="K1018" s="5" t="str">
        <f>IFERROR(TEXT(ABS(Raw_Data!J1018), "0"), "Review")</f>
        <v>2508261122</v>
      </c>
      <c r="L1018" s="2" t="str">
        <f>IFERROR(TRIM(Raw_Data!K1018), "Review")</f>
        <v>Good</v>
      </c>
      <c r="M1018" s="2" t="b">
        <f>IF(Raw_Data!L1018="", "",
    IF(ISLOGICAL(Raw_Data!L1018), Raw_Data!L1018,
        IF(OR(UPPER(Raw_Data!L1018)="TRUE", UPPER(Raw_Data!L1018)="YES", UPPER(Raw_Data!L1018)="1"), TRUE,
            IF(OR(UPPER(Raw_Data!L1018)="FALSE", UPPER(Raw_Data!L1018)="NO", UPPER(Raw_Data!L1018)="0"), FALSE, "Review")
        )
    )
)</f>
        <v>1</v>
      </c>
    </row>
    <row r="1019" spans="1:13" x14ac:dyDescent="0.4">
      <c r="A1019" s="2" t="str">
        <f>IFERROR(TRIM(Raw_Data!A1019), "Review")</f>
        <v>EMP2017</v>
      </c>
      <c r="B1019" s="2" t="str">
        <f>IFERROR(TRIM(Raw_Data!B1019), "Review")</f>
        <v>Charlie</v>
      </c>
      <c r="C1019" s="2" t="str">
        <f>IFERROR(TRIM(Raw_Data!C1019), "Review")</f>
        <v>Williams</v>
      </c>
      <c r="D1019" s="2">
        <f>IF(Raw_Data!D1019="", "", IFERROR(VALUE(Raw_Data!D1019), ""))</f>
        <v>40</v>
      </c>
      <c r="E1019" s="2" t="str">
        <f>IFERROR(LEFT(Raw_Data!E1019,SEARCH("-",Raw_Data!E1019)-1),"Review")</f>
        <v>Finance</v>
      </c>
      <c r="F1019" s="2" t="str">
        <f>IFERROR(_xlfn.TEXTAFTER(Raw_Data!E1019,"-"),"Review")</f>
        <v>New York</v>
      </c>
      <c r="G1019" s="2" t="str">
        <f>IFERROR(TRIM(Raw_Data!F1019), "Review")</f>
        <v>Active</v>
      </c>
      <c r="H1019" s="3" t="str">
        <f>IFERROR(TEXT(Raw_Data!G1019, "YYYY-MM-DD"),"Review")</f>
        <v>2023-10-04</v>
      </c>
      <c r="I1019" s="4">
        <f>IF(Raw_Data!H1019="", "", IFERROR(VALUE(Raw_Data!H1019), ""))</f>
        <v>114587.11</v>
      </c>
      <c r="J1019" s="2" t="str">
        <f>IF(Raw_Data!I1019="", "", IF(ISNUMBER(FIND("@", Raw_Data!I1019)), Raw_Data!I1019, "Review"))</f>
        <v>charlie.williams@example.com</v>
      </c>
      <c r="K1019" s="5" t="str">
        <f>IFERROR(TEXT(ABS(Raw_Data!J1019), "0"), "Review")</f>
        <v>1261632487</v>
      </c>
      <c r="L1019" s="2" t="str">
        <f>IFERROR(TRIM(Raw_Data!K1019), "Review")</f>
        <v>Average</v>
      </c>
      <c r="M1019" s="2" t="b">
        <f>IF(Raw_Data!L1019="", "",
    IF(ISLOGICAL(Raw_Data!L1019), Raw_Data!L1019,
        IF(OR(UPPER(Raw_Data!L1019)="TRUE", UPPER(Raw_Data!L1019)="YES", UPPER(Raw_Data!L1019)="1"), TRUE,
            IF(OR(UPPER(Raw_Data!L1019)="FALSE", UPPER(Raw_Data!L1019)="NO", UPPER(Raw_Data!L1019)="0"), FALSE, "Review")
        )
    )
)</f>
        <v>0</v>
      </c>
    </row>
    <row r="1020" spans="1:13" x14ac:dyDescent="0.4">
      <c r="A1020" s="2" t="str">
        <f>IFERROR(TRIM(Raw_Data!A1020), "Review")</f>
        <v>EMP2018</v>
      </c>
      <c r="B1020" s="2" t="str">
        <f>IFERROR(TRIM(Raw_Data!B1020), "Review")</f>
        <v>Alice</v>
      </c>
      <c r="C1020" s="2" t="str">
        <f>IFERROR(TRIM(Raw_Data!C1020), "Review")</f>
        <v>Garcia</v>
      </c>
      <c r="D1020" s="2">
        <f>IF(Raw_Data!D1020="", "", IFERROR(VALUE(Raw_Data!D1020), ""))</f>
        <v>30</v>
      </c>
      <c r="E1020" s="2" t="str">
        <f>IFERROR(LEFT(Raw_Data!E1020,SEARCH("-",Raw_Data!E1020)-1),"Review")</f>
        <v>HR</v>
      </c>
      <c r="F1020" s="2" t="str">
        <f>IFERROR(_xlfn.TEXTAFTER(Raw_Data!E1020,"-"),"Review")</f>
        <v>Florida</v>
      </c>
      <c r="G1020" s="2" t="str">
        <f>IFERROR(TRIM(Raw_Data!F1020), "Review")</f>
        <v>Inactive</v>
      </c>
      <c r="H1020" s="3" t="str">
        <f>IFERROR(TEXT(Raw_Data!G1020, "YYYY-MM-DD"),"Review")</f>
        <v>2024-12-16</v>
      </c>
      <c r="I1020" s="4">
        <f>IF(Raw_Data!H1020="", "", IFERROR(VALUE(Raw_Data!H1020), ""))</f>
        <v>71318.789999999994</v>
      </c>
      <c r="J1020" s="2" t="str">
        <f>IF(Raw_Data!I1020="", "", IF(ISNUMBER(FIND("@", Raw_Data!I1020)), Raw_Data!I1020, "Review"))</f>
        <v>alice.garcia@example.com</v>
      </c>
      <c r="K1020" s="5" t="str">
        <f>IFERROR(TEXT(ABS(Raw_Data!J1020), "0"), "Review")</f>
        <v>8995729892</v>
      </c>
      <c r="L1020" s="2" t="str">
        <f>IFERROR(TRIM(Raw_Data!K1020), "Review")</f>
        <v>Good</v>
      </c>
      <c r="M1020" s="2" t="b">
        <f>IF(Raw_Data!L1020="", "",
    IF(ISLOGICAL(Raw_Data!L1020), Raw_Data!L1020,
        IF(OR(UPPER(Raw_Data!L1020)="TRUE", UPPER(Raw_Data!L1020)="YES", UPPER(Raw_Data!L1020)="1"), TRUE,
            IF(OR(UPPER(Raw_Data!L1020)="FALSE", UPPER(Raw_Data!L1020)="NO", UPPER(Raw_Data!L1020)="0"), FALSE, "Review")
        )
    )
)</f>
        <v>1</v>
      </c>
    </row>
    <row r="1021" spans="1:13" x14ac:dyDescent="0.4">
      <c r="A1021" s="2" t="str">
        <f>IFERROR(TRIM(Raw_Data!A1021), "Review")</f>
        <v>EMP2019</v>
      </c>
      <c r="B1021" s="2" t="str">
        <f>IFERROR(TRIM(Raw_Data!B1021), "Review")</f>
        <v>Heidi</v>
      </c>
      <c r="C1021" s="2" t="str">
        <f>IFERROR(TRIM(Raw_Data!C1021), "Review")</f>
        <v>Jones</v>
      </c>
      <c r="D1021" s="2">
        <f>IF(Raw_Data!D1021="", "", IFERROR(VALUE(Raw_Data!D1021), ""))</f>
        <v>30</v>
      </c>
      <c r="E1021" s="2" t="str">
        <f>IFERROR(LEFT(Raw_Data!E1021,SEARCH("-",Raw_Data!E1021)-1),"Review")</f>
        <v>DevOps</v>
      </c>
      <c r="F1021" s="2" t="str">
        <f>IFERROR(_xlfn.TEXTAFTER(Raw_Data!E1021,"-"),"Review")</f>
        <v>Illinois</v>
      </c>
      <c r="G1021" s="2" t="str">
        <f>IFERROR(TRIM(Raw_Data!F1021), "Review")</f>
        <v>Pending</v>
      </c>
      <c r="H1021" s="3" t="str">
        <f>IFERROR(TEXT(Raw_Data!G1021, "YYYY-MM-DD"),"Review")</f>
        <v>2021-02-22</v>
      </c>
      <c r="I1021" s="4">
        <f>IF(Raw_Data!H1021="", "", IFERROR(VALUE(Raw_Data!H1021), ""))</f>
        <v>77764.240000000005</v>
      </c>
      <c r="J1021" s="2" t="str">
        <f>IF(Raw_Data!I1021="", "", IF(ISNUMBER(FIND("@", Raw_Data!I1021)), Raw_Data!I1021, "Review"))</f>
        <v>heidi.jones@example.com</v>
      </c>
      <c r="K1021" s="5" t="str">
        <f>IFERROR(TEXT(ABS(Raw_Data!J1021), "0"), "Review")</f>
        <v>7629745492</v>
      </c>
      <c r="L1021" s="2" t="str">
        <f>IFERROR(TRIM(Raw_Data!K1021), "Review")</f>
        <v>Average</v>
      </c>
      <c r="M1021" s="2" t="b">
        <f>IF(Raw_Data!L1021="", "",
    IF(ISLOGICAL(Raw_Data!L1021), Raw_Data!L1021,
        IF(OR(UPPER(Raw_Data!L1021)="TRUE", UPPER(Raw_Data!L1021)="YES", UPPER(Raw_Data!L1021)="1"), TRUE,
            IF(OR(UPPER(Raw_Data!L1021)="FALSE", UPPER(Raw_Data!L1021)="NO", UPPER(Raw_Data!L1021)="0"), FALSE, "Review")
        )
    )
)</f>
        <v>0</v>
      </c>
    </row>
  </sheetData>
  <sheetProtection sheet="1" objects="1" scenarios="1" sort="0"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A877-1E18-488A-BAB7-BAC37128C514}">
  <dimension ref="A1:I23"/>
  <sheetViews>
    <sheetView showGridLines="0" tabSelected="1" workbookViewId="0">
      <selection activeCell="J8" sqref="J8"/>
    </sheetView>
  </sheetViews>
  <sheetFormatPr defaultRowHeight="16.8" x14ac:dyDescent="0.4"/>
  <cols>
    <col min="1" max="1" width="27.33203125" style="2" bestFit="1" customWidth="1"/>
    <col min="2" max="2" width="11.109375" style="2" bestFit="1" customWidth="1"/>
    <col min="3" max="3" width="19.77734375" style="2" customWidth="1"/>
    <col min="4" max="4" width="15.21875" style="2" customWidth="1"/>
    <col min="5" max="5" width="21" style="2" bestFit="1" customWidth="1"/>
    <col min="6" max="6" width="11.109375" style="2" bestFit="1" customWidth="1"/>
    <col min="7" max="7" width="15.5546875" style="2" customWidth="1"/>
    <col min="8" max="16384" width="8.88671875" style="2"/>
  </cols>
  <sheetData>
    <row r="1" spans="1:9" ht="24.6" x14ac:dyDescent="0.55000000000000004">
      <c r="A1" s="15" t="s">
        <v>1158</v>
      </c>
      <c r="B1" s="16"/>
      <c r="C1" s="16"/>
      <c r="D1" s="16"/>
      <c r="E1" s="16"/>
      <c r="F1" s="16"/>
      <c r="G1" s="16"/>
    </row>
    <row r="2" spans="1:9" x14ac:dyDescent="0.4">
      <c r="B2" s="24"/>
    </row>
    <row r="3" spans="1:9" x14ac:dyDescent="0.4">
      <c r="A3" s="12" t="s">
        <v>1159</v>
      </c>
      <c r="B3" s="25"/>
      <c r="C3" s="12" t="s">
        <v>1160</v>
      </c>
      <c r="D3" s="13"/>
      <c r="E3" s="14" t="s">
        <v>1161</v>
      </c>
      <c r="F3" s="8"/>
      <c r="G3" s="8"/>
    </row>
    <row r="4" spans="1:9" ht="27" x14ac:dyDescent="0.6">
      <c r="A4" s="10">
        <f>SUM(HR_Data[Salary])</f>
        <v>84814436.169999957</v>
      </c>
      <c r="B4" s="26"/>
      <c r="C4" s="10">
        <f>AVERAGE(HR_Data[Salary])</f>
        <v>85155.056395582287</v>
      </c>
      <c r="D4" s="9"/>
      <c r="E4" s="11">
        <f>COUNTA(HR_Data[Employee_ID])</f>
        <v>1020</v>
      </c>
      <c r="F4" s="9"/>
      <c r="G4" s="9"/>
      <c r="H4" s="9"/>
      <c r="I4" s="9"/>
    </row>
    <row r="5" spans="1:9" ht="16.2" customHeight="1" x14ac:dyDescent="0.6">
      <c r="A5" s="17"/>
      <c r="B5" s="26"/>
      <c r="C5" s="17"/>
      <c r="D5" s="9"/>
      <c r="E5" s="18"/>
      <c r="F5" s="9"/>
      <c r="G5" s="9"/>
      <c r="H5" s="9"/>
      <c r="I5" s="9"/>
    </row>
    <row r="6" spans="1:9" ht="16.2" customHeight="1" x14ac:dyDescent="0.6">
      <c r="A6" s="17"/>
      <c r="B6" s="26"/>
      <c r="C6" s="17"/>
      <c r="D6" s="9"/>
      <c r="E6" s="18"/>
      <c r="F6" s="9"/>
      <c r="G6" s="9"/>
      <c r="H6" s="9"/>
      <c r="I6" s="9"/>
    </row>
    <row r="7" spans="1:9" ht="16.2" customHeight="1" x14ac:dyDescent="0.45">
      <c r="A7" s="22" t="s">
        <v>1169</v>
      </c>
      <c r="B7" s="23"/>
      <c r="C7" s="21"/>
      <c r="E7" s="20" t="s">
        <v>1180</v>
      </c>
    </row>
    <row r="8" spans="1:9" x14ac:dyDescent="0.4">
      <c r="A8" s="19" t="s">
        <v>1157</v>
      </c>
      <c r="B8" s="2" t="s">
        <v>1177</v>
      </c>
      <c r="C8" s="2" t="s">
        <v>1176</v>
      </c>
      <c r="E8" s="19" t="s">
        <v>1156</v>
      </c>
      <c r="F8" s="2" t="s">
        <v>1177</v>
      </c>
      <c r="G8" s="2" t="s">
        <v>1176</v>
      </c>
    </row>
    <row r="9" spans="1:9" x14ac:dyDescent="0.4">
      <c r="A9" s="7" t="s">
        <v>1162</v>
      </c>
      <c r="B9" s="2">
        <v>166</v>
      </c>
      <c r="C9" s="4">
        <v>13715899.570000006</v>
      </c>
      <c r="E9" s="7" t="s">
        <v>1170</v>
      </c>
      <c r="F9" s="2">
        <v>187</v>
      </c>
      <c r="G9" s="4">
        <v>15855822.830000006</v>
      </c>
    </row>
    <row r="10" spans="1:9" x14ac:dyDescent="0.4">
      <c r="A10" s="7" t="s">
        <v>1163</v>
      </c>
      <c r="B10" s="2">
        <v>146</v>
      </c>
      <c r="C10" s="4">
        <v>11974148.110000007</v>
      </c>
      <c r="E10" s="7" t="s">
        <v>1171</v>
      </c>
      <c r="F10" s="2">
        <v>185</v>
      </c>
      <c r="G10" s="4">
        <v>15622192.220000012</v>
      </c>
    </row>
    <row r="11" spans="1:9" x14ac:dyDescent="0.4">
      <c r="A11" s="7" t="s">
        <v>1164</v>
      </c>
      <c r="B11" s="2">
        <v>189</v>
      </c>
      <c r="C11" s="4">
        <v>15826948.350000009</v>
      </c>
      <c r="E11" s="7" t="s">
        <v>1172</v>
      </c>
      <c r="F11" s="2">
        <v>165</v>
      </c>
      <c r="G11" s="4">
        <v>13899965.690000005</v>
      </c>
    </row>
    <row r="12" spans="1:9" x14ac:dyDescent="0.4">
      <c r="A12" s="7" t="s">
        <v>1165</v>
      </c>
      <c r="B12" s="2">
        <v>170</v>
      </c>
      <c r="C12" s="4">
        <v>13816422.550000004</v>
      </c>
      <c r="E12" s="7" t="s">
        <v>1173</v>
      </c>
      <c r="F12" s="2">
        <v>169</v>
      </c>
      <c r="G12" s="4">
        <v>13878593.800000001</v>
      </c>
    </row>
    <row r="13" spans="1:9" x14ac:dyDescent="0.4">
      <c r="A13" s="7" t="s">
        <v>1166</v>
      </c>
      <c r="B13" s="2">
        <v>171</v>
      </c>
      <c r="C13" s="4">
        <v>14274098.409999998</v>
      </c>
      <c r="E13" s="7" t="s">
        <v>1174</v>
      </c>
      <c r="F13" s="2">
        <v>161</v>
      </c>
      <c r="G13" s="4">
        <v>13234498.429999998</v>
      </c>
    </row>
    <row r="14" spans="1:9" x14ac:dyDescent="0.4">
      <c r="A14" s="7" t="s">
        <v>1167</v>
      </c>
      <c r="B14" s="2">
        <v>178</v>
      </c>
      <c r="C14" s="4">
        <v>15206919.180000003</v>
      </c>
      <c r="E14" s="7" t="s">
        <v>1175</v>
      </c>
      <c r="F14" s="2">
        <v>153</v>
      </c>
      <c r="G14" s="4">
        <v>12323363.200000003</v>
      </c>
    </row>
    <row r="15" spans="1:9" x14ac:dyDescent="0.4">
      <c r="A15" s="7" t="s">
        <v>1168</v>
      </c>
      <c r="B15" s="2">
        <v>1020</v>
      </c>
      <c r="C15" s="4">
        <v>84814436.169999987</v>
      </c>
      <c r="E15" s="7" t="s">
        <v>1168</v>
      </c>
      <c r="F15" s="2">
        <v>1020</v>
      </c>
      <c r="G15" s="4">
        <v>84814436.169999957</v>
      </c>
    </row>
    <row r="17" spans="1:3" ht="19.2" x14ac:dyDescent="0.45">
      <c r="A17" s="20" t="s">
        <v>1178</v>
      </c>
    </row>
    <row r="18" spans="1:3" x14ac:dyDescent="0.4">
      <c r="A18" s="19" t="s">
        <v>1179</v>
      </c>
      <c r="B18" s="2" t="s">
        <v>1177</v>
      </c>
      <c r="C18" s="2" t="s">
        <v>1176</v>
      </c>
    </row>
    <row r="19" spans="1:3" x14ac:dyDescent="0.4">
      <c r="A19" s="7" t="s">
        <v>23</v>
      </c>
      <c r="B19" s="2">
        <v>267</v>
      </c>
      <c r="C19" s="4">
        <v>22111635.93999999</v>
      </c>
    </row>
    <row r="20" spans="1:3" x14ac:dyDescent="0.4">
      <c r="A20" s="7" t="s">
        <v>30</v>
      </c>
      <c r="B20" s="2">
        <v>270</v>
      </c>
      <c r="C20" s="4">
        <v>22448077.249999985</v>
      </c>
    </row>
    <row r="21" spans="1:3" x14ac:dyDescent="0.4">
      <c r="A21" s="7" t="s">
        <v>18</v>
      </c>
      <c r="B21" s="2">
        <v>267</v>
      </c>
      <c r="C21" s="4">
        <v>22142074.710000008</v>
      </c>
    </row>
    <row r="22" spans="1:3" x14ac:dyDescent="0.4">
      <c r="A22" s="7" t="s">
        <v>40</v>
      </c>
      <c r="B22" s="2">
        <v>216</v>
      </c>
      <c r="C22" s="4">
        <v>18112648.269999996</v>
      </c>
    </row>
    <row r="23" spans="1:3" x14ac:dyDescent="0.4">
      <c r="A23" s="7" t="s">
        <v>1168</v>
      </c>
      <c r="B23" s="2">
        <v>1020</v>
      </c>
      <c r="C23" s="4">
        <v>84814436.169999883</v>
      </c>
    </row>
  </sheetData>
  <sheetProtection sheet="1" objects="1" scenarios="1" sort="0" pivotTables="0"/>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Summary_Dashboard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Andres Zambrano</cp:lastModifiedBy>
  <dcterms:created xsi:type="dcterms:W3CDTF">2026-10-07T09:26:57Z</dcterms:created>
  <dcterms:modified xsi:type="dcterms:W3CDTF">2026-10-13T09:06:18Z</dcterms:modified>
</cp:coreProperties>
</file>